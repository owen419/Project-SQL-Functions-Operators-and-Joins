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mudak\Downloads\"/>
    </mc:Choice>
  </mc:AlternateContent>
  <xr:revisionPtr revIDLastSave="0" documentId="8_{5D6CF9BD-ABB6-44C4-BB09-13464FA6F305}" xr6:coauthVersionLast="47" xr6:coauthVersionMax="47" xr10:uidLastSave="{00000000-0000-0000-0000-000000000000}"/>
  <bookViews>
    <workbookView xWindow="-120" yWindow="-120" windowWidth="29040" windowHeight="15720" firstSheet="3" activeTab="3" xr2:uid="{00000000-000D-0000-FFFF-FFFF00000000}"/>
  </bookViews>
  <sheets>
    <sheet name="Monthly Revenue Tracked" sheetId="10" r:id="rId1"/>
    <sheet name="Rank" sheetId="17" r:id="rId2"/>
    <sheet name="Top and Bottom 3" sheetId="21" r:id="rId3"/>
    <sheet name="Cannibalize" sheetId="22" r:id="rId4"/>
    <sheet name="7 day target" sheetId="28" r:id="rId5"/>
    <sheet name="Price Compliance" sheetId="30" r:id="rId6"/>
    <sheet name="Sheet12" sheetId="34" r:id="rId7"/>
    <sheet name="Data" sheetId="1" r:id="rId8"/>
    <sheet name="What If" sheetId="32" r:id="rId9"/>
    <sheet name="Brief" sheetId="2" r:id="rId10"/>
  </sheets>
  <definedNames>
    <definedName name="_xlnm._FilterDatabase" localSheetId="7" hidden="1">Data!$U$1:$U$1264</definedName>
    <definedName name="Slicer_Channel">#N/A</definedName>
    <definedName name="Slicer_Channel1">#N/A</definedName>
    <definedName name="Slicer_Country">#N/A</definedName>
    <definedName name="Slicer_Month">#N/A</definedName>
    <definedName name="Slicer_Product_Category">#N/A</definedName>
    <definedName name="Slicer_Quarters">#N/A</definedName>
    <definedName name="Slicer_Quarters1">#N/A</definedName>
    <definedName name="Slicer_Region">#N/A</definedName>
    <definedName name="Slicer_Region1">#N/A</definedName>
    <definedName name="Slicer_Salesperson">#N/A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3" i="1" l="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2"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V632" i="1"/>
  <c r="V633" i="1"/>
  <c r="Z2" i="1" a="1"/>
  <c r="Z2" i="1" s="1"/>
  <c r="AA2" i="1" s="1" a="1"/>
  <c r="AC83" i="1" s="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2" i="1"/>
  <c r="F17"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2" i="1"/>
  <c r="U3" i="1"/>
  <c r="U4" i="1"/>
  <c r="U5" i="1"/>
  <c r="U6" i="1"/>
  <c r="U7" i="1"/>
  <c r="U8" i="1"/>
  <c r="U9" i="1"/>
  <c r="U10" i="1"/>
  <c r="U11" i="1"/>
  <c r="U12" i="1"/>
  <c r="U13" i="1"/>
  <c r="U14" i="1"/>
  <c r="U15" i="1"/>
  <c r="U16" i="1"/>
  <c r="U17" i="1"/>
  <c r="U18" i="1"/>
  <c r="U19" i="1"/>
  <c r="U20" i="1"/>
  <c r="U21" i="1"/>
  <c r="X21" i="1" s="1"/>
  <c r="U22" i="1"/>
  <c r="U23" i="1"/>
  <c r="U24" i="1"/>
  <c r="U25" i="1"/>
  <c r="U26" i="1"/>
  <c r="U27" i="1"/>
  <c r="U28" i="1"/>
  <c r="U29" i="1"/>
  <c r="U30" i="1"/>
  <c r="X30" i="1" s="1"/>
  <c r="U31" i="1"/>
  <c r="U32" i="1"/>
  <c r="U33" i="1"/>
  <c r="U34" i="1"/>
  <c r="U35" i="1"/>
  <c r="U36" i="1"/>
  <c r="U37" i="1"/>
  <c r="U38" i="1"/>
  <c r="U39" i="1"/>
  <c r="U40" i="1"/>
  <c r="U41" i="1"/>
  <c r="U42" i="1"/>
  <c r="U43" i="1"/>
  <c r="U44" i="1"/>
  <c r="U45" i="1"/>
  <c r="U46" i="1"/>
  <c r="U47" i="1"/>
  <c r="U48" i="1"/>
  <c r="X48" i="1" s="1"/>
  <c r="U49" i="1"/>
  <c r="U50" i="1"/>
  <c r="U51" i="1"/>
  <c r="U52" i="1"/>
  <c r="U53" i="1"/>
  <c r="U54" i="1"/>
  <c r="U55" i="1"/>
  <c r="U56" i="1"/>
  <c r="U57" i="1"/>
  <c r="U58" i="1"/>
  <c r="U59" i="1"/>
  <c r="U60" i="1"/>
  <c r="U61" i="1"/>
  <c r="U62" i="1"/>
  <c r="U63" i="1"/>
  <c r="U64" i="1"/>
  <c r="U65" i="1"/>
  <c r="U66" i="1"/>
  <c r="U67" i="1"/>
  <c r="U68" i="1"/>
  <c r="U69" i="1"/>
  <c r="U70" i="1"/>
  <c r="U71" i="1"/>
  <c r="U72" i="1"/>
  <c r="X72" i="1" s="1"/>
  <c r="U73" i="1"/>
  <c r="U74" i="1"/>
  <c r="U75" i="1"/>
  <c r="U76" i="1"/>
  <c r="U77" i="1"/>
  <c r="U78" i="1"/>
  <c r="U79" i="1"/>
  <c r="U80" i="1"/>
  <c r="U81" i="1"/>
  <c r="U82" i="1"/>
  <c r="U83" i="1"/>
  <c r="U84" i="1"/>
  <c r="U85" i="1"/>
  <c r="U86" i="1"/>
  <c r="U87" i="1"/>
  <c r="U88" i="1"/>
  <c r="X88" i="1" s="1"/>
  <c r="U89" i="1"/>
  <c r="U90" i="1"/>
  <c r="U91" i="1"/>
  <c r="U92" i="1"/>
  <c r="U93" i="1"/>
  <c r="U94" i="1"/>
  <c r="U95" i="1"/>
  <c r="U96" i="1"/>
  <c r="X96" i="1" s="1"/>
  <c r="U97" i="1"/>
  <c r="U98" i="1"/>
  <c r="U99" i="1"/>
  <c r="U100" i="1"/>
  <c r="U101" i="1"/>
  <c r="U102" i="1"/>
  <c r="U103" i="1"/>
  <c r="U104" i="1"/>
  <c r="X104" i="1" s="1"/>
  <c r="U105" i="1"/>
  <c r="U106" i="1"/>
  <c r="U107" i="1"/>
  <c r="U108" i="1"/>
  <c r="U109" i="1"/>
  <c r="U110" i="1"/>
  <c r="U111" i="1"/>
  <c r="U112" i="1"/>
  <c r="X112" i="1" s="1"/>
  <c r="U113" i="1"/>
  <c r="U114" i="1"/>
  <c r="U115" i="1"/>
  <c r="U116" i="1"/>
  <c r="U117" i="1"/>
  <c r="U118" i="1"/>
  <c r="U119" i="1"/>
  <c r="U120" i="1"/>
  <c r="U121" i="1"/>
  <c r="U122" i="1"/>
  <c r="U123" i="1"/>
  <c r="U124" i="1"/>
  <c r="U125" i="1"/>
  <c r="U126" i="1"/>
  <c r="U127" i="1"/>
  <c r="U128" i="1"/>
  <c r="U129" i="1"/>
  <c r="U130" i="1"/>
  <c r="U131" i="1"/>
  <c r="U132" i="1"/>
  <c r="U133" i="1"/>
  <c r="U134" i="1"/>
  <c r="U135" i="1"/>
  <c r="U136" i="1"/>
  <c r="X136" i="1" s="1"/>
  <c r="U137" i="1"/>
  <c r="U138" i="1"/>
  <c r="U139" i="1"/>
  <c r="U140" i="1"/>
  <c r="U141" i="1"/>
  <c r="U142" i="1"/>
  <c r="U143" i="1"/>
  <c r="U144" i="1"/>
  <c r="U145" i="1"/>
  <c r="U146" i="1"/>
  <c r="U147" i="1"/>
  <c r="U148" i="1"/>
  <c r="U149" i="1"/>
  <c r="U150" i="1"/>
  <c r="U151" i="1"/>
  <c r="U152" i="1"/>
  <c r="X152" i="1" s="1"/>
  <c r="U153" i="1"/>
  <c r="U154" i="1"/>
  <c r="U155" i="1"/>
  <c r="U156" i="1"/>
  <c r="U157" i="1"/>
  <c r="U158" i="1"/>
  <c r="U159" i="1"/>
  <c r="U160" i="1"/>
  <c r="X160" i="1" s="1"/>
  <c r="U161" i="1"/>
  <c r="U162" i="1"/>
  <c r="U163" i="1"/>
  <c r="U164" i="1"/>
  <c r="U165" i="1"/>
  <c r="U166" i="1"/>
  <c r="U167" i="1"/>
  <c r="U168" i="1"/>
  <c r="X168" i="1" s="1"/>
  <c r="U169" i="1"/>
  <c r="U170" i="1"/>
  <c r="U171" i="1"/>
  <c r="U172" i="1"/>
  <c r="U173" i="1"/>
  <c r="U174" i="1"/>
  <c r="U175" i="1"/>
  <c r="U176" i="1"/>
  <c r="X176" i="1" s="1"/>
  <c r="U177" i="1"/>
  <c r="U178" i="1"/>
  <c r="U179" i="1"/>
  <c r="U180" i="1"/>
  <c r="U181" i="1"/>
  <c r="U182" i="1"/>
  <c r="U183" i="1"/>
  <c r="U184" i="1"/>
  <c r="U185" i="1"/>
  <c r="U186" i="1"/>
  <c r="U187" i="1"/>
  <c r="U188" i="1"/>
  <c r="U189" i="1"/>
  <c r="U190" i="1"/>
  <c r="U191" i="1"/>
  <c r="U192" i="1"/>
  <c r="U193" i="1"/>
  <c r="U194" i="1"/>
  <c r="U195" i="1"/>
  <c r="U196" i="1"/>
  <c r="U197" i="1"/>
  <c r="U198" i="1"/>
  <c r="U199" i="1"/>
  <c r="U200" i="1"/>
  <c r="X200" i="1" s="1"/>
  <c r="U201" i="1"/>
  <c r="U202" i="1"/>
  <c r="U203" i="1"/>
  <c r="U204" i="1"/>
  <c r="U205" i="1"/>
  <c r="U206" i="1"/>
  <c r="U207" i="1"/>
  <c r="U208" i="1"/>
  <c r="U209" i="1"/>
  <c r="U210" i="1"/>
  <c r="U211" i="1"/>
  <c r="U212" i="1"/>
  <c r="U213" i="1"/>
  <c r="U214" i="1"/>
  <c r="U215" i="1"/>
  <c r="U216" i="1"/>
  <c r="X216" i="1" s="1"/>
  <c r="U217" i="1"/>
  <c r="U218" i="1"/>
  <c r="U219" i="1"/>
  <c r="U220" i="1"/>
  <c r="U221" i="1"/>
  <c r="U222" i="1"/>
  <c r="U223" i="1"/>
  <c r="U224" i="1"/>
  <c r="X224" i="1" s="1"/>
  <c r="U225" i="1"/>
  <c r="U226" i="1"/>
  <c r="U227" i="1"/>
  <c r="U228" i="1"/>
  <c r="U229" i="1"/>
  <c r="U230" i="1"/>
  <c r="U231" i="1"/>
  <c r="U232" i="1"/>
  <c r="X232" i="1" s="1"/>
  <c r="U233" i="1"/>
  <c r="U234" i="1"/>
  <c r="U235" i="1"/>
  <c r="U236" i="1"/>
  <c r="U237" i="1"/>
  <c r="U238" i="1"/>
  <c r="U239" i="1"/>
  <c r="U240" i="1"/>
  <c r="X240" i="1" s="1"/>
  <c r="U241" i="1"/>
  <c r="U242" i="1"/>
  <c r="U243" i="1"/>
  <c r="U244" i="1"/>
  <c r="U245" i="1"/>
  <c r="U246" i="1"/>
  <c r="U247" i="1"/>
  <c r="U248" i="1"/>
  <c r="U249" i="1"/>
  <c r="U250" i="1"/>
  <c r="U251" i="1"/>
  <c r="U252" i="1"/>
  <c r="U253" i="1"/>
  <c r="U254" i="1"/>
  <c r="X254" i="1" s="1"/>
  <c r="U255" i="1"/>
  <c r="U256" i="1"/>
  <c r="U257" i="1"/>
  <c r="U258" i="1"/>
  <c r="U259" i="1"/>
  <c r="U260" i="1"/>
  <c r="U261" i="1"/>
  <c r="U262" i="1"/>
  <c r="X262" i="1" s="1"/>
  <c r="U263" i="1"/>
  <c r="U264" i="1"/>
  <c r="X264" i="1" s="1"/>
  <c r="U265" i="1"/>
  <c r="U266" i="1"/>
  <c r="U267" i="1"/>
  <c r="U268" i="1"/>
  <c r="U269" i="1"/>
  <c r="U270" i="1"/>
  <c r="X270" i="1" s="1"/>
  <c r="U271" i="1"/>
  <c r="U272" i="1"/>
  <c r="X272" i="1" s="1"/>
  <c r="U273" i="1"/>
  <c r="U274" i="1"/>
  <c r="U275" i="1"/>
  <c r="U276" i="1"/>
  <c r="U277" i="1"/>
  <c r="U278" i="1"/>
  <c r="U279" i="1"/>
  <c r="U280" i="1"/>
  <c r="U281" i="1"/>
  <c r="U282" i="1"/>
  <c r="U283" i="1"/>
  <c r="U284" i="1"/>
  <c r="U285" i="1"/>
  <c r="X285" i="1" s="1"/>
  <c r="U286" i="1"/>
  <c r="U287" i="1"/>
  <c r="U288" i="1"/>
  <c r="U289" i="1"/>
  <c r="U290" i="1"/>
  <c r="U291" i="1"/>
  <c r="U292" i="1"/>
  <c r="U293" i="1"/>
  <c r="U294" i="1"/>
  <c r="U295" i="1"/>
  <c r="U296" i="1"/>
  <c r="X296" i="1" s="1"/>
  <c r="U297" i="1"/>
  <c r="U298" i="1"/>
  <c r="U299" i="1"/>
  <c r="U300" i="1"/>
  <c r="U301" i="1"/>
  <c r="U302" i="1"/>
  <c r="U303" i="1"/>
  <c r="U304" i="1"/>
  <c r="X304" i="1" s="1"/>
  <c r="U305" i="1"/>
  <c r="U306" i="1"/>
  <c r="U307" i="1"/>
  <c r="U308" i="1"/>
  <c r="U309" i="1"/>
  <c r="U310" i="1"/>
  <c r="U311" i="1"/>
  <c r="U312" i="1"/>
  <c r="X312" i="1" s="1"/>
  <c r="U313" i="1"/>
  <c r="U314" i="1"/>
  <c r="U315" i="1"/>
  <c r="U316" i="1"/>
  <c r="U317" i="1"/>
  <c r="U318" i="1"/>
  <c r="U319" i="1"/>
  <c r="U320" i="1"/>
  <c r="X320" i="1" s="1"/>
  <c r="U321" i="1"/>
  <c r="U322" i="1"/>
  <c r="U323" i="1"/>
  <c r="U324" i="1"/>
  <c r="U325" i="1"/>
  <c r="U326" i="1"/>
  <c r="X326" i="1" s="1"/>
  <c r="U327" i="1"/>
  <c r="U328" i="1"/>
  <c r="U329" i="1"/>
  <c r="U330" i="1"/>
  <c r="U331" i="1"/>
  <c r="U332" i="1"/>
  <c r="U333" i="1"/>
  <c r="U334" i="1"/>
  <c r="U335" i="1"/>
  <c r="U336" i="1"/>
  <c r="X336" i="1" s="1"/>
  <c r="U337" i="1"/>
  <c r="U338" i="1"/>
  <c r="U339" i="1"/>
  <c r="U340" i="1"/>
  <c r="U341" i="1"/>
  <c r="U342" i="1"/>
  <c r="U343" i="1"/>
  <c r="X343" i="1" s="1"/>
  <c r="U344" i="1"/>
  <c r="U345" i="1"/>
  <c r="U346" i="1"/>
  <c r="U347" i="1"/>
  <c r="U348" i="1"/>
  <c r="U349" i="1"/>
  <c r="U350" i="1"/>
  <c r="U351" i="1"/>
  <c r="U352" i="1"/>
  <c r="X352" i="1" s="1"/>
  <c r="U353" i="1"/>
  <c r="U354" i="1"/>
  <c r="U355" i="1"/>
  <c r="U356" i="1"/>
  <c r="U357" i="1"/>
  <c r="U358" i="1"/>
  <c r="U359" i="1"/>
  <c r="U360" i="1"/>
  <c r="X360" i="1" s="1"/>
  <c r="U361" i="1"/>
  <c r="U362" i="1"/>
  <c r="X362" i="1" s="1"/>
  <c r="U363" i="1"/>
  <c r="U364" i="1"/>
  <c r="U365" i="1"/>
  <c r="U366" i="1"/>
  <c r="U367" i="1"/>
  <c r="U368" i="1"/>
  <c r="X368" i="1" s="1"/>
  <c r="U369" i="1"/>
  <c r="U370" i="1"/>
  <c r="U371" i="1"/>
  <c r="U372" i="1"/>
  <c r="U373" i="1"/>
  <c r="U374" i="1"/>
  <c r="U375" i="1"/>
  <c r="U376" i="1"/>
  <c r="X376" i="1" s="1"/>
  <c r="U377" i="1"/>
  <c r="U378" i="1"/>
  <c r="U379" i="1"/>
  <c r="U380" i="1"/>
  <c r="U381" i="1"/>
  <c r="U382" i="1"/>
  <c r="U383" i="1"/>
  <c r="U384" i="1"/>
  <c r="X384" i="1" s="1"/>
  <c r="U385" i="1"/>
  <c r="U386" i="1"/>
  <c r="U387" i="1"/>
  <c r="U388" i="1"/>
  <c r="U389" i="1"/>
  <c r="U390" i="1"/>
  <c r="X390" i="1" s="1"/>
  <c r="U391" i="1"/>
  <c r="U392" i="1"/>
  <c r="U393" i="1"/>
  <c r="U394" i="1"/>
  <c r="U395" i="1"/>
  <c r="U396" i="1"/>
  <c r="U397" i="1"/>
  <c r="U398" i="1"/>
  <c r="U399" i="1"/>
  <c r="U400" i="1"/>
  <c r="X400" i="1" s="1"/>
  <c r="U401" i="1"/>
  <c r="U402" i="1"/>
  <c r="U403" i="1"/>
  <c r="U404" i="1"/>
  <c r="U405" i="1"/>
  <c r="U406" i="1"/>
  <c r="U407" i="1"/>
  <c r="U408" i="1"/>
  <c r="U409" i="1"/>
  <c r="U410" i="1"/>
  <c r="U411" i="1"/>
  <c r="U412" i="1"/>
  <c r="U413" i="1"/>
  <c r="U414" i="1"/>
  <c r="U415" i="1"/>
  <c r="U416" i="1"/>
  <c r="X416" i="1" s="1"/>
  <c r="U417" i="1"/>
  <c r="U418" i="1"/>
  <c r="U419" i="1"/>
  <c r="U420" i="1"/>
  <c r="U421" i="1"/>
  <c r="U422" i="1"/>
  <c r="U423" i="1"/>
  <c r="U424" i="1"/>
  <c r="X424" i="1" s="1"/>
  <c r="U425" i="1"/>
  <c r="U426" i="1"/>
  <c r="U427" i="1"/>
  <c r="U428" i="1"/>
  <c r="U429" i="1"/>
  <c r="U430" i="1"/>
  <c r="U431" i="1"/>
  <c r="U432" i="1"/>
  <c r="X432" i="1" s="1"/>
  <c r="U433" i="1"/>
  <c r="U434" i="1"/>
  <c r="U435" i="1"/>
  <c r="U436" i="1"/>
  <c r="U437" i="1"/>
  <c r="U438" i="1"/>
  <c r="U439" i="1"/>
  <c r="U440" i="1"/>
  <c r="U441" i="1"/>
  <c r="U442" i="1"/>
  <c r="X442" i="1" s="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X468" i="1" s="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X499" i="1" s="1"/>
  <c r="U500" i="1"/>
  <c r="U501" i="1"/>
  <c r="U502" i="1"/>
  <c r="U503" i="1"/>
  <c r="U504" i="1"/>
  <c r="U505" i="1"/>
  <c r="U506" i="1"/>
  <c r="U507" i="1"/>
  <c r="U508" i="1"/>
  <c r="X508" i="1" s="1"/>
  <c r="U509" i="1"/>
  <c r="U510" i="1"/>
  <c r="U511" i="1"/>
  <c r="U512" i="1"/>
  <c r="X512" i="1" s="1"/>
  <c r="U513" i="1"/>
  <c r="U514" i="1"/>
  <c r="U515" i="1"/>
  <c r="U516" i="1"/>
  <c r="U517" i="1"/>
  <c r="U518" i="1"/>
  <c r="U519" i="1"/>
  <c r="U520" i="1"/>
  <c r="U521" i="1"/>
  <c r="U522" i="1"/>
  <c r="U523" i="1"/>
  <c r="X523" i="1" s="1"/>
  <c r="U524" i="1"/>
  <c r="U525" i="1"/>
  <c r="U526" i="1"/>
  <c r="X526" i="1" s="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X567" i="1" s="1"/>
  <c r="U568" i="1"/>
  <c r="U569" i="1"/>
  <c r="U570" i="1"/>
  <c r="U571" i="1"/>
  <c r="U572" i="1"/>
  <c r="U573" i="1"/>
  <c r="U574" i="1"/>
  <c r="U575" i="1"/>
  <c r="X575" i="1" s="1"/>
  <c r="U576" i="1"/>
  <c r="U577" i="1"/>
  <c r="V570" i="1" s="1"/>
  <c r="U578" i="1"/>
  <c r="U579" i="1"/>
  <c r="U580" i="1"/>
  <c r="U581" i="1"/>
  <c r="U582" i="1"/>
  <c r="U583" i="1"/>
  <c r="U584" i="1"/>
  <c r="U585" i="1"/>
  <c r="U586" i="1"/>
  <c r="U587" i="1"/>
  <c r="U588" i="1"/>
  <c r="U589" i="1"/>
  <c r="U590" i="1"/>
  <c r="U591" i="1"/>
  <c r="X591" i="1" s="1"/>
  <c r="U592" i="1"/>
  <c r="U593" i="1"/>
  <c r="U594" i="1"/>
  <c r="U595" i="1"/>
  <c r="U596" i="1"/>
  <c r="U597" i="1"/>
  <c r="U598" i="1"/>
  <c r="U599" i="1"/>
  <c r="U600" i="1"/>
  <c r="U601" i="1"/>
  <c r="U602" i="1"/>
  <c r="U603" i="1"/>
  <c r="U604" i="1"/>
  <c r="U605" i="1"/>
  <c r="U606" i="1"/>
  <c r="U607" i="1"/>
  <c r="U608" i="1"/>
  <c r="U609" i="1"/>
  <c r="U610" i="1"/>
  <c r="U611" i="1"/>
  <c r="U612" i="1"/>
  <c r="U613" i="1"/>
  <c r="U614" i="1"/>
  <c r="U615" i="1"/>
  <c r="X615" i="1" s="1"/>
  <c r="U616" i="1"/>
  <c r="U617" i="1"/>
  <c r="U618" i="1"/>
  <c r="U619" i="1"/>
  <c r="U620" i="1"/>
  <c r="U621" i="1"/>
  <c r="U622" i="1"/>
  <c r="U623" i="1"/>
  <c r="U624" i="1"/>
  <c r="U625" i="1"/>
  <c r="U626" i="1"/>
  <c r="U627" i="1"/>
  <c r="U628" i="1"/>
  <c r="U629" i="1"/>
  <c r="U630" i="1"/>
  <c r="U631" i="1"/>
  <c r="U632" i="1"/>
  <c r="U633" i="1"/>
  <c r="U2" i="1"/>
  <c r="F3" i="1"/>
  <c r="F5" i="1"/>
  <c r="F6" i="1"/>
  <c r="F7" i="1"/>
  <c r="F8" i="1"/>
  <c r="F9" i="1"/>
  <c r="F10" i="1"/>
  <c r="F11" i="1"/>
  <c r="F12" i="1"/>
  <c r="F13" i="1"/>
  <c r="F14" i="1"/>
  <c r="F15" i="1"/>
  <c r="F16" i="1"/>
  <c r="F18" i="1"/>
  <c r="F19" i="1"/>
  <c r="F20" i="1"/>
  <c r="F21" i="1"/>
  <c r="F23" i="1"/>
  <c r="F24" i="1"/>
  <c r="F26" i="1"/>
  <c r="F27" i="1"/>
  <c r="F28" i="1"/>
  <c r="F29" i="1"/>
  <c r="F31" i="1"/>
  <c r="F32" i="1"/>
  <c r="F34" i="1"/>
  <c r="F35" i="1"/>
  <c r="F36" i="1"/>
  <c r="F37" i="1"/>
  <c r="F42" i="1"/>
  <c r="F43" i="1"/>
  <c r="F44" i="1"/>
  <c r="F47" i="1"/>
  <c r="F50" i="1"/>
  <c r="F51" i="1"/>
  <c r="F52" i="1"/>
  <c r="F58" i="1"/>
  <c r="F59" i="1"/>
  <c r="F66" i="1"/>
  <c r="F67" i="1"/>
  <c r="F74" i="1"/>
  <c r="F82" i="1"/>
  <c r="V578" i="1" l="1"/>
  <c r="V538" i="1"/>
  <c r="V467" i="1"/>
  <c r="V162" i="1"/>
  <c r="V594" i="1"/>
  <c r="V2" i="1"/>
  <c r="V522" i="1"/>
  <c r="V514" i="1"/>
  <c r="V482" i="1"/>
  <c r="V402" i="1"/>
  <c r="V314" i="1"/>
  <c r="V194" i="1"/>
  <c r="V146" i="1"/>
  <c r="V371" i="1"/>
  <c r="V379" i="1"/>
  <c r="V372" i="1"/>
  <c r="V373" i="1"/>
  <c r="V374" i="1"/>
  <c r="V375" i="1"/>
  <c r="V376" i="1"/>
  <c r="V377" i="1"/>
  <c r="V275" i="1"/>
  <c r="V283" i="1"/>
  <c r="V291" i="1"/>
  <c r="V276" i="1"/>
  <c r="V284" i="1"/>
  <c r="V277" i="1"/>
  <c r="V285" i="1"/>
  <c r="V270" i="1"/>
  <c r="V278" i="1"/>
  <c r="V286" i="1"/>
  <c r="V271" i="1"/>
  <c r="V279" i="1"/>
  <c r="V287" i="1"/>
  <c r="V272" i="1"/>
  <c r="V280" i="1"/>
  <c r="V288" i="1"/>
  <c r="V273" i="1"/>
  <c r="V281" i="1"/>
  <c r="V289" i="1"/>
  <c r="V179" i="1"/>
  <c r="V175" i="1"/>
  <c r="V176" i="1"/>
  <c r="V177" i="1"/>
  <c r="V610" i="1"/>
  <c r="V546" i="1"/>
  <c r="V418" i="1"/>
  <c r="V354" i="1"/>
  <c r="V290" i="1"/>
  <c r="V226" i="1"/>
  <c r="V471" i="1"/>
  <c r="V472" i="1"/>
  <c r="V473" i="1"/>
  <c r="V463" i="1"/>
  <c r="V464" i="1"/>
  <c r="V465" i="1"/>
  <c r="V387" i="1"/>
  <c r="V388" i="1"/>
  <c r="V389" i="1"/>
  <c r="V390" i="1"/>
  <c r="V383" i="1"/>
  <c r="V391" i="1"/>
  <c r="V384" i="1"/>
  <c r="V392" i="1"/>
  <c r="V385" i="1"/>
  <c r="V393" i="1"/>
  <c r="V253" i="1"/>
  <c r="V254" i="1"/>
  <c r="V255" i="1"/>
  <c r="V256" i="1"/>
  <c r="V257" i="1"/>
  <c r="V131" i="1"/>
  <c r="V132" i="1"/>
  <c r="V133" i="1"/>
  <c r="V134" i="1"/>
  <c r="V135" i="1"/>
  <c r="V136" i="1"/>
  <c r="V137" i="1"/>
  <c r="V19" i="1"/>
  <c r="V20" i="1"/>
  <c r="V21" i="1"/>
  <c r="V22" i="1"/>
  <c r="V15" i="1"/>
  <c r="V23" i="1"/>
  <c r="V16" i="1"/>
  <c r="V24" i="1"/>
  <c r="V17" i="1"/>
  <c r="V25" i="1"/>
  <c r="V18" i="1"/>
  <c r="V26" i="1"/>
  <c r="V602" i="1"/>
  <c r="V474" i="1"/>
  <c r="V410" i="1"/>
  <c r="V346" i="1"/>
  <c r="V282" i="1"/>
  <c r="V218" i="1"/>
  <c r="V154" i="1"/>
  <c r="V531" i="1"/>
  <c r="V539" i="1"/>
  <c r="V547" i="1"/>
  <c r="V555" i="1"/>
  <c r="V563" i="1"/>
  <c r="V532" i="1"/>
  <c r="V540" i="1"/>
  <c r="V548" i="1"/>
  <c r="V556" i="1"/>
  <c r="V533" i="1"/>
  <c r="V541" i="1"/>
  <c r="V549" i="1"/>
  <c r="V557" i="1"/>
  <c r="V534" i="1"/>
  <c r="V542" i="1"/>
  <c r="V550" i="1"/>
  <c r="V558" i="1"/>
  <c r="V527" i="1"/>
  <c r="V535" i="1"/>
  <c r="V543" i="1"/>
  <c r="V551" i="1"/>
  <c r="V559" i="1"/>
  <c r="V528" i="1"/>
  <c r="V536" i="1"/>
  <c r="V544" i="1"/>
  <c r="V552" i="1"/>
  <c r="V560" i="1"/>
  <c r="V529" i="1"/>
  <c r="V537" i="1"/>
  <c r="V545" i="1"/>
  <c r="V553" i="1"/>
  <c r="V561" i="1"/>
  <c r="V163" i="1"/>
  <c r="V160" i="1"/>
  <c r="V161" i="1"/>
  <c r="V590" i="1"/>
  <c r="V591" i="1"/>
  <c r="V592" i="1"/>
  <c r="V593" i="1"/>
  <c r="V530" i="1"/>
  <c r="V466" i="1"/>
  <c r="V338" i="1"/>
  <c r="V274" i="1"/>
  <c r="V210" i="1"/>
  <c r="V517" i="1"/>
  <c r="V518" i="1"/>
  <c r="V519" i="1"/>
  <c r="V520" i="1"/>
  <c r="V521" i="1"/>
  <c r="V564" i="1"/>
  <c r="V327" i="1"/>
  <c r="V187" i="1"/>
  <c r="V128" i="1"/>
  <c r="V78" i="1"/>
  <c r="V27" i="1"/>
  <c r="V586" i="1"/>
  <c r="V458" i="1"/>
  <c r="V394" i="1"/>
  <c r="V330" i="1"/>
  <c r="V266" i="1"/>
  <c r="V202" i="1"/>
  <c r="V138" i="1"/>
  <c r="V171" i="1"/>
  <c r="V164" i="1"/>
  <c r="V165" i="1"/>
  <c r="V166" i="1"/>
  <c r="V167" i="1"/>
  <c r="V168" i="1"/>
  <c r="V169" i="1"/>
  <c r="V129" i="1"/>
  <c r="V127" i="1"/>
  <c r="V63" i="1"/>
  <c r="V58" i="1"/>
  <c r="V50" i="1"/>
  <c r="V42" i="1"/>
  <c r="V450" i="1"/>
  <c r="V386" i="1"/>
  <c r="V322" i="1"/>
  <c r="V258" i="1"/>
  <c r="V130" i="1"/>
  <c r="V499" i="1"/>
  <c r="V507" i="1"/>
  <c r="V500" i="1"/>
  <c r="V501" i="1"/>
  <c r="V494" i="1"/>
  <c r="V502" i="1"/>
  <c r="V495" i="1"/>
  <c r="V503" i="1"/>
  <c r="V496" i="1"/>
  <c r="V504" i="1"/>
  <c r="V497" i="1"/>
  <c r="V505" i="1"/>
  <c r="V107" i="1"/>
  <c r="V104" i="1"/>
  <c r="V105" i="1"/>
  <c r="V106" i="1"/>
  <c r="V3" i="1"/>
  <c r="V11" i="1"/>
  <c r="V4" i="1"/>
  <c r="V5" i="1"/>
  <c r="V6" i="1"/>
  <c r="V7" i="1"/>
  <c r="V8" i="1"/>
  <c r="V9" i="1"/>
  <c r="V10" i="1"/>
  <c r="V89" i="1"/>
  <c r="X631" i="1"/>
  <c r="Y631" i="1" s="1"/>
  <c r="V629" i="1"/>
  <c r="V630" i="1"/>
  <c r="V631" i="1"/>
  <c r="V483" i="1"/>
  <c r="V484" i="1"/>
  <c r="V485" i="1"/>
  <c r="V486" i="1"/>
  <c r="V487" i="1"/>
  <c r="V480" i="1"/>
  <c r="V481" i="1"/>
  <c r="V411" i="1"/>
  <c r="V419" i="1"/>
  <c r="V427" i="1"/>
  <c r="V435" i="1"/>
  <c r="V412" i="1"/>
  <c r="V420" i="1"/>
  <c r="V428" i="1"/>
  <c r="V436" i="1"/>
  <c r="V413" i="1"/>
  <c r="V421" i="1"/>
  <c r="V429" i="1"/>
  <c r="V437" i="1"/>
  <c r="V414" i="1"/>
  <c r="V422" i="1"/>
  <c r="V430" i="1"/>
  <c r="V438" i="1"/>
  <c r="V407" i="1"/>
  <c r="V415" i="1"/>
  <c r="V423" i="1"/>
  <c r="V431" i="1"/>
  <c r="V439" i="1"/>
  <c r="V408" i="1"/>
  <c r="V416" i="1"/>
  <c r="V424" i="1"/>
  <c r="V432" i="1"/>
  <c r="V409" i="1"/>
  <c r="V417" i="1"/>
  <c r="V425" i="1"/>
  <c r="V433" i="1"/>
  <c r="V237" i="1"/>
  <c r="V238" i="1"/>
  <c r="V239" i="1"/>
  <c r="V67" i="1"/>
  <c r="V68" i="1"/>
  <c r="V69" i="1"/>
  <c r="V70" i="1"/>
  <c r="V71" i="1"/>
  <c r="V64" i="1"/>
  <c r="V65" i="1"/>
  <c r="V66" i="1"/>
  <c r="V468" i="1"/>
  <c r="V380" i="1"/>
  <c r="V331" i="1"/>
  <c r="V299" i="1"/>
  <c r="V219" i="1"/>
  <c r="V174" i="1"/>
  <c r="V115" i="1"/>
  <c r="V51" i="1"/>
  <c r="V43" i="1"/>
  <c r="V37" i="1"/>
  <c r="V12" i="1"/>
  <c r="V506" i="1"/>
  <c r="V442" i="1"/>
  <c r="V378" i="1"/>
  <c r="V250" i="1"/>
  <c r="V186" i="1"/>
  <c r="V122" i="1"/>
  <c r="V573" i="1"/>
  <c r="V574" i="1"/>
  <c r="V575" i="1"/>
  <c r="V576" i="1"/>
  <c r="V577" i="1"/>
  <c r="V508" i="1"/>
  <c r="V509" i="1"/>
  <c r="V510" i="1"/>
  <c r="V511" i="1"/>
  <c r="V512" i="1"/>
  <c r="V513" i="1"/>
  <c r="V475" i="1"/>
  <c r="V476" i="1"/>
  <c r="V477" i="1"/>
  <c r="V478" i="1"/>
  <c r="V479" i="1"/>
  <c r="V355" i="1"/>
  <c r="V363" i="1"/>
  <c r="V356" i="1"/>
  <c r="V364" i="1"/>
  <c r="V357" i="1"/>
  <c r="V365" i="1"/>
  <c r="V358" i="1"/>
  <c r="V366" i="1"/>
  <c r="V351" i="1"/>
  <c r="V359" i="1"/>
  <c r="V367" i="1"/>
  <c r="V352" i="1"/>
  <c r="V360" i="1"/>
  <c r="V353" i="1"/>
  <c r="V361" i="1"/>
  <c r="V139" i="1"/>
  <c r="V147" i="1"/>
  <c r="V155" i="1"/>
  <c r="V140" i="1"/>
  <c r="V148" i="1"/>
  <c r="V156" i="1"/>
  <c r="V141" i="1"/>
  <c r="V149" i="1"/>
  <c r="V157" i="1"/>
  <c r="V142" i="1"/>
  <c r="V150" i="1"/>
  <c r="V158" i="1"/>
  <c r="V143" i="1"/>
  <c r="V151" i="1"/>
  <c r="V159" i="1"/>
  <c r="V144" i="1"/>
  <c r="V152" i="1"/>
  <c r="V145" i="1"/>
  <c r="V153" i="1"/>
  <c r="V91" i="1"/>
  <c r="V99" i="1"/>
  <c r="V92" i="1"/>
  <c r="V100" i="1"/>
  <c r="V93" i="1"/>
  <c r="V101" i="1"/>
  <c r="V94" i="1"/>
  <c r="V102" i="1"/>
  <c r="V95" i="1"/>
  <c r="V103" i="1"/>
  <c r="V96" i="1"/>
  <c r="V98" i="1"/>
  <c r="V97" i="1"/>
  <c r="V39" i="1"/>
  <c r="V34" i="1"/>
  <c r="V595" i="1"/>
  <c r="V443" i="1"/>
  <c r="V619" i="1"/>
  <c r="V491" i="1"/>
  <c r="V267" i="1"/>
  <c r="V626" i="1"/>
  <c r="V562" i="1"/>
  <c r="V498" i="1"/>
  <c r="V434" i="1"/>
  <c r="V370" i="1"/>
  <c r="V306" i="1"/>
  <c r="V242" i="1"/>
  <c r="V178" i="1"/>
  <c r="V114" i="1"/>
  <c r="V603" i="1"/>
  <c r="V611" i="1"/>
  <c r="V604" i="1"/>
  <c r="V605" i="1"/>
  <c r="V606" i="1"/>
  <c r="V599" i="1"/>
  <c r="V607" i="1"/>
  <c r="V600" i="1"/>
  <c r="V608" i="1"/>
  <c r="V601" i="1"/>
  <c r="V609" i="1"/>
  <c r="V368" i="1"/>
  <c r="V369" i="1"/>
  <c r="X583" i="1"/>
  <c r="Y583" i="1" s="1"/>
  <c r="V579" i="1"/>
  <c r="V580" i="1"/>
  <c r="V581" i="1"/>
  <c r="V582" i="1"/>
  <c r="V583" i="1"/>
  <c r="V85" i="1"/>
  <c r="V86" i="1"/>
  <c r="V87" i="1"/>
  <c r="V74" i="1"/>
  <c r="V82" i="1"/>
  <c r="V462" i="1"/>
  <c r="V405" i="1"/>
  <c r="V587" i="1"/>
  <c r="V459" i="1"/>
  <c r="V323" i="1"/>
  <c r="V307" i="1"/>
  <c r="V172" i="1"/>
  <c r="V77" i="1"/>
  <c r="V627" i="1"/>
  <c r="V571" i="1"/>
  <c r="V515" i="1"/>
  <c r="V403" i="1"/>
  <c r="V395" i="1"/>
  <c r="V243" i="1"/>
  <c r="V235" i="1"/>
  <c r="V211" i="1"/>
  <c r="V83" i="1"/>
  <c r="V75" i="1"/>
  <c r="V35" i="1"/>
  <c r="V618" i="1"/>
  <c r="V554" i="1"/>
  <c r="V490" i="1"/>
  <c r="V426" i="1"/>
  <c r="V362" i="1"/>
  <c r="V298" i="1"/>
  <c r="V234" i="1"/>
  <c r="V170" i="1"/>
  <c r="V90" i="1"/>
  <c r="V625" i="1"/>
  <c r="V617" i="1"/>
  <c r="V585" i="1"/>
  <c r="V569" i="1"/>
  <c r="V489" i="1"/>
  <c r="V457" i="1"/>
  <c r="V449" i="1"/>
  <c r="V441" i="1"/>
  <c r="V401" i="1"/>
  <c r="V345" i="1"/>
  <c r="V337" i="1"/>
  <c r="V329" i="1"/>
  <c r="V321" i="1"/>
  <c r="V313" i="1"/>
  <c r="V305" i="1"/>
  <c r="V297" i="1"/>
  <c r="V265" i="1"/>
  <c r="V249" i="1"/>
  <c r="V241" i="1"/>
  <c r="V233" i="1"/>
  <c r="V225" i="1"/>
  <c r="V217" i="1"/>
  <c r="V209" i="1"/>
  <c r="V201" i="1"/>
  <c r="V193" i="1"/>
  <c r="V185" i="1"/>
  <c r="V121" i="1"/>
  <c r="V113" i="1"/>
  <c r="V81" i="1"/>
  <c r="V73" i="1"/>
  <c r="V57" i="1"/>
  <c r="V49" i="1"/>
  <c r="V41" i="1"/>
  <c r="V33" i="1"/>
  <c r="V624" i="1"/>
  <c r="V616" i="1"/>
  <c r="V584" i="1"/>
  <c r="V568" i="1"/>
  <c r="V488" i="1"/>
  <c r="V456" i="1"/>
  <c r="V448" i="1"/>
  <c r="V440" i="1"/>
  <c r="V400" i="1"/>
  <c r="V344" i="1"/>
  <c r="V336" i="1"/>
  <c r="V328" i="1"/>
  <c r="V320" i="1"/>
  <c r="V312" i="1"/>
  <c r="V304" i="1"/>
  <c r="V296" i="1"/>
  <c r="V264" i="1"/>
  <c r="V248" i="1"/>
  <c r="V240" i="1"/>
  <c r="V232" i="1"/>
  <c r="V224" i="1"/>
  <c r="V216" i="1"/>
  <c r="V208" i="1"/>
  <c r="V200" i="1"/>
  <c r="V192" i="1"/>
  <c r="V184" i="1"/>
  <c r="V120" i="1"/>
  <c r="V112" i="1"/>
  <c r="V88" i="1"/>
  <c r="V80" i="1"/>
  <c r="V72" i="1"/>
  <c r="V56" i="1"/>
  <c r="V48" i="1"/>
  <c r="V40" i="1"/>
  <c r="V32" i="1"/>
  <c r="V623" i="1"/>
  <c r="V615" i="1"/>
  <c r="V567" i="1"/>
  <c r="V455" i="1"/>
  <c r="V447" i="1"/>
  <c r="V399" i="1"/>
  <c r="V343" i="1"/>
  <c r="V335" i="1"/>
  <c r="V319" i="1"/>
  <c r="V311" i="1"/>
  <c r="V303" i="1"/>
  <c r="V295" i="1"/>
  <c r="V263" i="1"/>
  <c r="V247" i="1"/>
  <c r="V231" i="1"/>
  <c r="V223" i="1"/>
  <c r="V215" i="1"/>
  <c r="V207" i="1"/>
  <c r="V199" i="1"/>
  <c r="V191" i="1"/>
  <c r="V183" i="1"/>
  <c r="V119" i="1"/>
  <c r="V111" i="1"/>
  <c r="V79" i="1"/>
  <c r="V55" i="1"/>
  <c r="V47" i="1"/>
  <c r="V31" i="1"/>
  <c r="V622" i="1"/>
  <c r="V614" i="1"/>
  <c r="V598" i="1"/>
  <c r="V566" i="1"/>
  <c r="V526" i="1"/>
  <c r="V470" i="1"/>
  <c r="V454" i="1"/>
  <c r="V446" i="1"/>
  <c r="V406" i="1"/>
  <c r="V398" i="1"/>
  <c r="V382" i="1"/>
  <c r="V350" i="1"/>
  <c r="V342" i="1"/>
  <c r="V334" i="1"/>
  <c r="V326" i="1"/>
  <c r="V318" i="1"/>
  <c r="V310" i="1"/>
  <c r="V302" i="1"/>
  <c r="V294" i="1"/>
  <c r="V262" i="1"/>
  <c r="V246" i="1"/>
  <c r="V230" i="1"/>
  <c r="V222" i="1"/>
  <c r="V214" i="1"/>
  <c r="V206" i="1"/>
  <c r="V198" i="1"/>
  <c r="V190" i="1"/>
  <c r="V182" i="1"/>
  <c r="V126" i="1"/>
  <c r="V118" i="1"/>
  <c r="V110" i="1"/>
  <c r="V62" i="1"/>
  <c r="V54" i="1"/>
  <c r="V46" i="1"/>
  <c r="V38" i="1"/>
  <c r="V30" i="1"/>
  <c r="V14" i="1"/>
  <c r="V621" i="1"/>
  <c r="V613" i="1"/>
  <c r="V597" i="1"/>
  <c r="V589" i="1"/>
  <c r="V565" i="1"/>
  <c r="V525" i="1"/>
  <c r="V493" i="1"/>
  <c r="V469" i="1"/>
  <c r="V461" i="1"/>
  <c r="V453" i="1"/>
  <c r="V445" i="1"/>
  <c r="V397" i="1"/>
  <c r="V381" i="1"/>
  <c r="V349" i="1"/>
  <c r="V341" i="1"/>
  <c r="V333" i="1"/>
  <c r="V325" i="1"/>
  <c r="V317" i="1"/>
  <c r="V309" i="1"/>
  <c r="V301" i="1"/>
  <c r="V293" i="1"/>
  <c r="V269" i="1"/>
  <c r="V261" i="1"/>
  <c r="V245" i="1"/>
  <c r="V229" i="1"/>
  <c r="V221" i="1"/>
  <c r="V213" i="1"/>
  <c r="V205" i="1"/>
  <c r="V197" i="1"/>
  <c r="V189" i="1"/>
  <c r="V181" i="1"/>
  <c r="V173" i="1"/>
  <c r="V125" i="1"/>
  <c r="V117" i="1"/>
  <c r="V109" i="1"/>
  <c r="V61" i="1"/>
  <c r="V53" i="1"/>
  <c r="V45" i="1"/>
  <c r="V29" i="1"/>
  <c r="V13" i="1"/>
  <c r="V628" i="1"/>
  <c r="V620" i="1"/>
  <c r="V612" i="1"/>
  <c r="V596" i="1"/>
  <c r="V588" i="1"/>
  <c r="V572" i="1"/>
  <c r="V524" i="1"/>
  <c r="V516" i="1"/>
  <c r="V492" i="1"/>
  <c r="V460" i="1"/>
  <c r="V452" i="1"/>
  <c r="V444" i="1"/>
  <c r="V404" i="1"/>
  <c r="V396" i="1"/>
  <c r="V348" i="1"/>
  <c r="V340" i="1"/>
  <c r="V332" i="1"/>
  <c r="V324" i="1"/>
  <c r="V316" i="1"/>
  <c r="V308" i="1"/>
  <c r="V300" i="1"/>
  <c r="V292" i="1"/>
  <c r="V268" i="1"/>
  <c r="V260" i="1"/>
  <c r="V252" i="1"/>
  <c r="V244" i="1"/>
  <c r="V236" i="1"/>
  <c r="V228" i="1"/>
  <c r="V220" i="1"/>
  <c r="V212" i="1"/>
  <c r="V204" i="1"/>
  <c r="V196" i="1"/>
  <c r="V188" i="1"/>
  <c r="V180" i="1"/>
  <c r="V124" i="1"/>
  <c r="V116" i="1"/>
  <c r="V108" i="1"/>
  <c r="V84" i="1"/>
  <c r="V76" i="1"/>
  <c r="V60" i="1"/>
  <c r="V52" i="1"/>
  <c r="V44" i="1"/>
  <c r="V36" i="1"/>
  <c r="V28" i="1"/>
  <c r="V523" i="1"/>
  <c r="V451" i="1"/>
  <c r="V347" i="1"/>
  <c r="V339" i="1"/>
  <c r="V315" i="1"/>
  <c r="V259" i="1"/>
  <c r="V251" i="1"/>
  <c r="V227" i="1"/>
  <c r="V203" i="1"/>
  <c r="V195" i="1"/>
  <c r="V123" i="1"/>
  <c r="V59" i="1"/>
  <c r="AC515" i="1"/>
  <c r="AC387" i="1"/>
  <c r="AC195" i="1"/>
  <c r="AC4" i="1"/>
  <c r="AC571" i="1"/>
  <c r="AC507" i="1"/>
  <c r="AC443" i="1"/>
  <c r="AC379" i="1"/>
  <c r="AC315" i="1"/>
  <c r="AC251" i="1"/>
  <c r="AC187" i="1"/>
  <c r="AC123" i="1"/>
  <c r="AC627" i="1"/>
  <c r="AC563" i="1"/>
  <c r="AC499" i="1"/>
  <c r="AC435" i="1"/>
  <c r="AC371" i="1"/>
  <c r="AC307" i="1"/>
  <c r="AC243" i="1"/>
  <c r="AC179" i="1"/>
  <c r="AC115" i="1"/>
  <c r="AC323" i="1"/>
  <c r="AC619" i="1"/>
  <c r="AC555" i="1"/>
  <c r="AC491" i="1"/>
  <c r="AC427" i="1"/>
  <c r="AC363" i="1"/>
  <c r="AC299" i="1"/>
  <c r="AC235" i="1"/>
  <c r="AC171" i="1"/>
  <c r="AC107" i="1"/>
  <c r="AC259" i="1"/>
  <c r="AC611" i="1"/>
  <c r="AC547" i="1"/>
  <c r="AC483" i="1"/>
  <c r="AC419" i="1"/>
  <c r="AC355" i="1"/>
  <c r="AC291" i="1"/>
  <c r="AC227" i="1"/>
  <c r="AC163" i="1"/>
  <c r="AC99" i="1"/>
  <c r="AC579" i="1"/>
  <c r="AC451" i="1"/>
  <c r="AC131" i="1"/>
  <c r="AC603" i="1"/>
  <c r="AC539" i="1"/>
  <c r="AC475" i="1"/>
  <c r="AC411" i="1"/>
  <c r="AC347" i="1"/>
  <c r="AC283" i="1"/>
  <c r="AC219" i="1"/>
  <c r="AC155" i="1"/>
  <c r="AC91" i="1"/>
  <c r="AC595" i="1"/>
  <c r="AC531" i="1"/>
  <c r="AC467" i="1"/>
  <c r="AC403" i="1"/>
  <c r="AC339" i="1"/>
  <c r="AC275" i="1"/>
  <c r="AC211" i="1"/>
  <c r="AC147" i="1"/>
  <c r="AA2" i="1"/>
  <c r="AC2" i="1" s="1"/>
  <c r="AC12" i="1"/>
  <c r="AC20" i="1"/>
  <c r="AC28" i="1"/>
  <c r="AC36" i="1"/>
  <c r="AC44" i="1"/>
  <c r="AC52" i="1"/>
  <c r="AC60" i="1"/>
  <c r="AC68" i="1"/>
  <c r="AC76" i="1"/>
  <c r="AC84" i="1"/>
  <c r="AC92" i="1"/>
  <c r="AC100" i="1"/>
  <c r="AC108" i="1"/>
  <c r="AC116" i="1"/>
  <c r="AC124" i="1"/>
  <c r="AC132" i="1"/>
  <c r="AC140" i="1"/>
  <c r="AC148" i="1"/>
  <c r="AC156" i="1"/>
  <c r="AC164" i="1"/>
  <c r="AC172" i="1"/>
  <c r="AC180" i="1"/>
  <c r="AC188" i="1"/>
  <c r="AC196" i="1"/>
  <c r="AC204" i="1"/>
  <c r="AC212" i="1"/>
  <c r="AC220" i="1"/>
  <c r="AC228" i="1"/>
  <c r="AC236" i="1"/>
  <c r="AC244" i="1"/>
  <c r="AC252" i="1"/>
  <c r="AC260" i="1"/>
  <c r="AC268" i="1"/>
  <c r="AC276" i="1"/>
  <c r="AC284" i="1"/>
  <c r="AC292" i="1"/>
  <c r="AC300" i="1"/>
  <c r="AC308" i="1"/>
  <c r="AC316" i="1"/>
  <c r="AC324" i="1"/>
  <c r="AC332" i="1"/>
  <c r="AC340" i="1"/>
  <c r="AC348" i="1"/>
  <c r="AC356" i="1"/>
  <c r="AC364" i="1"/>
  <c r="AC372" i="1"/>
  <c r="AC380" i="1"/>
  <c r="AC388" i="1"/>
  <c r="AC396" i="1"/>
  <c r="AC404" i="1"/>
  <c r="AC412" i="1"/>
  <c r="AC420" i="1"/>
  <c r="AC428" i="1"/>
  <c r="AC436" i="1"/>
  <c r="AC444" i="1"/>
  <c r="AC452" i="1"/>
  <c r="AC460" i="1"/>
  <c r="AC468" i="1"/>
  <c r="AC476" i="1"/>
  <c r="AC484" i="1"/>
  <c r="AC492" i="1"/>
  <c r="AC500" i="1"/>
  <c r="AC508" i="1"/>
  <c r="AC516" i="1"/>
  <c r="AC524" i="1"/>
  <c r="AC532" i="1"/>
  <c r="AC540" i="1"/>
  <c r="AC548" i="1"/>
  <c r="AC556" i="1"/>
  <c r="AC564" i="1"/>
  <c r="AC572" i="1"/>
  <c r="AC580" i="1"/>
  <c r="AC588" i="1"/>
  <c r="AC596" i="1"/>
  <c r="AC604" i="1"/>
  <c r="AC612" i="1"/>
  <c r="AC620" i="1"/>
  <c r="AC628" i="1"/>
  <c r="AC5" i="1"/>
  <c r="AC13" i="1"/>
  <c r="AC21" i="1"/>
  <c r="AC29" i="1"/>
  <c r="AC37" i="1"/>
  <c r="AC45" i="1"/>
  <c r="AC53" i="1"/>
  <c r="AC61" i="1"/>
  <c r="AC69" i="1"/>
  <c r="AC77" i="1"/>
  <c r="AC85" i="1"/>
  <c r="AC93" i="1"/>
  <c r="AC101" i="1"/>
  <c r="AC109" i="1"/>
  <c r="AC117" i="1"/>
  <c r="AC125" i="1"/>
  <c r="AC133" i="1"/>
  <c r="AC141" i="1"/>
  <c r="AC149" i="1"/>
  <c r="AC157" i="1"/>
  <c r="AC165" i="1"/>
  <c r="AC173" i="1"/>
  <c r="AC181" i="1"/>
  <c r="AC189" i="1"/>
  <c r="AC197" i="1"/>
  <c r="AC205" i="1"/>
  <c r="AC213" i="1"/>
  <c r="AC221" i="1"/>
  <c r="AC229" i="1"/>
  <c r="AC237" i="1"/>
  <c r="AC245" i="1"/>
  <c r="AC253" i="1"/>
  <c r="AC261" i="1"/>
  <c r="AC269" i="1"/>
  <c r="AC277" i="1"/>
  <c r="AC285" i="1"/>
  <c r="AC293" i="1"/>
  <c r="AC301" i="1"/>
  <c r="AC309" i="1"/>
  <c r="AC317" i="1"/>
  <c r="AC325" i="1"/>
  <c r="AC333" i="1"/>
  <c r="AC341" i="1"/>
  <c r="AC349" i="1"/>
  <c r="AC357" i="1"/>
  <c r="AC365" i="1"/>
  <c r="AC373" i="1"/>
  <c r="AC381" i="1"/>
  <c r="AC389" i="1"/>
  <c r="AC397" i="1"/>
  <c r="AC405" i="1"/>
  <c r="AC413" i="1"/>
  <c r="AC421" i="1"/>
  <c r="AC429" i="1"/>
  <c r="AC437" i="1"/>
  <c r="AC445" i="1"/>
  <c r="AC453" i="1"/>
  <c r="AC461" i="1"/>
  <c r="AC469" i="1"/>
  <c r="AC477" i="1"/>
  <c r="AC485" i="1"/>
  <c r="AC493" i="1"/>
  <c r="AC501" i="1"/>
  <c r="AC509" i="1"/>
  <c r="AC517" i="1"/>
  <c r="AC525" i="1"/>
  <c r="AC533" i="1"/>
  <c r="AC541" i="1"/>
  <c r="AC549" i="1"/>
  <c r="AC557" i="1"/>
  <c r="AC565" i="1"/>
  <c r="AC573" i="1"/>
  <c r="AC581" i="1"/>
  <c r="AC589" i="1"/>
  <c r="AC597" i="1"/>
  <c r="AC605" i="1"/>
  <c r="AC613" i="1"/>
  <c r="AC621" i="1"/>
  <c r="AC629" i="1"/>
  <c r="AC6" i="1"/>
  <c r="AC14" i="1"/>
  <c r="AC22" i="1"/>
  <c r="AC30" i="1"/>
  <c r="AC38" i="1"/>
  <c r="AC46" i="1"/>
  <c r="AC54" i="1"/>
  <c r="AC62" i="1"/>
  <c r="AC70" i="1"/>
  <c r="AC78" i="1"/>
  <c r="AC86" i="1"/>
  <c r="AC94" i="1"/>
  <c r="AC102" i="1"/>
  <c r="AC110" i="1"/>
  <c r="AC118" i="1"/>
  <c r="AC126" i="1"/>
  <c r="AC134" i="1"/>
  <c r="AC142" i="1"/>
  <c r="AC150" i="1"/>
  <c r="AC158" i="1"/>
  <c r="AC166" i="1"/>
  <c r="AC174" i="1"/>
  <c r="AC182" i="1"/>
  <c r="AC190" i="1"/>
  <c r="AC198" i="1"/>
  <c r="AC206" i="1"/>
  <c r="AC214" i="1"/>
  <c r="AC222" i="1"/>
  <c r="AC230" i="1"/>
  <c r="AC238" i="1"/>
  <c r="AC246" i="1"/>
  <c r="AC254" i="1"/>
  <c r="AC262" i="1"/>
  <c r="AC270" i="1"/>
  <c r="AC278" i="1"/>
  <c r="AC286" i="1"/>
  <c r="AC294" i="1"/>
  <c r="AC302" i="1"/>
  <c r="AC310" i="1"/>
  <c r="AC318" i="1"/>
  <c r="AC326" i="1"/>
  <c r="AC334" i="1"/>
  <c r="AC342" i="1"/>
  <c r="AC350" i="1"/>
  <c r="AC358" i="1"/>
  <c r="AC366" i="1"/>
  <c r="AC374" i="1"/>
  <c r="AC382" i="1"/>
  <c r="AC390" i="1"/>
  <c r="AC398" i="1"/>
  <c r="AC406" i="1"/>
  <c r="AC414" i="1"/>
  <c r="AC422" i="1"/>
  <c r="AC430" i="1"/>
  <c r="AC438" i="1"/>
  <c r="AC446" i="1"/>
  <c r="AC454" i="1"/>
  <c r="AC462" i="1"/>
  <c r="AC470" i="1"/>
  <c r="AC478" i="1"/>
  <c r="AC486" i="1"/>
  <c r="AC494" i="1"/>
  <c r="AC502" i="1"/>
  <c r="AC510" i="1"/>
  <c r="AC518" i="1"/>
  <c r="AC526" i="1"/>
  <c r="AC534" i="1"/>
  <c r="AC542" i="1"/>
  <c r="AC550" i="1"/>
  <c r="AC558" i="1"/>
  <c r="AC566" i="1"/>
  <c r="AC574" i="1"/>
  <c r="AC582" i="1"/>
  <c r="AC590" i="1"/>
  <c r="AC598" i="1"/>
  <c r="AC606" i="1"/>
  <c r="AC614" i="1"/>
  <c r="AC622" i="1"/>
  <c r="AC630" i="1"/>
  <c r="AC7" i="1"/>
  <c r="AC15" i="1"/>
  <c r="AC23" i="1"/>
  <c r="AC31" i="1"/>
  <c r="AC39" i="1"/>
  <c r="AC47" i="1"/>
  <c r="AC55" i="1"/>
  <c r="AC63" i="1"/>
  <c r="AC71" i="1"/>
  <c r="AC79" i="1"/>
  <c r="AC87" i="1"/>
  <c r="AC95" i="1"/>
  <c r="AC103" i="1"/>
  <c r="AC111" i="1"/>
  <c r="AC119" i="1"/>
  <c r="AC127" i="1"/>
  <c r="AC135" i="1"/>
  <c r="AC143" i="1"/>
  <c r="AC151" i="1"/>
  <c r="AC159" i="1"/>
  <c r="AC167" i="1"/>
  <c r="AC175" i="1"/>
  <c r="AC183" i="1"/>
  <c r="AC191" i="1"/>
  <c r="AC199" i="1"/>
  <c r="AC207" i="1"/>
  <c r="AC215" i="1"/>
  <c r="AC223" i="1"/>
  <c r="AC231" i="1"/>
  <c r="AC239" i="1"/>
  <c r="AC247" i="1"/>
  <c r="AC255" i="1"/>
  <c r="AC263" i="1"/>
  <c r="AC271" i="1"/>
  <c r="AC279" i="1"/>
  <c r="AC287" i="1"/>
  <c r="AC295" i="1"/>
  <c r="AC303" i="1"/>
  <c r="AC311" i="1"/>
  <c r="AC319" i="1"/>
  <c r="AC327" i="1"/>
  <c r="AC335" i="1"/>
  <c r="AC343" i="1"/>
  <c r="AC351" i="1"/>
  <c r="AC359" i="1"/>
  <c r="AC367" i="1"/>
  <c r="AC375" i="1"/>
  <c r="AC383" i="1"/>
  <c r="AC391" i="1"/>
  <c r="AC399" i="1"/>
  <c r="AC407" i="1"/>
  <c r="AC415" i="1"/>
  <c r="AC423" i="1"/>
  <c r="AC431" i="1"/>
  <c r="AC439" i="1"/>
  <c r="AC447" i="1"/>
  <c r="AC455" i="1"/>
  <c r="AC463" i="1"/>
  <c r="AC471" i="1"/>
  <c r="AC479" i="1"/>
  <c r="AC487" i="1"/>
  <c r="AC495" i="1"/>
  <c r="AC503" i="1"/>
  <c r="AC511" i="1"/>
  <c r="AC519" i="1"/>
  <c r="AC527" i="1"/>
  <c r="AC535" i="1"/>
  <c r="AC543" i="1"/>
  <c r="AC551" i="1"/>
  <c r="AC559" i="1"/>
  <c r="AC567" i="1"/>
  <c r="AC575" i="1"/>
  <c r="AC583" i="1"/>
  <c r="AC591" i="1"/>
  <c r="AC599" i="1"/>
  <c r="AC607" i="1"/>
  <c r="AC615" i="1"/>
  <c r="AC623" i="1"/>
  <c r="AC631" i="1"/>
  <c r="AC8" i="1"/>
  <c r="AC16" i="1"/>
  <c r="AC24" i="1"/>
  <c r="AC32" i="1"/>
  <c r="AC40" i="1"/>
  <c r="AC48" i="1"/>
  <c r="AC56" i="1"/>
  <c r="AC64" i="1"/>
  <c r="AC72" i="1"/>
  <c r="AC80" i="1"/>
  <c r="AC88" i="1"/>
  <c r="AC96" i="1"/>
  <c r="AC104" i="1"/>
  <c r="AC112" i="1"/>
  <c r="AC120" i="1"/>
  <c r="AC128" i="1"/>
  <c r="AC136" i="1"/>
  <c r="AC144" i="1"/>
  <c r="AC152" i="1"/>
  <c r="AC160" i="1"/>
  <c r="AC168" i="1"/>
  <c r="AC176" i="1"/>
  <c r="AC184" i="1"/>
  <c r="AC192" i="1"/>
  <c r="AC200" i="1"/>
  <c r="AC208" i="1"/>
  <c r="AC216" i="1"/>
  <c r="AC224" i="1"/>
  <c r="AC232" i="1"/>
  <c r="AC240" i="1"/>
  <c r="AC248" i="1"/>
  <c r="AC256" i="1"/>
  <c r="AC264" i="1"/>
  <c r="AC272" i="1"/>
  <c r="AC280" i="1"/>
  <c r="AC288" i="1"/>
  <c r="AC296" i="1"/>
  <c r="AC304" i="1"/>
  <c r="AC312" i="1"/>
  <c r="AC320" i="1"/>
  <c r="AC328" i="1"/>
  <c r="AC336" i="1"/>
  <c r="AC344" i="1"/>
  <c r="AC352" i="1"/>
  <c r="AC360" i="1"/>
  <c r="AC368" i="1"/>
  <c r="AC376" i="1"/>
  <c r="AC384" i="1"/>
  <c r="AC392" i="1"/>
  <c r="AC400" i="1"/>
  <c r="AC408" i="1"/>
  <c r="AC416" i="1"/>
  <c r="AC424" i="1"/>
  <c r="AC432" i="1"/>
  <c r="AC440" i="1"/>
  <c r="AC448" i="1"/>
  <c r="AC456" i="1"/>
  <c r="AC464" i="1"/>
  <c r="AC472" i="1"/>
  <c r="AC480" i="1"/>
  <c r="AC488" i="1"/>
  <c r="AC496" i="1"/>
  <c r="AC504" i="1"/>
  <c r="AC512" i="1"/>
  <c r="AC520" i="1"/>
  <c r="AC528" i="1"/>
  <c r="AC536" i="1"/>
  <c r="AC544" i="1"/>
  <c r="AC552" i="1"/>
  <c r="AC560" i="1"/>
  <c r="AC568" i="1"/>
  <c r="AC576" i="1"/>
  <c r="AC584" i="1"/>
  <c r="AC592" i="1"/>
  <c r="AC600" i="1"/>
  <c r="AC608" i="1"/>
  <c r="AC616" i="1"/>
  <c r="AC624" i="1"/>
  <c r="AC632" i="1"/>
  <c r="AC9" i="1"/>
  <c r="AC17" i="1"/>
  <c r="AC25" i="1"/>
  <c r="AC33" i="1"/>
  <c r="AC41" i="1"/>
  <c r="AC49" i="1"/>
  <c r="AC57" i="1"/>
  <c r="AC65" i="1"/>
  <c r="AC73" i="1"/>
  <c r="AC81" i="1"/>
  <c r="AC89" i="1"/>
  <c r="AC97" i="1"/>
  <c r="AC105" i="1"/>
  <c r="AC113" i="1"/>
  <c r="AC121" i="1"/>
  <c r="AC129" i="1"/>
  <c r="AC137" i="1"/>
  <c r="AC145" i="1"/>
  <c r="AC153" i="1"/>
  <c r="AC161" i="1"/>
  <c r="AC169" i="1"/>
  <c r="AC177" i="1"/>
  <c r="AC185" i="1"/>
  <c r="AC193" i="1"/>
  <c r="AC201" i="1"/>
  <c r="AC209" i="1"/>
  <c r="AC217" i="1"/>
  <c r="AC225" i="1"/>
  <c r="AC233" i="1"/>
  <c r="AC241" i="1"/>
  <c r="AC249" i="1"/>
  <c r="AC257" i="1"/>
  <c r="AC265" i="1"/>
  <c r="AC273" i="1"/>
  <c r="AC281" i="1"/>
  <c r="AC289" i="1"/>
  <c r="AC297" i="1"/>
  <c r="AC305" i="1"/>
  <c r="AC313" i="1"/>
  <c r="AC321" i="1"/>
  <c r="AC329" i="1"/>
  <c r="AC337" i="1"/>
  <c r="AC345" i="1"/>
  <c r="AC353" i="1"/>
  <c r="AC361" i="1"/>
  <c r="AC369" i="1"/>
  <c r="AC377" i="1"/>
  <c r="AC385" i="1"/>
  <c r="AC393" i="1"/>
  <c r="AC401" i="1"/>
  <c r="AC409" i="1"/>
  <c r="AC417" i="1"/>
  <c r="AC425" i="1"/>
  <c r="AC433" i="1"/>
  <c r="AC441" i="1"/>
  <c r="AC449" i="1"/>
  <c r="AC457" i="1"/>
  <c r="AC465" i="1"/>
  <c r="AC473" i="1"/>
  <c r="AC481" i="1"/>
  <c r="AC489" i="1"/>
  <c r="AC497" i="1"/>
  <c r="AC505" i="1"/>
  <c r="AC513" i="1"/>
  <c r="AC521" i="1"/>
  <c r="AC529" i="1"/>
  <c r="AC537" i="1"/>
  <c r="AC545" i="1"/>
  <c r="AC553" i="1"/>
  <c r="AC561" i="1"/>
  <c r="AC569" i="1"/>
  <c r="AC577" i="1"/>
  <c r="AC585" i="1"/>
  <c r="AC593" i="1"/>
  <c r="AC601" i="1"/>
  <c r="AC609" i="1"/>
  <c r="AC617" i="1"/>
  <c r="AC625" i="1"/>
  <c r="AC633" i="1"/>
  <c r="AC10" i="1"/>
  <c r="AC18" i="1"/>
  <c r="AC26" i="1"/>
  <c r="AC34" i="1"/>
  <c r="AC42" i="1"/>
  <c r="AC50" i="1"/>
  <c r="AC58" i="1"/>
  <c r="AC66" i="1"/>
  <c r="AC74" i="1"/>
  <c r="AC82" i="1"/>
  <c r="AC90" i="1"/>
  <c r="AC98" i="1"/>
  <c r="AC106" i="1"/>
  <c r="AC114" i="1"/>
  <c r="AC122" i="1"/>
  <c r="AC130" i="1"/>
  <c r="AC138" i="1"/>
  <c r="AC146" i="1"/>
  <c r="AC154" i="1"/>
  <c r="AC162" i="1"/>
  <c r="AC170" i="1"/>
  <c r="AC178" i="1"/>
  <c r="AC186" i="1"/>
  <c r="AC194" i="1"/>
  <c r="AC202" i="1"/>
  <c r="AC210" i="1"/>
  <c r="AC218" i="1"/>
  <c r="AC226" i="1"/>
  <c r="AC234" i="1"/>
  <c r="AC242" i="1"/>
  <c r="AC250" i="1"/>
  <c r="AC258" i="1"/>
  <c r="AC266" i="1"/>
  <c r="AC274" i="1"/>
  <c r="AC282" i="1"/>
  <c r="AC290" i="1"/>
  <c r="AC298" i="1"/>
  <c r="AC306" i="1"/>
  <c r="AC314" i="1"/>
  <c r="AC322" i="1"/>
  <c r="AC330" i="1"/>
  <c r="AC338" i="1"/>
  <c r="AC346" i="1"/>
  <c r="AC354" i="1"/>
  <c r="AC362" i="1"/>
  <c r="AC370" i="1"/>
  <c r="AC378" i="1"/>
  <c r="AC386" i="1"/>
  <c r="AC394" i="1"/>
  <c r="AC402" i="1"/>
  <c r="AC410" i="1"/>
  <c r="AC418" i="1"/>
  <c r="AC426" i="1"/>
  <c r="AC434" i="1"/>
  <c r="AC442" i="1"/>
  <c r="AC450" i="1"/>
  <c r="AC458" i="1"/>
  <c r="AC466" i="1"/>
  <c r="AC474" i="1"/>
  <c r="AC482" i="1"/>
  <c r="AC490" i="1"/>
  <c r="AC498" i="1"/>
  <c r="AC506" i="1"/>
  <c r="AC514" i="1"/>
  <c r="AC522" i="1"/>
  <c r="AC530" i="1"/>
  <c r="AC538" i="1"/>
  <c r="AC546" i="1"/>
  <c r="AC554" i="1"/>
  <c r="AC562" i="1"/>
  <c r="AC570" i="1"/>
  <c r="AC578" i="1"/>
  <c r="AC586" i="1"/>
  <c r="AC594" i="1"/>
  <c r="AC602" i="1"/>
  <c r="AC610" i="1"/>
  <c r="AC618" i="1"/>
  <c r="AC626" i="1"/>
  <c r="AC3" i="1"/>
  <c r="AC11" i="1"/>
  <c r="AC27" i="1"/>
  <c r="AC35" i="1"/>
  <c r="AC43" i="1"/>
  <c r="AC51" i="1"/>
  <c r="AC59" i="1"/>
  <c r="AC67" i="1"/>
  <c r="AC19" i="1"/>
  <c r="AC587" i="1"/>
  <c r="AC523" i="1"/>
  <c r="AC459" i="1"/>
  <c r="AC395" i="1"/>
  <c r="AC331" i="1"/>
  <c r="AC267" i="1"/>
  <c r="AC203" i="1"/>
  <c r="AC139" i="1"/>
  <c r="AC75" i="1"/>
  <c r="X439" i="1"/>
  <c r="Y439" i="1" s="1"/>
  <c r="X630" i="1"/>
  <c r="Y630" i="1" s="1"/>
  <c r="X582" i="1"/>
  <c r="Y582" i="1" s="1"/>
  <c r="X510" i="1"/>
  <c r="Y510" i="1" s="1"/>
  <c r="X629" i="1"/>
  <c r="Y629" i="1" s="1"/>
  <c r="X621" i="1"/>
  <c r="Y621" i="1" s="1"/>
  <c r="X613" i="1"/>
  <c r="Y613" i="1" s="1"/>
  <c r="X605" i="1"/>
  <c r="Y605" i="1" s="1"/>
  <c r="X597" i="1"/>
  <c r="Y597" i="1" s="1"/>
  <c r="X589" i="1"/>
  <c r="Y589" i="1" s="1"/>
  <c r="X581" i="1"/>
  <c r="Y581" i="1" s="1"/>
  <c r="X573" i="1"/>
  <c r="Y573" i="1" s="1"/>
  <c r="X565" i="1"/>
  <c r="Y565" i="1" s="1"/>
  <c r="X557" i="1"/>
  <c r="Y557" i="1" s="1"/>
  <c r="X549" i="1"/>
  <c r="Y549" i="1" s="1"/>
  <c r="X541" i="1"/>
  <c r="Y541" i="1" s="1"/>
  <c r="X533" i="1"/>
  <c r="Y533" i="1" s="1"/>
  <c r="X525" i="1"/>
  <c r="Y525" i="1" s="1"/>
  <c r="X509" i="1"/>
  <c r="Y509" i="1" s="1"/>
  <c r="X501" i="1"/>
  <c r="Y501" i="1" s="1"/>
  <c r="X493" i="1"/>
  <c r="Y493" i="1" s="1"/>
  <c r="X485" i="1"/>
  <c r="Y485" i="1" s="1"/>
  <c r="X477" i="1"/>
  <c r="Y477" i="1" s="1"/>
  <c r="X469" i="1"/>
  <c r="Y469" i="1" s="1"/>
  <c r="X461" i="1"/>
  <c r="Y461" i="1" s="1"/>
  <c r="X453" i="1"/>
  <c r="Y453" i="1" s="1"/>
  <c r="X445" i="1"/>
  <c r="Y445" i="1" s="1"/>
  <c r="X437" i="1"/>
  <c r="Y437" i="1" s="1"/>
  <c r="X421" i="1"/>
  <c r="Y421" i="1" s="1"/>
  <c r="X405" i="1"/>
  <c r="Y405" i="1" s="1"/>
  <c r="X397" i="1"/>
  <c r="Y397" i="1" s="1"/>
  <c r="X389" i="1"/>
  <c r="Y389" i="1" s="1"/>
  <c r="X381" i="1"/>
  <c r="Y381" i="1" s="1"/>
  <c r="X373" i="1"/>
  <c r="Y373" i="1" s="1"/>
  <c r="X365" i="1"/>
  <c r="Y365" i="1" s="1"/>
  <c r="X357" i="1"/>
  <c r="Y357" i="1" s="1"/>
  <c r="X341" i="1"/>
  <c r="Y341" i="1" s="1"/>
  <c r="X333" i="1"/>
  <c r="Y333" i="1" s="1"/>
  <c r="X325" i="1"/>
  <c r="Y325" i="1" s="1"/>
  <c r="X317" i="1"/>
  <c r="Y317" i="1" s="1"/>
  <c r="X309" i="1"/>
  <c r="Y309" i="1" s="1"/>
  <c r="X301" i="1"/>
  <c r="Y301" i="1" s="1"/>
  <c r="X293" i="1"/>
  <c r="Y293" i="1" s="1"/>
  <c r="X455" i="1"/>
  <c r="Y455" i="1" s="1"/>
  <c r="X598" i="1"/>
  <c r="Y598" i="1" s="1"/>
  <c r="X542" i="1"/>
  <c r="Y542" i="1" s="1"/>
  <c r="X628" i="1"/>
  <c r="Y628" i="1" s="1"/>
  <c r="X620" i="1"/>
  <c r="Y620" i="1" s="1"/>
  <c r="X612" i="1"/>
  <c r="Y612" i="1" s="1"/>
  <c r="X604" i="1"/>
  <c r="Y604" i="1" s="1"/>
  <c r="X596" i="1"/>
  <c r="Y596" i="1" s="1"/>
  <c r="X588" i="1"/>
  <c r="Y588" i="1" s="1"/>
  <c r="X580" i="1"/>
  <c r="Y580" i="1" s="1"/>
  <c r="X572" i="1"/>
  <c r="Y572" i="1" s="1"/>
  <c r="X564" i="1"/>
  <c r="Y564" i="1" s="1"/>
  <c r="X556" i="1"/>
  <c r="Y556" i="1" s="1"/>
  <c r="X548" i="1"/>
  <c r="Y548" i="1" s="1"/>
  <c r="X517" i="1"/>
  <c r="Y517" i="1" s="1"/>
  <c r="X429" i="1"/>
  <c r="Y429" i="1" s="1"/>
  <c r="Y591" i="1"/>
  <c r="X471" i="1"/>
  <c r="Y471" i="1" s="1"/>
  <c r="X622" i="1"/>
  <c r="Y622" i="1" s="1"/>
  <c r="Y526" i="1"/>
  <c r="X627" i="1"/>
  <c r="Y627" i="1" s="1"/>
  <c r="X619" i="1"/>
  <c r="Y619" i="1" s="1"/>
  <c r="X611" i="1"/>
  <c r="Y611" i="1" s="1"/>
  <c r="X603" i="1"/>
  <c r="Y603" i="1" s="1"/>
  <c r="X595" i="1"/>
  <c r="Y595" i="1" s="1"/>
  <c r="X587" i="1"/>
  <c r="Y587" i="1" s="1"/>
  <c r="X579" i="1"/>
  <c r="Y579" i="1" s="1"/>
  <c r="X571" i="1"/>
  <c r="Y571" i="1" s="1"/>
  <c r="X563" i="1"/>
  <c r="Y563" i="1" s="1"/>
  <c r="X413" i="1"/>
  <c r="Y413" i="1" s="1"/>
  <c r="X479" i="1"/>
  <c r="Y479" i="1" s="1"/>
  <c r="X614" i="1"/>
  <c r="Y614" i="1" s="1"/>
  <c r="X502" i="1"/>
  <c r="Y502" i="1" s="1"/>
  <c r="X2" i="1"/>
  <c r="Y2" i="1" s="1"/>
  <c r="X626" i="1"/>
  <c r="Y626" i="1" s="1"/>
  <c r="X618" i="1"/>
  <c r="Y618" i="1" s="1"/>
  <c r="X610" i="1"/>
  <c r="Y610" i="1" s="1"/>
  <c r="X602" i="1"/>
  <c r="Y602" i="1" s="1"/>
  <c r="X594" i="1"/>
  <c r="Y594" i="1" s="1"/>
  <c r="X586" i="1"/>
  <c r="Y586" i="1" s="1"/>
  <c r="X578" i="1"/>
  <c r="Y578" i="1" s="1"/>
  <c r="X570" i="1"/>
  <c r="Y570" i="1" s="1"/>
  <c r="X562" i="1"/>
  <c r="Y562" i="1" s="1"/>
  <c r="X554" i="1"/>
  <c r="Y554" i="1" s="1"/>
  <c r="X546" i="1"/>
  <c r="Y546" i="1" s="1"/>
  <c r="X538" i="1"/>
  <c r="Y538" i="1" s="1"/>
  <c r="X530" i="1"/>
  <c r="Y530" i="1" s="1"/>
  <c r="X522" i="1"/>
  <c r="Y522" i="1" s="1"/>
  <c r="X514" i="1"/>
  <c r="Y514" i="1" s="1"/>
  <c r="X506" i="1"/>
  <c r="Y506" i="1" s="1"/>
  <c r="X498" i="1"/>
  <c r="Y498" i="1" s="1"/>
  <c r="X482" i="1"/>
  <c r="Y482" i="1" s="1"/>
  <c r="X474" i="1"/>
  <c r="Y474" i="1" s="1"/>
  <c r="X466" i="1"/>
  <c r="Y466" i="1" s="1"/>
  <c r="X458" i="1"/>
  <c r="Y458" i="1" s="1"/>
  <c r="X450" i="1"/>
  <c r="Y450" i="1" s="1"/>
  <c r="Y442" i="1"/>
  <c r="X434" i="1"/>
  <c r="Y434" i="1" s="1"/>
  <c r="X426" i="1"/>
  <c r="Y426" i="1" s="1"/>
  <c r="X418" i="1"/>
  <c r="Y418" i="1" s="1"/>
  <c r="X410" i="1"/>
  <c r="Y410" i="1" s="1"/>
  <c r="X402" i="1"/>
  <c r="Y402" i="1" s="1"/>
  <c r="X394" i="1"/>
  <c r="Y394" i="1" s="1"/>
  <c r="Y567" i="1"/>
  <c r="X431" i="1"/>
  <c r="Y431" i="1" s="1"/>
  <c r="X606" i="1"/>
  <c r="Y606" i="1" s="1"/>
  <c r="X574" i="1"/>
  <c r="Y574" i="1" s="1"/>
  <c r="X534" i="1"/>
  <c r="Y534" i="1" s="1"/>
  <c r="X633" i="1"/>
  <c r="Y633" i="1" s="1"/>
  <c r="X625" i="1"/>
  <c r="Y625" i="1" s="1"/>
  <c r="X617" i="1"/>
  <c r="Y617" i="1" s="1"/>
  <c r="X609" i="1"/>
  <c r="Y609" i="1" s="1"/>
  <c r="X601" i="1"/>
  <c r="Y601" i="1" s="1"/>
  <c r="X593" i="1"/>
  <c r="Y593" i="1" s="1"/>
  <c r="X585" i="1"/>
  <c r="Y585" i="1" s="1"/>
  <c r="X577" i="1"/>
  <c r="Y577" i="1" s="1"/>
  <c r="X569" i="1"/>
  <c r="Y569" i="1" s="1"/>
  <c r="X561" i="1"/>
  <c r="Y561" i="1" s="1"/>
  <c r="X553" i="1"/>
  <c r="Y553" i="1" s="1"/>
  <c r="X545" i="1"/>
  <c r="Y545" i="1" s="1"/>
  <c r="X537" i="1"/>
  <c r="Y537" i="1" s="1"/>
  <c r="X529" i="1"/>
  <c r="Y529" i="1" s="1"/>
  <c r="X521" i="1"/>
  <c r="Y521" i="1" s="1"/>
  <c r="X513" i="1"/>
  <c r="Y513" i="1" s="1"/>
  <c r="X505" i="1"/>
  <c r="Y505" i="1" s="1"/>
  <c r="X497" i="1"/>
  <c r="Y497" i="1" s="1"/>
  <c r="X489" i="1"/>
  <c r="Y489" i="1" s="1"/>
  <c r="X481" i="1"/>
  <c r="Y481" i="1" s="1"/>
  <c r="X473" i="1"/>
  <c r="Y473" i="1" s="1"/>
  <c r="X465" i="1"/>
  <c r="Y465" i="1" s="1"/>
  <c r="X457" i="1"/>
  <c r="Y457" i="1" s="1"/>
  <c r="X449" i="1"/>
  <c r="Y449" i="1" s="1"/>
  <c r="X441" i="1"/>
  <c r="Y441" i="1" s="1"/>
  <c r="X433" i="1"/>
  <c r="Y433" i="1" s="1"/>
  <c r="X425" i="1"/>
  <c r="Y425" i="1" s="1"/>
  <c r="X417" i="1"/>
  <c r="Y417" i="1" s="1"/>
  <c r="X409" i="1"/>
  <c r="Y409" i="1" s="1"/>
  <c r="X401" i="1"/>
  <c r="Y401" i="1" s="1"/>
  <c r="X393" i="1"/>
  <c r="Y393" i="1" s="1"/>
  <c r="X385" i="1"/>
  <c r="Y385" i="1" s="1"/>
  <c r="X377" i="1"/>
  <c r="Y377" i="1" s="1"/>
  <c r="X369" i="1"/>
  <c r="Y369" i="1" s="1"/>
  <c r="X361" i="1"/>
  <c r="Y361" i="1" s="1"/>
  <c r="X353" i="1"/>
  <c r="Y353" i="1" s="1"/>
  <c r="X345" i="1"/>
  <c r="Y345" i="1" s="1"/>
  <c r="X337" i="1"/>
  <c r="Y337" i="1" s="1"/>
  <c r="X329" i="1"/>
  <c r="Y329" i="1" s="1"/>
  <c r="X321" i="1"/>
  <c r="Y321" i="1" s="1"/>
  <c r="X313" i="1"/>
  <c r="Y313" i="1" s="1"/>
  <c r="X305" i="1"/>
  <c r="Y305" i="1" s="1"/>
  <c r="X297" i="1"/>
  <c r="Y297" i="1" s="1"/>
  <c r="X289" i="1"/>
  <c r="Y289" i="1" s="1"/>
  <c r="X281" i="1"/>
  <c r="Y281" i="1" s="1"/>
  <c r="X273" i="1"/>
  <c r="Y273" i="1" s="1"/>
  <c r="X265" i="1"/>
  <c r="Y265" i="1" s="1"/>
  <c r="X257" i="1"/>
  <c r="Y257" i="1" s="1"/>
  <c r="X249" i="1"/>
  <c r="Y249" i="1" s="1"/>
  <c r="X241" i="1"/>
  <c r="Y241" i="1" s="1"/>
  <c r="X233" i="1"/>
  <c r="Y233" i="1" s="1"/>
  <c r="X225" i="1"/>
  <c r="Y225" i="1" s="1"/>
  <c r="X217" i="1"/>
  <c r="Y217" i="1" s="1"/>
  <c r="X209" i="1"/>
  <c r="Y209" i="1" s="1"/>
  <c r="X201" i="1"/>
  <c r="Y201" i="1" s="1"/>
  <c r="X193" i="1"/>
  <c r="Y193" i="1" s="1"/>
  <c r="X185" i="1"/>
  <c r="Y185" i="1" s="1"/>
  <c r="X177" i="1"/>
  <c r="Y177" i="1" s="1"/>
  <c r="X169" i="1"/>
  <c r="Y169" i="1" s="1"/>
  <c r="X161" i="1"/>
  <c r="Y161" i="1" s="1"/>
  <c r="X623" i="1"/>
  <c r="Y623" i="1" s="1"/>
  <c r="X559" i="1"/>
  <c r="Y559" i="1" s="1"/>
  <c r="X490" i="1"/>
  <c r="Y490" i="1" s="1"/>
  <c r="X632" i="1"/>
  <c r="Y632" i="1" s="1"/>
  <c r="X624" i="1"/>
  <c r="Y624" i="1" s="1"/>
  <c r="X616" i="1"/>
  <c r="Y616" i="1" s="1"/>
  <c r="X608" i="1"/>
  <c r="Y608" i="1" s="1"/>
  <c r="X600" i="1"/>
  <c r="Y600" i="1" s="1"/>
  <c r="X592" i="1"/>
  <c r="Y592" i="1" s="1"/>
  <c r="X584" i="1"/>
  <c r="Y584" i="1" s="1"/>
  <c r="X576" i="1"/>
  <c r="Y576" i="1" s="1"/>
  <c r="X568" i="1"/>
  <c r="Y568" i="1" s="1"/>
  <c r="X560" i="1"/>
  <c r="Y560" i="1" s="1"/>
  <c r="X552" i="1"/>
  <c r="Y552" i="1" s="1"/>
  <c r="X544" i="1"/>
  <c r="Y544" i="1" s="1"/>
  <c r="X536" i="1"/>
  <c r="Y536" i="1" s="1"/>
  <c r="X528" i="1"/>
  <c r="Y528" i="1" s="1"/>
  <c r="X520" i="1"/>
  <c r="Y520" i="1" s="1"/>
  <c r="X504" i="1"/>
  <c r="Y504" i="1" s="1"/>
  <c r="X496" i="1"/>
  <c r="Y496" i="1" s="1"/>
  <c r="X488" i="1"/>
  <c r="Y488" i="1" s="1"/>
  <c r="X472" i="1"/>
  <c r="Y472" i="1" s="1"/>
  <c r="X464" i="1"/>
  <c r="Y464" i="1" s="1"/>
  <c r="X456" i="1"/>
  <c r="Y456" i="1" s="1"/>
  <c r="X448" i="1"/>
  <c r="Y448" i="1" s="1"/>
  <c r="X440" i="1"/>
  <c r="Y440" i="1" s="1"/>
  <c r="X551" i="1"/>
  <c r="Y551" i="1" s="1"/>
  <c r="X480" i="1"/>
  <c r="Y480" i="1" s="1"/>
  <c r="X349" i="1"/>
  <c r="Y349" i="1" s="1"/>
  <c r="Y615" i="1"/>
  <c r="Y575" i="1"/>
  <c r="X519" i="1"/>
  <c r="Y519" i="1" s="1"/>
  <c r="X511" i="1"/>
  <c r="Y511" i="1" s="1"/>
  <c r="X503" i="1"/>
  <c r="Y503" i="1" s="1"/>
  <c r="X495" i="1"/>
  <c r="Y495" i="1" s="1"/>
  <c r="X487" i="1"/>
  <c r="Y487" i="1" s="1"/>
  <c r="X447" i="1"/>
  <c r="Y447" i="1" s="1"/>
  <c r="X423" i="1"/>
  <c r="Y423" i="1" s="1"/>
  <c r="X415" i="1"/>
  <c r="Y415" i="1" s="1"/>
  <c r="X407" i="1"/>
  <c r="Y407" i="1" s="1"/>
  <c r="X399" i="1"/>
  <c r="Y399" i="1" s="1"/>
  <c r="X391" i="1"/>
  <c r="Y391" i="1" s="1"/>
  <c r="X383" i="1"/>
  <c r="Y383" i="1" s="1"/>
  <c r="X375" i="1"/>
  <c r="Y375" i="1" s="1"/>
  <c r="X367" i="1"/>
  <c r="Y367" i="1" s="1"/>
  <c r="X359" i="1"/>
  <c r="Y359" i="1" s="1"/>
  <c r="X351" i="1"/>
  <c r="Y351" i="1" s="1"/>
  <c r="X335" i="1"/>
  <c r="Y335" i="1" s="1"/>
  <c r="X327" i="1"/>
  <c r="Y327" i="1" s="1"/>
  <c r="X319" i="1"/>
  <c r="Y319" i="1" s="1"/>
  <c r="X311" i="1"/>
  <c r="Y311" i="1" s="1"/>
  <c r="X303" i="1"/>
  <c r="Y303" i="1" s="1"/>
  <c r="X295" i="1"/>
  <c r="Y295" i="1" s="1"/>
  <c r="X287" i="1"/>
  <c r="Y287" i="1" s="1"/>
  <c r="X279" i="1"/>
  <c r="Y279" i="1" s="1"/>
  <c r="X271" i="1"/>
  <c r="Y271" i="1" s="1"/>
  <c r="X263" i="1"/>
  <c r="Y263" i="1" s="1"/>
  <c r="X255" i="1"/>
  <c r="Y255" i="1" s="1"/>
  <c r="X247" i="1"/>
  <c r="Y247" i="1" s="1"/>
  <c r="X239" i="1"/>
  <c r="Y239" i="1" s="1"/>
  <c r="X231" i="1"/>
  <c r="Y231" i="1" s="1"/>
  <c r="X223" i="1"/>
  <c r="Y223" i="1" s="1"/>
  <c r="X215" i="1"/>
  <c r="Y215" i="1" s="1"/>
  <c r="X207" i="1"/>
  <c r="Y207" i="1" s="1"/>
  <c r="X199" i="1"/>
  <c r="Y199" i="1" s="1"/>
  <c r="X191" i="1"/>
  <c r="Y191" i="1" s="1"/>
  <c r="X183" i="1"/>
  <c r="Y183" i="1" s="1"/>
  <c r="X175" i="1"/>
  <c r="Y175" i="1" s="1"/>
  <c r="X167" i="1"/>
  <c r="Y167" i="1" s="1"/>
  <c r="X159" i="1"/>
  <c r="Y159" i="1" s="1"/>
  <c r="X151" i="1"/>
  <c r="Y151" i="1" s="1"/>
  <c r="X143" i="1"/>
  <c r="Y143" i="1" s="1"/>
  <c r="X135" i="1"/>
  <c r="Y135" i="1" s="1"/>
  <c r="X127" i="1"/>
  <c r="Y127" i="1" s="1"/>
  <c r="X119" i="1"/>
  <c r="Y119" i="1" s="1"/>
  <c r="X111" i="1"/>
  <c r="Y111" i="1" s="1"/>
  <c r="X103" i="1"/>
  <c r="Y103" i="1" s="1"/>
  <c r="X95" i="1"/>
  <c r="Y95" i="1" s="1"/>
  <c r="X87" i="1"/>
  <c r="Y87" i="1" s="1"/>
  <c r="X79" i="1"/>
  <c r="Y79" i="1" s="1"/>
  <c r="X71" i="1"/>
  <c r="Y71" i="1" s="1"/>
  <c r="X63" i="1"/>
  <c r="Y63" i="1" s="1"/>
  <c r="X55" i="1"/>
  <c r="Y55" i="1" s="1"/>
  <c r="X47" i="1"/>
  <c r="Y47" i="1" s="1"/>
  <c r="X39" i="1"/>
  <c r="Y39" i="1" s="1"/>
  <c r="X31" i="1"/>
  <c r="Y31" i="1" s="1"/>
  <c r="X23" i="1"/>
  <c r="Y23" i="1" s="1"/>
  <c r="X15" i="1"/>
  <c r="Y15" i="1" s="1"/>
  <c r="X7" i="1"/>
  <c r="Y7" i="1" s="1"/>
  <c r="X607" i="1"/>
  <c r="Y607" i="1" s="1"/>
  <c r="X543" i="1"/>
  <c r="Y543" i="1" s="1"/>
  <c r="Y512" i="1"/>
  <c r="X527" i="1"/>
  <c r="Y527" i="1" s="1"/>
  <c r="X463" i="1"/>
  <c r="Y463" i="1" s="1"/>
  <c r="X590" i="1"/>
  <c r="Y590" i="1" s="1"/>
  <c r="X566" i="1"/>
  <c r="Y566" i="1" s="1"/>
  <c r="X558" i="1"/>
  <c r="Y558" i="1" s="1"/>
  <c r="X550" i="1"/>
  <c r="Y550" i="1" s="1"/>
  <c r="X518" i="1"/>
  <c r="Y518" i="1" s="1"/>
  <c r="X494" i="1"/>
  <c r="Y494" i="1" s="1"/>
  <c r="X486" i="1"/>
  <c r="Y486" i="1" s="1"/>
  <c r="X478" i="1"/>
  <c r="Y478" i="1" s="1"/>
  <c r="X470" i="1"/>
  <c r="Y470" i="1" s="1"/>
  <c r="X462" i="1"/>
  <c r="Y462" i="1" s="1"/>
  <c r="X446" i="1"/>
  <c r="Y446" i="1" s="1"/>
  <c r="X438" i="1"/>
  <c r="Y438" i="1" s="1"/>
  <c r="X430" i="1"/>
  <c r="Y430" i="1" s="1"/>
  <c r="X422" i="1"/>
  <c r="Y422" i="1" s="1"/>
  <c r="X414" i="1"/>
  <c r="Y414" i="1" s="1"/>
  <c r="X406" i="1"/>
  <c r="Y406" i="1" s="1"/>
  <c r="X398" i="1"/>
  <c r="Y398" i="1" s="1"/>
  <c r="Y390" i="1"/>
  <c r="X382" i="1"/>
  <c r="Y382" i="1" s="1"/>
  <c r="X374" i="1"/>
  <c r="Y374" i="1" s="1"/>
  <c r="X366" i="1"/>
  <c r="Y366" i="1" s="1"/>
  <c r="X358" i="1"/>
  <c r="Y358" i="1" s="1"/>
  <c r="X350" i="1"/>
  <c r="Y350" i="1" s="1"/>
  <c r="X342" i="1"/>
  <c r="Y342" i="1" s="1"/>
  <c r="X334" i="1"/>
  <c r="Y334" i="1" s="1"/>
  <c r="Y326" i="1"/>
  <c r="X318" i="1"/>
  <c r="Y318" i="1" s="1"/>
  <c r="X310" i="1"/>
  <c r="Y310" i="1" s="1"/>
  <c r="X302" i="1"/>
  <c r="Y302" i="1" s="1"/>
  <c r="X294" i="1"/>
  <c r="Y294" i="1" s="1"/>
  <c r="X599" i="1"/>
  <c r="Y599" i="1" s="1"/>
  <c r="X535" i="1"/>
  <c r="Y535" i="1" s="1"/>
  <c r="X454" i="1"/>
  <c r="Y454" i="1" s="1"/>
  <c r="Y343" i="1"/>
  <c r="Y508" i="1"/>
  <c r="Y468" i="1"/>
  <c r="X420" i="1"/>
  <c r="Y420" i="1" s="1"/>
  <c r="X412" i="1"/>
  <c r="Y412" i="1" s="1"/>
  <c r="X404" i="1"/>
  <c r="Y404" i="1" s="1"/>
  <c r="X396" i="1"/>
  <c r="Y396" i="1" s="1"/>
  <c r="X388" i="1"/>
  <c r="Y388" i="1" s="1"/>
  <c r="X380" i="1"/>
  <c r="Y380" i="1" s="1"/>
  <c r="X372" i="1"/>
  <c r="Y372" i="1" s="1"/>
  <c r="X364" i="1"/>
  <c r="Y364" i="1" s="1"/>
  <c r="X356" i="1"/>
  <c r="Y356" i="1" s="1"/>
  <c r="X348" i="1"/>
  <c r="Y348" i="1" s="1"/>
  <c r="X340" i="1"/>
  <c r="Y340" i="1" s="1"/>
  <c r="X332" i="1"/>
  <c r="Y332" i="1" s="1"/>
  <c r="X324" i="1"/>
  <c r="Y324" i="1" s="1"/>
  <c r="X316" i="1"/>
  <c r="Y316" i="1" s="1"/>
  <c r="X308" i="1"/>
  <c r="Y308" i="1" s="1"/>
  <c r="X300" i="1"/>
  <c r="Y300" i="1" s="1"/>
  <c r="X292" i="1"/>
  <c r="Y292" i="1" s="1"/>
  <c r="X284" i="1"/>
  <c r="Y284" i="1" s="1"/>
  <c r="X276" i="1"/>
  <c r="Y276" i="1" s="1"/>
  <c r="X268" i="1"/>
  <c r="Y268" i="1" s="1"/>
  <c r="X260" i="1"/>
  <c r="Y260" i="1" s="1"/>
  <c r="X252" i="1"/>
  <c r="Y252" i="1" s="1"/>
  <c r="X244" i="1"/>
  <c r="Y244" i="1" s="1"/>
  <c r="X236" i="1"/>
  <c r="Y236" i="1" s="1"/>
  <c r="X228" i="1"/>
  <c r="Y228" i="1" s="1"/>
  <c r="X220" i="1"/>
  <c r="Y220" i="1" s="1"/>
  <c r="X212" i="1"/>
  <c r="Y212" i="1" s="1"/>
  <c r="X204" i="1"/>
  <c r="Y204" i="1" s="1"/>
  <c r="X196" i="1"/>
  <c r="Y196" i="1" s="1"/>
  <c r="X188" i="1"/>
  <c r="Y188" i="1" s="1"/>
  <c r="X180" i="1"/>
  <c r="Y180" i="1" s="1"/>
  <c r="X172" i="1"/>
  <c r="Y172" i="1" s="1"/>
  <c r="X164" i="1"/>
  <c r="Y164" i="1" s="1"/>
  <c r="X156" i="1"/>
  <c r="Y156" i="1" s="1"/>
  <c r="X148" i="1"/>
  <c r="Y148" i="1" s="1"/>
  <c r="X140" i="1"/>
  <c r="Y140" i="1" s="1"/>
  <c r="X132" i="1"/>
  <c r="Y132" i="1" s="1"/>
  <c r="X124" i="1"/>
  <c r="Y124" i="1" s="1"/>
  <c r="X116" i="1"/>
  <c r="Y116" i="1" s="1"/>
  <c r="X108" i="1"/>
  <c r="Y108" i="1" s="1"/>
  <c r="X100" i="1"/>
  <c r="Y100" i="1" s="1"/>
  <c r="X92" i="1"/>
  <c r="Y92" i="1" s="1"/>
  <c r="X84" i="1"/>
  <c r="Y84" i="1" s="1"/>
  <c r="X76" i="1"/>
  <c r="Y76" i="1" s="1"/>
  <c r="X68" i="1"/>
  <c r="Y68" i="1" s="1"/>
  <c r="X60" i="1"/>
  <c r="Y60" i="1" s="1"/>
  <c r="X52" i="1"/>
  <c r="Y52" i="1" s="1"/>
  <c r="X44" i="1"/>
  <c r="Y44" i="1" s="1"/>
  <c r="X36" i="1"/>
  <c r="Y36" i="1" s="1"/>
  <c r="X28" i="1"/>
  <c r="Y28" i="1" s="1"/>
  <c r="X20" i="1"/>
  <c r="Y20" i="1" s="1"/>
  <c r="X12" i="1"/>
  <c r="Y12" i="1" s="1"/>
  <c r="X4" i="1"/>
  <c r="Y4" i="1" s="1"/>
  <c r="X540" i="1"/>
  <c r="Y540" i="1" s="1"/>
  <c r="X532" i="1"/>
  <c r="Y532" i="1" s="1"/>
  <c r="X476" i="1"/>
  <c r="Y476" i="1" s="1"/>
  <c r="Y523" i="1"/>
  <c r="Y499" i="1"/>
  <c r="X475" i="1"/>
  <c r="Y475" i="1" s="1"/>
  <c r="X467" i="1"/>
  <c r="Y467" i="1" s="1"/>
  <c r="X459" i="1"/>
  <c r="Y459" i="1" s="1"/>
  <c r="X451" i="1"/>
  <c r="Y451" i="1" s="1"/>
  <c r="X443" i="1"/>
  <c r="Y443" i="1" s="1"/>
  <c r="X435" i="1"/>
  <c r="Y435" i="1" s="1"/>
  <c r="X427" i="1"/>
  <c r="Y427" i="1" s="1"/>
  <c r="X419" i="1"/>
  <c r="Y419" i="1" s="1"/>
  <c r="X411" i="1"/>
  <c r="Y411" i="1" s="1"/>
  <c r="X403" i="1"/>
  <c r="Y403" i="1" s="1"/>
  <c r="X395" i="1"/>
  <c r="Y395" i="1" s="1"/>
  <c r="X387" i="1"/>
  <c r="Y387" i="1" s="1"/>
  <c r="X379" i="1"/>
  <c r="Y379" i="1" s="1"/>
  <c r="X371" i="1"/>
  <c r="Y371" i="1" s="1"/>
  <c r="X363" i="1"/>
  <c r="Y363" i="1" s="1"/>
  <c r="X355" i="1"/>
  <c r="Y355" i="1" s="1"/>
  <c r="X347" i="1"/>
  <c r="Y347" i="1" s="1"/>
  <c r="X339" i="1"/>
  <c r="Y339" i="1" s="1"/>
  <c r="X331" i="1"/>
  <c r="Y331" i="1" s="1"/>
  <c r="X323" i="1"/>
  <c r="Y323" i="1" s="1"/>
  <c r="X315" i="1"/>
  <c r="Y315" i="1" s="1"/>
  <c r="X307" i="1"/>
  <c r="Y307" i="1" s="1"/>
  <c r="X299" i="1"/>
  <c r="Y299" i="1" s="1"/>
  <c r="X291" i="1"/>
  <c r="Y291" i="1" s="1"/>
  <c r="X283" i="1"/>
  <c r="Y283" i="1" s="1"/>
  <c r="X275" i="1"/>
  <c r="Y275" i="1" s="1"/>
  <c r="X267" i="1"/>
  <c r="Y267" i="1" s="1"/>
  <c r="X259" i="1"/>
  <c r="Y259" i="1" s="1"/>
  <c r="X251" i="1"/>
  <c r="Y251" i="1" s="1"/>
  <c r="X243" i="1"/>
  <c r="Y243" i="1" s="1"/>
  <c r="X235" i="1"/>
  <c r="Y235" i="1" s="1"/>
  <c r="X227" i="1"/>
  <c r="Y227" i="1" s="1"/>
  <c r="X219" i="1"/>
  <c r="Y219" i="1" s="1"/>
  <c r="X211" i="1"/>
  <c r="Y211" i="1" s="1"/>
  <c r="X203" i="1"/>
  <c r="Y203" i="1" s="1"/>
  <c r="X195" i="1"/>
  <c r="Y195" i="1" s="1"/>
  <c r="X187" i="1"/>
  <c r="Y187" i="1" s="1"/>
  <c r="X179" i="1"/>
  <c r="Y179" i="1" s="1"/>
  <c r="X171" i="1"/>
  <c r="Y171" i="1" s="1"/>
  <c r="X163" i="1"/>
  <c r="Y163" i="1" s="1"/>
  <c r="X155" i="1"/>
  <c r="Y155" i="1" s="1"/>
  <c r="X147" i="1"/>
  <c r="Y147" i="1" s="1"/>
  <c r="X139" i="1"/>
  <c r="Y139" i="1" s="1"/>
  <c r="X131" i="1"/>
  <c r="Y131" i="1" s="1"/>
  <c r="X123" i="1"/>
  <c r="Y123" i="1" s="1"/>
  <c r="X115" i="1"/>
  <c r="Y115" i="1" s="1"/>
  <c r="X107" i="1"/>
  <c r="Y107" i="1" s="1"/>
  <c r="X99" i="1"/>
  <c r="Y99" i="1" s="1"/>
  <c r="X91" i="1"/>
  <c r="Y91" i="1" s="1"/>
  <c r="X83" i="1"/>
  <c r="Y83" i="1" s="1"/>
  <c r="X75" i="1"/>
  <c r="Y75" i="1" s="1"/>
  <c r="X67" i="1"/>
  <c r="Y67" i="1" s="1"/>
  <c r="X59" i="1"/>
  <c r="Y59" i="1" s="1"/>
  <c r="X51" i="1"/>
  <c r="Y51" i="1" s="1"/>
  <c r="X43" i="1"/>
  <c r="Y43" i="1" s="1"/>
  <c r="X35" i="1"/>
  <c r="Y35" i="1" s="1"/>
  <c r="X27" i="1"/>
  <c r="Y27" i="1" s="1"/>
  <c r="X19" i="1"/>
  <c r="Y19" i="1" s="1"/>
  <c r="X3" i="1"/>
  <c r="Y3" i="1" s="1"/>
  <c r="X555" i="1"/>
  <c r="Y555" i="1" s="1"/>
  <c r="X547" i="1"/>
  <c r="Y547" i="1" s="1"/>
  <c r="X539" i="1"/>
  <c r="Y539" i="1" s="1"/>
  <c r="X531" i="1"/>
  <c r="Y531" i="1" s="1"/>
  <c r="X436" i="1"/>
  <c r="Y436" i="1" s="1"/>
  <c r="X386" i="1"/>
  <c r="Y386" i="1" s="1"/>
  <c r="X378" i="1"/>
  <c r="Y378" i="1" s="1"/>
  <c r="X370" i="1"/>
  <c r="Y370" i="1" s="1"/>
  <c r="X354" i="1"/>
  <c r="Y354" i="1" s="1"/>
  <c r="X346" i="1"/>
  <c r="Y346" i="1" s="1"/>
  <c r="X338" i="1"/>
  <c r="Y338" i="1" s="1"/>
  <c r="X330" i="1"/>
  <c r="Y330" i="1" s="1"/>
  <c r="X322" i="1"/>
  <c r="Y322" i="1" s="1"/>
  <c r="X314" i="1"/>
  <c r="Y314" i="1" s="1"/>
  <c r="X306" i="1"/>
  <c r="Y306" i="1" s="1"/>
  <c r="X298" i="1"/>
  <c r="Y298" i="1" s="1"/>
  <c r="X290" i="1"/>
  <c r="Y290" i="1" s="1"/>
  <c r="X282" i="1"/>
  <c r="Y282" i="1" s="1"/>
  <c r="X274" i="1"/>
  <c r="Y274" i="1" s="1"/>
  <c r="X266" i="1"/>
  <c r="Y266" i="1" s="1"/>
  <c r="X258" i="1"/>
  <c r="Y258" i="1" s="1"/>
  <c r="X250" i="1"/>
  <c r="Y250" i="1" s="1"/>
  <c r="X242" i="1"/>
  <c r="Y242" i="1" s="1"/>
  <c r="X234" i="1"/>
  <c r="Y234" i="1" s="1"/>
  <c r="X226" i="1"/>
  <c r="Y226" i="1" s="1"/>
  <c r="X218" i="1"/>
  <c r="Y218" i="1" s="1"/>
  <c r="X210" i="1"/>
  <c r="Y210" i="1" s="1"/>
  <c r="X202" i="1"/>
  <c r="Y202" i="1" s="1"/>
  <c r="X194" i="1"/>
  <c r="Y194" i="1" s="1"/>
  <c r="X186" i="1"/>
  <c r="Y186" i="1" s="1"/>
  <c r="X178" i="1"/>
  <c r="Y178" i="1" s="1"/>
  <c r="X170" i="1"/>
  <c r="Y170" i="1" s="1"/>
  <c r="X162" i="1"/>
  <c r="Y162" i="1" s="1"/>
  <c r="X154" i="1"/>
  <c r="Y154" i="1" s="1"/>
  <c r="X146" i="1"/>
  <c r="Y146" i="1" s="1"/>
  <c r="X138" i="1"/>
  <c r="Y138" i="1" s="1"/>
  <c r="X130" i="1"/>
  <c r="Y130" i="1" s="1"/>
  <c r="X122" i="1"/>
  <c r="Y122" i="1" s="1"/>
  <c r="X114" i="1"/>
  <c r="Y114" i="1" s="1"/>
  <c r="X106" i="1"/>
  <c r="Y106" i="1" s="1"/>
  <c r="X98" i="1"/>
  <c r="Y98" i="1" s="1"/>
  <c r="X90" i="1"/>
  <c r="Y90" i="1" s="1"/>
  <c r="X82" i="1"/>
  <c r="Y82" i="1" s="1"/>
  <c r="X74" i="1"/>
  <c r="Y74" i="1" s="1"/>
  <c r="X66" i="1"/>
  <c r="Y66" i="1" s="1"/>
  <c r="X58" i="1"/>
  <c r="Y58" i="1" s="1"/>
  <c r="X50" i="1"/>
  <c r="Y50" i="1" s="1"/>
  <c r="X42" i="1"/>
  <c r="Y42" i="1" s="1"/>
  <c r="X34" i="1"/>
  <c r="Y34" i="1" s="1"/>
  <c r="X26" i="1"/>
  <c r="Y26" i="1" s="1"/>
  <c r="X18" i="1"/>
  <c r="Y18" i="1" s="1"/>
  <c r="X10" i="1"/>
  <c r="Y10" i="1" s="1"/>
  <c r="X484" i="1"/>
  <c r="Y484" i="1" s="1"/>
  <c r="X460" i="1"/>
  <c r="Y460" i="1" s="1"/>
  <c r="X153" i="1"/>
  <c r="Y153" i="1" s="1"/>
  <c r="X145" i="1"/>
  <c r="Y145" i="1" s="1"/>
  <c r="X137" i="1"/>
  <c r="Y137" i="1" s="1"/>
  <c r="X129" i="1"/>
  <c r="Y129" i="1" s="1"/>
  <c r="X121" i="1"/>
  <c r="Y121" i="1" s="1"/>
  <c r="X113" i="1"/>
  <c r="Y113" i="1" s="1"/>
  <c r="X105" i="1"/>
  <c r="Y105" i="1" s="1"/>
  <c r="X97" i="1"/>
  <c r="Y97" i="1" s="1"/>
  <c r="X89" i="1"/>
  <c r="Y89" i="1" s="1"/>
  <c r="X81" i="1"/>
  <c r="Y81" i="1" s="1"/>
  <c r="X73" i="1"/>
  <c r="Y73" i="1" s="1"/>
  <c r="X65" i="1"/>
  <c r="Y65" i="1" s="1"/>
  <c r="X57" i="1"/>
  <c r="Y57" i="1" s="1"/>
  <c r="X49" i="1"/>
  <c r="Y49" i="1" s="1"/>
  <c r="X41" i="1"/>
  <c r="Y41" i="1" s="1"/>
  <c r="X33" i="1"/>
  <c r="Y33" i="1" s="1"/>
  <c r="X25" i="1"/>
  <c r="Y25" i="1" s="1"/>
  <c r="X17" i="1"/>
  <c r="Y17" i="1" s="1"/>
  <c r="X9" i="1"/>
  <c r="Y9" i="1" s="1"/>
  <c r="X492" i="1"/>
  <c r="Y492" i="1" s="1"/>
  <c r="X483" i="1"/>
  <c r="Y483" i="1" s="1"/>
  <c r="X288" i="1"/>
  <c r="Y288" i="1" s="1"/>
  <c r="Y384" i="1"/>
  <c r="Y432" i="1"/>
  <c r="Y424" i="1"/>
  <c r="Y416" i="1"/>
  <c r="Y400" i="1"/>
  <c r="Y376" i="1"/>
  <c r="Y368" i="1"/>
  <c r="Y360" i="1"/>
  <c r="Y352" i="1"/>
  <c r="Y336" i="1"/>
  <c r="Y312" i="1"/>
  <c r="Y304" i="1"/>
  <c r="Y296" i="1"/>
  <c r="Y272" i="1"/>
  <c r="Y264" i="1"/>
  <c r="Y240" i="1"/>
  <c r="Y232" i="1"/>
  <c r="Y224" i="1"/>
  <c r="Y216" i="1"/>
  <c r="Y200" i="1"/>
  <c r="Y176" i="1"/>
  <c r="Y168" i="1"/>
  <c r="Y160" i="1"/>
  <c r="Y152" i="1"/>
  <c r="Y136" i="1"/>
  <c r="Y112" i="1"/>
  <c r="Y104" i="1"/>
  <c r="Y96" i="1"/>
  <c r="Y88" i="1"/>
  <c r="Y72" i="1"/>
  <c r="Y48" i="1"/>
  <c r="X40" i="1"/>
  <c r="Y40" i="1" s="1"/>
  <c r="X32" i="1"/>
  <c r="Y32" i="1" s="1"/>
  <c r="X24" i="1"/>
  <c r="Y24" i="1" s="1"/>
  <c r="X16" i="1"/>
  <c r="Y16" i="1" s="1"/>
  <c r="X8" i="1"/>
  <c r="Y8" i="1" s="1"/>
  <c r="X500" i="1"/>
  <c r="Y500" i="1" s="1"/>
  <c r="X491" i="1"/>
  <c r="Y491" i="1" s="1"/>
  <c r="X444" i="1"/>
  <c r="Y444" i="1" s="1"/>
  <c r="X392" i="1"/>
  <c r="Y392" i="1" s="1"/>
  <c r="X328" i="1"/>
  <c r="Y328" i="1" s="1"/>
  <c r="X286" i="1"/>
  <c r="Y286" i="1" s="1"/>
  <c r="X256" i="1"/>
  <c r="Y256" i="1" s="1"/>
  <c r="X208" i="1"/>
  <c r="Y208" i="1" s="1"/>
  <c r="X144" i="1"/>
  <c r="Y144" i="1" s="1"/>
  <c r="X80" i="1"/>
  <c r="Y80" i="1" s="1"/>
  <c r="X11" i="1"/>
  <c r="Y11" i="1" s="1"/>
  <c r="Y362" i="1"/>
  <c r="Y270" i="1"/>
  <c r="Y262" i="1"/>
  <c r="Y254" i="1"/>
  <c r="X238" i="1"/>
  <c r="Y238" i="1" s="1"/>
  <c r="X230" i="1"/>
  <c r="Y230" i="1" s="1"/>
  <c r="X222" i="1"/>
  <c r="Y222" i="1" s="1"/>
  <c r="X214" i="1"/>
  <c r="Y214" i="1" s="1"/>
  <c r="X206" i="1"/>
  <c r="Y206" i="1" s="1"/>
  <c r="X198" i="1"/>
  <c r="Y198" i="1" s="1"/>
  <c r="X190" i="1"/>
  <c r="Y190" i="1" s="1"/>
  <c r="X182" i="1"/>
  <c r="Y182" i="1" s="1"/>
  <c r="X174" i="1"/>
  <c r="Y174" i="1" s="1"/>
  <c r="X166" i="1"/>
  <c r="Y166" i="1" s="1"/>
  <c r="X158" i="1"/>
  <c r="Y158" i="1" s="1"/>
  <c r="X150" i="1"/>
  <c r="Y150" i="1" s="1"/>
  <c r="X142" i="1"/>
  <c r="Y142" i="1" s="1"/>
  <c r="X134" i="1"/>
  <c r="Y134" i="1" s="1"/>
  <c r="X126" i="1"/>
  <c r="Y126" i="1" s="1"/>
  <c r="X118" i="1"/>
  <c r="Y118" i="1" s="1"/>
  <c r="X110" i="1"/>
  <c r="Y110" i="1" s="1"/>
  <c r="X102" i="1"/>
  <c r="Y102" i="1" s="1"/>
  <c r="X94" i="1"/>
  <c r="Y94" i="1" s="1"/>
  <c r="X86" i="1"/>
  <c r="Y86" i="1" s="1"/>
  <c r="X78" i="1"/>
  <c r="Y78" i="1" s="1"/>
  <c r="X70" i="1"/>
  <c r="Y70" i="1" s="1"/>
  <c r="X62" i="1"/>
  <c r="Y62" i="1" s="1"/>
  <c r="X54" i="1"/>
  <c r="Y54" i="1" s="1"/>
  <c r="X46" i="1"/>
  <c r="Y46" i="1" s="1"/>
  <c r="X38" i="1"/>
  <c r="Y38" i="1" s="1"/>
  <c r="Y30" i="1"/>
  <c r="X22" i="1"/>
  <c r="Y22" i="1" s="1"/>
  <c r="X14" i="1"/>
  <c r="Y14" i="1" s="1"/>
  <c r="X6" i="1"/>
  <c r="Y6" i="1" s="1"/>
  <c r="X516" i="1"/>
  <c r="Y516" i="1" s="1"/>
  <c r="X507" i="1"/>
  <c r="Y507" i="1" s="1"/>
  <c r="X428" i="1"/>
  <c r="Y428" i="1" s="1"/>
  <c r="X408" i="1"/>
  <c r="Y408" i="1" s="1"/>
  <c r="X344" i="1"/>
  <c r="Y344" i="1" s="1"/>
  <c r="X280" i="1"/>
  <c r="Y280" i="1" s="1"/>
  <c r="X248" i="1"/>
  <c r="Y248" i="1" s="1"/>
  <c r="X192" i="1"/>
  <c r="Y192" i="1" s="1"/>
  <c r="X128" i="1"/>
  <c r="Y128" i="1" s="1"/>
  <c r="X64" i="1"/>
  <c r="Y64" i="1" s="1"/>
  <c r="Y320" i="1"/>
  <c r="Y285" i="1"/>
  <c r="X277" i="1"/>
  <c r="Y277" i="1" s="1"/>
  <c r="X269" i="1"/>
  <c r="Y269" i="1" s="1"/>
  <c r="X261" i="1"/>
  <c r="Y261" i="1" s="1"/>
  <c r="X253" i="1"/>
  <c r="Y253" i="1" s="1"/>
  <c r="X245" i="1"/>
  <c r="Y245" i="1" s="1"/>
  <c r="X237" i="1"/>
  <c r="Y237" i="1" s="1"/>
  <c r="X229" i="1"/>
  <c r="Y229" i="1" s="1"/>
  <c r="X221" i="1"/>
  <c r="Y221" i="1" s="1"/>
  <c r="X213" i="1"/>
  <c r="Y213" i="1" s="1"/>
  <c r="X205" i="1"/>
  <c r="Y205" i="1" s="1"/>
  <c r="X197" i="1"/>
  <c r="Y197" i="1" s="1"/>
  <c r="X189" i="1"/>
  <c r="Y189" i="1" s="1"/>
  <c r="X181" i="1"/>
  <c r="Y181" i="1" s="1"/>
  <c r="X173" i="1"/>
  <c r="Y173" i="1" s="1"/>
  <c r="X165" i="1"/>
  <c r="Y165" i="1" s="1"/>
  <c r="X157" i="1"/>
  <c r="Y157" i="1" s="1"/>
  <c r="X149" i="1"/>
  <c r="Y149" i="1" s="1"/>
  <c r="X141" i="1"/>
  <c r="Y141" i="1" s="1"/>
  <c r="X133" i="1"/>
  <c r="Y133" i="1" s="1"/>
  <c r="X125" i="1"/>
  <c r="Y125" i="1" s="1"/>
  <c r="X117" i="1"/>
  <c r="Y117" i="1" s="1"/>
  <c r="X109" i="1"/>
  <c r="Y109" i="1" s="1"/>
  <c r="X101" i="1"/>
  <c r="Y101" i="1" s="1"/>
  <c r="X93" i="1"/>
  <c r="Y93" i="1" s="1"/>
  <c r="X85" i="1"/>
  <c r="Y85" i="1" s="1"/>
  <c r="X77" i="1"/>
  <c r="Y77" i="1" s="1"/>
  <c r="X69" i="1"/>
  <c r="Y69" i="1" s="1"/>
  <c r="X61" i="1"/>
  <c r="Y61" i="1" s="1"/>
  <c r="X53" i="1"/>
  <c r="Y53" i="1" s="1"/>
  <c r="X45" i="1"/>
  <c r="Y45" i="1" s="1"/>
  <c r="X37" i="1"/>
  <c r="Y37" i="1" s="1"/>
  <c r="X29" i="1"/>
  <c r="Y29" i="1" s="1"/>
  <c r="Y21" i="1"/>
  <c r="X13" i="1"/>
  <c r="Y13" i="1" s="1"/>
  <c r="X5" i="1"/>
  <c r="Y5" i="1" s="1"/>
  <c r="X524" i="1"/>
  <c r="Y524" i="1" s="1"/>
  <c r="X515" i="1"/>
  <c r="Y515" i="1" s="1"/>
  <c r="X452" i="1"/>
  <c r="Y452" i="1" s="1"/>
  <c r="X278" i="1"/>
  <c r="Y278" i="1" s="1"/>
  <c r="X246" i="1"/>
  <c r="Y246" i="1" s="1"/>
  <c r="X184" i="1"/>
  <c r="Y184" i="1" s="1"/>
  <c r="X120" i="1"/>
  <c r="Y120" i="1" s="1"/>
  <c r="X56" i="1"/>
  <c r="Y56" i="1" s="1"/>
  <c r="F46" i="1"/>
  <c r="F33" i="1"/>
  <c r="F25" i="1"/>
  <c r="F54" i="1"/>
  <c r="F30" i="1"/>
  <c r="F97" i="1"/>
  <c r="F39" i="1"/>
  <c r="F65" i="1"/>
  <c r="F89" i="1"/>
  <c r="F41" i="1"/>
  <c r="F81" i="1"/>
  <c r="F49" i="1"/>
  <c r="F38" i="1"/>
  <c r="F62" i="1"/>
  <c r="F73" i="1"/>
  <c r="F57" i="1"/>
  <c r="F22" i="1"/>
  <c r="AB2" i="1" l="1" a="1"/>
  <c r="AB2" i="1" s="1"/>
  <c r="F64" i="1"/>
  <c r="F80" i="1"/>
  <c r="F72" i="1"/>
  <c r="F40" i="1"/>
  <c r="F53" i="1"/>
  <c r="F88" i="1"/>
  <c r="F96" i="1"/>
  <c r="F112" i="1"/>
  <c r="F48" i="1"/>
  <c r="F104" i="1"/>
  <c r="F77" i="1"/>
  <c r="F56" i="1"/>
  <c r="F69" i="1"/>
  <c r="F45" i="1"/>
  <c r="F61" i="1"/>
  <c r="F55" i="1" l="1"/>
  <c r="F71" i="1"/>
  <c r="F92" i="1"/>
  <c r="F87" i="1"/>
  <c r="F111" i="1"/>
  <c r="F95" i="1"/>
  <c r="F127" i="1"/>
  <c r="F60" i="1"/>
  <c r="F103" i="1"/>
  <c r="F76" i="1"/>
  <c r="F119" i="1"/>
  <c r="F63" i="1"/>
  <c r="F84" i="1"/>
  <c r="F68" i="1"/>
  <c r="F79" i="1"/>
  <c r="F102" i="1" l="1"/>
  <c r="F94" i="1"/>
  <c r="F75" i="1"/>
  <c r="F107" i="1"/>
  <c r="F134" i="1"/>
  <c r="F142" i="1"/>
  <c r="F78" i="1"/>
  <c r="F91" i="1"/>
  <c r="F86" i="1"/>
  <c r="F83" i="1"/>
  <c r="F110" i="1"/>
  <c r="F99" i="1"/>
  <c r="F118" i="1"/>
  <c r="F126" i="1"/>
  <c r="F70" i="1"/>
  <c r="F122" i="1" l="1"/>
  <c r="F106" i="1"/>
  <c r="F125" i="1"/>
  <c r="F90" i="1"/>
  <c r="F93" i="1"/>
  <c r="F85" i="1"/>
  <c r="F98" i="1"/>
  <c r="F109" i="1"/>
  <c r="F114" i="1"/>
  <c r="F141" i="1"/>
  <c r="F157" i="1"/>
  <c r="F133" i="1"/>
  <c r="F101" i="1"/>
  <c r="F149" i="1"/>
  <c r="F117" i="1"/>
  <c r="F148" i="1" l="1"/>
  <c r="F124" i="1"/>
  <c r="F105" i="1"/>
  <c r="F132" i="1"/>
  <c r="F140" i="1"/>
  <c r="F172" i="1"/>
  <c r="F113" i="1"/>
  <c r="F164" i="1"/>
  <c r="F121" i="1"/>
  <c r="F156" i="1"/>
  <c r="F100" i="1"/>
  <c r="F137" i="1"/>
  <c r="F116" i="1"/>
  <c r="F129" i="1"/>
  <c r="F108" i="1"/>
  <c r="F131" i="1" l="1"/>
  <c r="F179" i="1"/>
  <c r="F147" i="1"/>
  <c r="F152" i="1"/>
  <c r="F115" i="1"/>
  <c r="F120" i="1"/>
  <c r="F123" i="1"/>
  <c r="F128" i="1"/>
  <c r="F144" i="1"/>
  <c r="F187" i="1"/>
  <c r="F139" i="1"/>
  <c r="F136" i="1"/>
  <c r="F171" i="1"/>
  <c r="F155" i="1"/>
  <c r="F163" i="1"/>
  <c r="F151" i="1" l="1"/>
  <c r="F143" i="1"/>
  <c r="F159" i="1"/>
  <c r="F138" i="1"/>
  <c r="F162" i="1"/>
  <c r="F167" i="1"/>
  <c r="F154" i="1"/>
  <c r="F135" i="1"/>
  <c r="F186" i="1"/>
  <c r="F170" i="1"/>
  <c r="F194" i="1"/>
  <c r="F178" i="1"/>
  <c r="F202" i="1"/>
  <c r="F130" i="1"/>
  <c r="F146" i="1"/>
  <c r="F153" i="1" l="1"/>
  <c r="F174" i="1"/>
  <c r="F150" i="1"/>
  <c r="F209" i="1"/>
  <c r="F182" i="1"/>
  <c r="F161" i="1"/>
  <c r="F185" i="1"/>
  <c r="F158" i="1"/>
  <c r="F193" i="1"/>
  <c r="F201" i="1"/>
  <c r="F177" i="1"/>
  <c r="F169" i="1"/>
  <c r="F145" i="1"/>
  <c r="F217" i="1"/>
  <c r="F166" i="1"/>
  <c r="F184" i="1" l="1"/>
  <c r="F224" i="1"/>
  <c r="F173" i="1"/>
  <c r="F181" i="1"/>
  <c r="F200" i="1"/>
  <c r="F165" i="1"/>
  <c r="F160" i="1"/>
  <c r="F192" i="1"/>
  <c r="F216" i="1"/>
  <c r="F189" i="1"/>
  <c r="F232" i="1"/>
  <c r="F176" i="1"/>
  <c r="F208" i="1"/>
  <c r="F197" i="1"/>
  <c r="F168" i="1"/>
  <c r="F191" i="1" l="1"/>
  <c r="F196" i="1"/>
  <c r="F207" i="1"/>
  <c r="F212" i="1"/>
  <c r="F247" i="1"/>
  <c r="F188" i="1"/>
  <c r="F183" i="1"/>
  <c r="F175" i="1"/>
  <c r="F239" i="1"/>
  <c r="F204" i="1"/>
  <c r="F223" i="1"/>
  <c r="F199" i="1"/>
  <c r="F180" i="1"/>
  <c r="F231" i="1"/>
  <c r="F215" i="1"/>
  <c r="F214" i="1" l="1"/>
  <c r="F227" i="1"/>
  <c r="F190" i="1"/>
  <c r="F222" i="1"/>
  <c r="F230" i="1"/>
  <c r="F198" i="1"/>
  <c r="F246" i="1"/>
  <c r="F238" i="1"/>
  <c r="F203" i="1"/>
  <c r="F211" i="1"/>
  <c r="F219" i="1"/>
  <c r="F254" i="1"/>
  <c r="F195" i="1"/>
  <c r="F262" i="1"/>
  <c r="F206" i="1"/>
  <c r="F237" i="1" l="1"/>
  <c r="F269" i="1"/>
  <c r="F253" i="1"/>
  <c r="F234" i="1"/>
  <c r="F205" i="1"/>
  <c r="F210" i="1"/>
  <c r="F261" i="1"/>
  <c r="F221" i="1"/>
  <c r="F226" i="1"/>
  <c r="F242" i="1"/>
  <c r="F277" i="1"/>
  <c r="F213" i="1"/>
  <c r="F218" i="1"/>
  <c r="F245" i="1"/>
  <c r="F229" i="1"/>
  <c r="F228" i="1" l="1"/>
  <c r="F241" i="1"/>
  <c r="F236" i="1"/>
  <c r="F249" i="1"/>
  <c r="F292" i="1"/>
  <c r="F268" i="1"/>
  <c r="F276" i="1"/>
  <c r="F244" i="1"/>
  <c r="F257" i="1"/>
  <c r="F284" i="1"/>
  <c r="F260" i="1"/>
  <c r="F225" i="1"/>
  <c r="F233" i="1"/>
  <c r="F220" i="1"/>
  <c r="F252" i="1"/>
  <c r="F240" i="1" l="1"/>
  <c r="F264" i="1"/>
  <c r="F259" i="1"/>
  <c r="F248" i="1"/>
  <c r="F275" i="1"/>
  <c r="F251" i="1"/>
  <c r="F291" i="1"/>
  <c r="F267" i="1"/>
  <c r="F299" i="1"/>
  <c r="F256" i="1"/>
  <c r="F235" i="1"/>
  <c r="F283" i="1"/>
  <c r="F272" i="1"/>
  <c r="F307" i="1"/>
  <c r="F243" i="1"/>
  <c r="F322" i="1" l="1"/>
  <c r="F263" i="1"/>
  <c r="F298" i="1"/>
  <c r="F282" i="1"/>
  <c r="F250" i="1"/>
  <c r="F274" i="1"/>
  <c r="F258" i="1"/>
  <c r="F306" i="1"/>
  <c r="F271" i="1"/>
  <c r="F279" i="1"/>
  <c r="F266" i="1"/>
  <c r="F255" i="1"/>
  <c r="F287" i="1"/>
  <c r="F314" i="1"/>
  <c r="F290" i="1"/>
  <c r="F270" i="1" l="1"/>
  <c r="F321" i="1"/>
  <c r="F297" i="1"/>
  <c r="F305" i="1"/>
  <c r="F281" i="1"/>
  <c r="F313" i="1"/>
  <c r="F273" i="1"/>
  <c r="F329" i="1"/>
  <c r="F289" i="1"/>
  <c r="F278" i="1"/>
  <c r="F294" i="1"/>
  <c r="F265" i="1"/>
  <c r="F302" i="1"/>
  <c r="F286" i="1"/>
  <c r="F337" i="1"/>
  <c r="F280" i="1" l="1"/>
  <c r="F320" i="1"/>
  <c r="F344" i="1"/>
  <c r="F309" i="1"/>
  <c r="F312" i="1"/>
  <c r="F352" i="1"/>
  <c r="F288" i="1"/>
  <c r="F317" i="1"/>
  <c r="F293" i="1"/>
  <c r="F336" i="1"/>
  <c r="F301" i="1"/>
  <c r="F328" i="1"/>
  <c r="F304" i="1"/>
  <c r="F296" i="1"/>
  <c r="F285" i="1"/>
  <c r="F332" i="1" l="1"/>
  <c r="F324" i="1"/>
  <c r="F343" i="1"/>
  <c r="F359" i="1"/>
  <c r="F300" i="1"/>
  <c r="F303" i="1"/>
  <c r="F316" i="1"/>
  <c r="F311" i="1"/>
  <c r="F367" i="1"/>
  <c r="F335" i="1"/>
  <c r="F351" i="1"/>
  <c r="F295" i="1"/>
  <c r="F319" i="1"/>
  <c r="F308" i="1"/>
  <c r="F327" i="1"/>
  <c r="F310" i="1" l="1"/>
  <c r="F374" i="1"/>
  <c r="F326" i="1"/>
  <c r="F358" i="1"/>
  <c r="F331" i="1"/>
  <c r="F318" i="1"/>
  <c r="F342" i="1"/>
  <c r="F323" i="1"/>
  <c r="F339" i="1"/>
  <c r="F366" i="1"/>
  <c r="F350" i="1"/>
  <c r="F382" i="1"/>
  <c r="F334" i="1"/>
  <c r="F315" i="1"/>
  <c r="F347" i="1"/>
  <c r="F397" i="1" l="1"/>
  <c r="F373" i="1"/>
  <c r="F338" i="1"/>
  <c r="F365" i="1"/>
  <c r="F341" i="1"/>
  <c r="F349" i="1"/>
  <c r="F357" i="1"/>
  <c r="F362" i="1"/>
  <c r="F381" i="1"/>
  <c r="F389" i="1"/>
  <c r="F330" i="1"/>
  <c r="F333" i="1"/>
  <c r="F354" i="1"/>
  <c r="F346" i="1"/>
  <c r="F325" i="1"/>
  <c r="F348" i="1" l="1"/>
  <c r="F380" i="1"/>
  <c r="F377" i="1"/>
  <c r="F345" i="1"/>
  <c r="F353" i="1"/>
  <c r="F340" i="1"/>
  <c r="F372" i="1"/>
  <c r="F404" i="1"/>
  <c r="F388" i="1"/>
  <c r="F361" i="1"/>
  <c r="F364" i="1"/>
  <c r="F369" i="1"/>
  <c r="F396" i="1"/>
  <c r="F356" i="1"/>
  <c r="F412" i="1"/>
  <c r="F384" i="1" l="1"/>
  <c r="F360" i="1"/>
  <c r="F411" i="1"/>
  <c r="F419" i="1"/>
  <c r="F427" i="1"/>
  <c r="F387" i="1"/>
  <c r="F392" i="1"/>
  <c r="F379" i="1"/>
  <c r="F376" i="1"/>
  <c r="F395" i="1"/>
  <c r="F371" i="1"/>
  <c r="F355" i="1"/>
  <c r="F403" i="1"/>
  <c r="F368" i="1"/>
  <c r="F363" i="1"/>
  <c r="F418" i="1" l="1"/>
  <c r="F442" i="1"/>
  <c r="F370" i="1"/>
  <c r="F394" i="1"/>
  <c r="F434" i="1"/>
  <c r="F378" i="1"/>
  <c r="F407" i="1"/>
  <c r="F426" i="1"/>
  <c r="F386" i="1"/>
  <c r="F383" i="1"/>
  <c r="F402" i="1"/>
  <c r="F375" i="1"/>
  <c r="F410" i="1"/>
  <c r="F391" i="1"/>
  <c r="F399" i="1"/>
  <c r="F425" i="1" l="1"/>
  <c r="F449" i="1"/>
  <c r="F390" i="1"/>
  <c r="F441" i="1"/>
  <c r="F409" i="1"/>
  <c r="F414" i="1"/>
  <c r="F422" i="1"/>
  <c r="F385" i="1"/>
  <c r="F417" i="1"/>
  <c r="F393" i="1"/>
  <c r="F406" i="1"/>
  <c r="F398" i="1"/>
  <c r="F457" i="1"/>
  <c r="F401" i="1"/>
  <c r="F433" i="1"/>
  <c r="F413" i="1" l="1"/>
  <c r="F456" i="1"/>
  <c r="F400" i="1"/>
  <c r="F448" i="1"/>
  <c r="F421" i="1"/>
  <c r="F405" i="1"/>
  <c r="F437" i="1"/>
  <c r="F408" i="1"/>
  <c r="F464" i="1"/>
  <c r="F416" i="1"/>
  <c r="F429" i="1"/>
  <c r="F472" i="1"/>
  <c r="F432" i="1"/>
  <c r="F424" i="1"/>
  <c r="F440" i="1"/>
  <c r="F447" i="1" l="1"/>
  <c r="F487" i="1"/>
  <c r="F423" i="1"/>
  <c r="F463" i="1"/>
  <c r="F444" i="1"/>
  <c r="F415" i="1"/>
  <c r="F455" i="1"/>
  <c r="F452" i="1"/>
  <c r="F431" i="1"/>
  <c r="F471" i="1"/>
  <c r="F439" i="1"/>
  <c r="F420" i="1"/>
  <c r="F479" i="1"/>
  <c r="F436" i="1"/>
  <c r="F428" i="1"/>
  <c r="F494" i="1" l="1"/>
  <c r="F467" i="1"/>
  <c r="F478" i="1"/>
  <c r="F438" i="1"/>
  <c r="F443" i="1"/>
  <c r="F470" i="1"/>
  <c r="F435" i="1"/>
  <c r="F454" i="1"/>
  <c r="F486" i="1"/>
  <c r="F502" i="1"/>
  <c r="F451" i="1"/>
  <c r="F430" i="1"/>
  <c r="F446" i="1"/>
  <c r="F459" i="1"/>
  <c r="F462" i="1"/>
  <c r="F461" i="1" l="1"/>
  <c r="F445" i="1"/>
  <c r="F453" i="1"/>
  <c r="F458" i="1"/>
  <c r="F469" i="1"/>
  <c r="F501" i="1"/>
  <c r="F466" i="1"/>
  <c r="F493" i="1"/>
  <c r="F477" i="1"/>
  <c r="F450" i="1"/>
  <c r="F517" i="1"/>
  <c r="F482" i="1"/>
  <c r="F474" i="1"/>
  <c r="F485" i="1"/>
  <c r="F509" i="1"/>
  <c r="F497" i="1" l="1"/>
  <c r="F473" i="1"/>
  <c r="F532" i="1"/>
  <c r="F492" i="1"/>
  <c r="F524" i="1"/>
  <c r="F468" i="1"/>
  <c r="F481" i="1"/>
  <c r="F489" i="1"/>
  <c r="F465" i="1"/>
  <c r="F460" i="1"/>
  <c r="F508" i="1"/>
  <c r="F500" i="1"/>
  <c r="F516" i="1"/>
  <c r="F484" i="1"/>
  <c r="F476" i="1"/>
  <c r="F504" i="1" l="1"/>
  <c r="F507" i="1"/>
  <c r="F515" i="1"/>
  <c r="F523" i="1"/>
  <c r="F547" i="1"/>
  <c r="F491" i="1"/>
  <c r="F496" i="1"/>
  <c r="F499" i="1"/>
  <c r="F475" i="1"/>
  <c r="F488" i="1"/>
  <c r="F531" i="1"/>
  <c r="F483" i="1"/>
  <c r="F480" i="1"/>
  <c r="F539" i="1"/>
  <c r="F512" i="1"/>
  <c r="F498" i="1" l="1"/>
  <c r="F514" i="1"/>
  <c r="F546" i="1"/>
  <c r="F511" i="1"/>
  <c r="F530" i="1"/>
  <c r="F527" i="1"/>
  <c r="F503" i="1"/>
  <c r="F522" i="1"/>
  <c r="F538" i="1"/>
  <c r="F554" i="1"/>
  <c r="F506" i="1"/>
  <c r="F495" i="1"/>
  <c r="F490" i="1"/>
  <c r="F562" i="1"/>
  <c r="F519" i="1"/>
  <c r="F526" i="1" l="1"/>
  <c r="F537" i="1"/>
  <c r="F534" i="1"/>
  <c r="F510" i="1"/>
  <c r="F521" i="1"/>
  <c r="F561" i="1"/>
  <c r="F518" i="1"/>
  <c r="F542" i="1"/>
  <c r="F529" i="1"/>
  <c r="F569" i="1"/>
  <c r="F545" i="1"/>
  <c r="F513" i="1"/>
  <c r="F577" i="1"/>
  <c r="F505" i="1"/>
  <c r="F553" i="1"/>
  <c r="F557" i="1" l="1"/>
  <c r="F525" i="1"/>
  <c r="F592" i="1"/>
  <c r="F560" i="1"/>
  <c r="F549" i="1"/>
  <c r="F568" i="1"/>
  <c r="F533" i="1"/>
  <c r="F528" i="1"/>
  <c r="F584" i="1"/>
  <c r="F552" i="1"/>
  <c r="F544" i="1"/>
  <c r="F520" i="1"/>
  <c r="F576" i="1"/>
  <c r="F536" i="1"/>
  <c r="F541" i="1"/>
  <c r="F535" i="1" l="1"/>
  <c r="F575" i="1"/>
  <c r="F556" i="1"/>
  <c r="F543" i="1"/>
  <c r="F548" i="1"/>
  <c r="F607" i="1"/>
  <c r="F622" i="1"/>
  <c r="F559" i="1"/>
  <c r="F540" i="1"/>
  <c r="F567" i="1"/>
  <c r="F583" i="1"/>
  <c r="F551" i="1"/>
  <c r="F564" i="1"/>
  <c r="F591" i="1"/>
  <c r="F599" i="1"/>
  <c r="F572" i="1"/>
  <c r="F558" i="1" l="1"/>
  <c r="F566" i="1"/>
  <c r="F587" i="1"/>
  <c r="F574" i="1"/>
  <c r="F571" i="1"/>
  <c r="F555" i="1"/>
  <c r="F590" i="1"/>
  <c r="F579" i="1"/>
  <c r="F629" i="1"/>
  <c r="F614" i="1"/>
  <c r="F598" i="1"/>
  <c r="F621" i="1"/>
  <c r="F606" i="1"/>
  <c r="F582" i="1"/>
  <c r="F563" i="1"/>
  <c r="F550" i="1"/>
  <c r="F594" i="1" l="1"/>
  <c r="F589" i="1"/>
  <c r="F578" i="1"/>
  <c r="F602" i="1"/>
  <c r="F597" i="1"/>
  <c r="F620" i="1"/>
  <c r="F605" i="1"/>
  <c r="F565" i="1"/>
  <c r="F570" i="1"/>
  <c r="F581" i="1"/>
  <c r="F628" i="1"/>
  <c r="F613" i="1"/>
  <c r="F586" i="1"/>
  <c r="F573" i="1"/>
  <c r="F588" i="1" l="1"/>
  <c r="F632" i="1"/>
  <c r="F617" i="1"/>
  <c r="F627" i="1"/>
  <c r="F612" i="1"/>
  <c r="F585" i="1"/>
  <c r="F580" i="1"/>
  <c r="F593" i="1"/>
  <c r="F601" i="1"/>
  <c r="F619" i="1"/>
  <c r="F604" i="1"/>
  <c r="F596" i="1"/>
  <c r="F624" i="1"/>
  <c r="F609" i="1"/>
  <c r="F600" i="1" l="1"/>
  <c r="F626" i="1"/>
  <c r="F611" i="1"/>
  <c r="F631" i="1"/>
  <c r="F616" i="1"/>
  <c r="F623" i="1"/>
  <c r="F608" i="1"/>
  <c r="F595" i="1"/>
  <c r="F603" i="1"/>
  <c r="F625" i="1" l="1"/>
  <c r="F610" i="1"/>
  <c r="F633" i="1"/>
  <c r="F618" i="1"/>
  <c r="F630" i="1"/>
  <c r="F615" i="1"/>
  <c r="F2" i="1"/>
  <c r="F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<sst xmlns="http://schemas.openxmlformats.org/spreadsheetml/2006/main" count="16135" uniqueCount="1537">
  <si>
    <t>OrderID</t>
  </si>
  <si>
    <t>Region</t>
  </si>
  <si>
    <t>Country</t>
  </si>
  <si>
    <t>City</t>
  </si>
  <si>
    <t>Channel</t>
  </si>
  <si>
    <t>Salesperson</t>
  </si>
  <si>
    <t>SKU</t>
  </si>
  <si>
    <t>Quantity</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</si>
  <si>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</si>
  <si>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</si>
  <si>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</si>
  <si>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</si>
  <si>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</si>
  <si>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</si>
  <si>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</si>
  <si>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</si>
  <si>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</si>
  <si>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</si>
  <si>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</si>
  <si>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</si>
  <si>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</si>
  <si>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</si>
  <si>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</si>
  <si>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</si>
  <si>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</si>
  <si>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</si>
  <si>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</si>
  <si>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</si>
  <si>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</si>
  <si>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</si>
  <si>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</si>
  <si>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</si>
  <si>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</si>
  <si>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</si>
  <si>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</si>
  <si>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</si>
  <si>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</si>
  <si>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</si>
  <si>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</si>
  <si>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</si>
  <si>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</si>
  <si>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</si>
  <si>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</si>
  <si>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</si>
  <si>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</si>
  <si>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</si>
  <si>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</si>
  <si>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</si>
  <si>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</si>
  <si>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</si>
  <si>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</si>
  <si>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</si>
  <si>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</si>
  <si>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</si>
  <si>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</si>
  <si>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</si>
  <si>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</si>
  <si>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</si>
  <si>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</si>
  <si>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</si>
  <si>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</si>
  <si>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</si>
  <si>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</si>
  <si>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</si>
  <si>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</si>
  <si>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</si>
  <si>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</si>
  <si>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</si>
  <si>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</si>
  <si>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</si>
  <si>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</si>
  <si>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</si>
  <si>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</si>
  <si>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</si>
  <si>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</si>
  <si>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</si>
  <si>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</si>
  <si>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</si>
  <si>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</si>
  <si>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</si>
  <si>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</si>
  <si>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</si>
  <si>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</si>
  <si>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</si>
  <si>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</si>
  <si>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</si>
  <si>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</si>
  <si>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</si>
  <si>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</si>
  <si>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</si>
  <si>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</si>
  <si>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</si>
  <si>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</si>
  <si>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</si>
  <si>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</si>
  <si>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</si>
  <si>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</si>
  <si>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</si>
  <si>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</si>
  <si>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</si>
  <si>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</si>
  <si>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</si>
  <si>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</si>
  <si>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</si>
  <si>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</si>
  <si>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</si>
  <si>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</si>
  <si>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</si>
  <si>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</si>
  <si>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</si>
  <si>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</si>
  <si>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</si>
  <si>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</si>
  <si>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</si>
  <si>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</si>
  <si>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</si>
  <si>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</si>
  <si>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</si>
  <si>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</si>
  <si>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</si>
  <si>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</si>
  <si>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</si>
  <si>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</si>
  <si>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</si>
  <si>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</si>
  <si>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</si>
  <si>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</si>
  <si>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</si>
  <si>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</si>
  <si>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</si>
  <si>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</si>
  <si>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</si>
  <si>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</si>
  <si>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</si>
  <si>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</si>
  <si>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</si>
  <si>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</si>
  <si>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</si>
  <si>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</si>
  <si>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</si>
  <si>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</si>
  <si>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</si>
  <si>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</si>
  <si>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</si>
  <si>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</si>
  <si>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</si>
  <si>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</si>
  <si>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</si>
  <si>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</si>
  <si>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</si>
  <si>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</si>
  <si>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</si>
  <si>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</si>
  <si>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</si>
  <si>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</si>
  <si>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</si>
  <si>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</si>
  <si>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</si>
  <si>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</si>
  <si>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</si>
  <si>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</si>
  <si>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</si>
  <si>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</si>
  <si>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</si>
  <si>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</si>
  <si>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</si>
  <si>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</si>
  <si>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</si>
  <si>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</si>
  <si>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</si>
  <si>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</si>
  <si>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</si>
  <si>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</si>
  <si>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</si>
  <si>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</si>
  <si>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</si>
  <si>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</si>
  <si>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</si>
  <si>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</si>
  <si>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</si>
  <si>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</si>
  <si>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</si>
  <si>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</si>
  <si>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</si>
  <si>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</si>
  <si>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</si>
  <si>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</si>
  <si>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</si>
  <si>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</si>
  <si>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</si>
  <si>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</si>
  <si>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</si>
  <si>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</si>
  <si>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</si>
  <si>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</si>
  <si>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</si>
  <si>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</si>
  <si>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</si>
  <si>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</si>
  <si>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</si>
  <si>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</si>
  <si>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</si>
  <si>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</si>
  <si>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</si>
  <si>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</si>
  <si>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</si>
  <si>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</si>
  <si>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</si>
  <si>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</si>
  <si>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</si>
  <si>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</si>
  <si>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</si>
  <si>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</si>
  <si>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</si>
  <si>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</si>
  <si>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</si>
  <si>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</si>
  <si>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</si>
  <si>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</si>
  <si>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</si>
  <si>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</si>
  <si>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</si>
  <si>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</si>
  <si>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</si>
  <si>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</si>
  <si>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</si>
  <si>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</si>
  <si>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</si>
  <si>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</si>
  <si>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</si>
  <si>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</si>
  <si>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</si>
  <si>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</si>
  <si>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</si>
  <si>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</si>
  <si>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</si>
  <si>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</si>
  <si>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</si>
  <si>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</si>
  <si>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</si>
  <si>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</si>
  <si>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</si>
  <si>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</si>
  <si>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</si>
  <si>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</si>
  <si>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</si>
  <si>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</si>
  <si>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</si>
  <si>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</si>
  <si>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</si>
  <si>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</si>
  <si>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</si>
  <si>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</si>
  <si>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</si>
  <si>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</si>
  <si>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</si>
  <si>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</si>
  <si>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</si>
  <si>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</si>
  <si>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</si>
  <si>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</si>
  <si>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</si>
  <si>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</si>
  <si>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</si>
  <si>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</si>
  <si>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</si>
  <si>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</si>
  <si>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</si>
  <si>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</si>
  <si>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</si>
  <si>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</si>
  <si>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</si>
  <si>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</si>
  <si>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</si>
  <si>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</si>
  <si>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</si>
  <si>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</si>
  <si>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</si>
  <si>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</si>
  <si>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</si>
  <si>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</si>
  <si>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</si>
  <si>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</si>
  <si>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</si>
  <si>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</si>
  <si>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</si>
  <si>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</si>
  <si>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</si>
  <si>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</si>
  <si>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</si>
  <si>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</si>
  <si>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</si>
  <si>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</si>
  <si>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</si>
  <si>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</si>
  <si>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</si>
  <si>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</si>
  <si>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</si>
  <si>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</si>
  <si>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</si>
  <si>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</si>
  <si>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</si>
  <si>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</si>
  <si>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</si>
  <si>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</si>
  <si>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</si>
  <si>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</si>
  <si>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</si>
  <si>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</si>
  <si>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</si>
  <si>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</si>
  <si>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</si>
  <si>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</si>
  <si>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</si>
  <si>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</si>
  <si>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</si>
  <si>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</si>
  <si>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</si>
  <si>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</si>
  <si>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</si>
  <si>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</si>
  <si>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</si>
  <si>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</si>
  <si>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</si>
  <si>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</si>
  <si>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</si>
  <si>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</si>
  <si>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</si>
  <si>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</si>
  <si>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</si>
  <si>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</si>
  <si>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</si>
  <si>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</si>
  <si>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</si>
  <si>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</si>
  <si>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</si>
  <si>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</si>
  <si>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</si>
  <si>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</si>
  <si>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</si>
  <si>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</si>
  <si>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</si>
  <si>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</si>
  <si>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</si>
  <si>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</si>
  <si>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</si>
  <si>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</si>
  <si>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</si>
  <si>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</si>
  <si>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</si>
  <si>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</si>
  <si>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</si>
  <si>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</si>
  <si>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</si>
  <si>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</si>
  <si>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</si>
  <si>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</si>
  <si>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</si>
  <si>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</si>
  <si>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</si>
  <si>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</si>
  <si>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</si>
  <si>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</si>
  <si>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</si>
  <si>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</si>
  <si>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</si>
  <si>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</si>
  <si>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</si>
  <si>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</si>
  <si>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</si>
  <si>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</si>
  <si>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</si>
  <si>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</si>
  <si>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</si>
  <si>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</si>
  <si>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</si>
  <si>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</si>
  <si>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</si>
  <si>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</si>
  <si>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</si>
  <si>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</si>
  <si>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</si>
  <si>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</si>
  <si>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</si>
  <si>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</si>
  <si>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</si>
  <si>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</si>
  <si>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</si>
  <si>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</si>
  <si>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</si>
  <si>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</si>
  <si>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</si>
  <si>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</si>
  <si>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</si>
  <si>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</si>
  <si>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</si>
  <si>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</si>
  <si>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</si>
  <si>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</si>
  <si>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</si>
  <si>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</si>
  <si>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</si>
  <si>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</si>
  <si>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</si>
  <si>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</si>
  <si>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</si>
  <si>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</si>
  <si>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</si>
  <si>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</si>
  <si>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</si>
  <si>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</si>
  <si>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</si>
  <si>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</si>
  <si>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</si>
  <si>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</si>
  <si>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</si>
  <si>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</si>
  <si>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</si>
  <si>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</si>
  <si>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</si>
  <si>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</si>
  <si>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</si>
  <si>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</si>
  <si>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</si>
  <si>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</si>
  <si>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</si>
  <si>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</si>
  <si>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</si>
  <si>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</si>
  <si>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</si>
  <si>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</si>
  <si>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</si>
  <si>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</si>
  <si>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</si>
  <si>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</si>
  <si>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</si>
  <si>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</si>
  <si>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</si>
  <si>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</si>
  <si>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</si>
  <si>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</si>
  <si>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</si>
  <si>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</si>
  <si>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</si>
  <si>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</si>
  <si>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</si>
  <si>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</si>
  <si>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</si>
  <si>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</si>
  <si>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</si>
  <si>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</si>
  <si>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</si>
  <si>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</si>
  <si>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</si>
  <si>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</si>
  <si>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</si>
  <si>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</si>
  <si>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</si>
  <si>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</si>
  <si>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</si>
  <si>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</si>
  <si>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</si>
  <si>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</si>
  <si>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</si>
  <si>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</si>
  <si>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</si>
  <si>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</si>
  <si>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</si>
  <si>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</si>
  <si>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</si>
  <si>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</si>
  <si>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</si>
  <si>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</si>
  <si>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</si>
  <si>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</si>
  <si>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</si>
  <si>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</si>
  <si>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</si>
  <si>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</si>
  <si>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</si>
  <si>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</si>
  <si>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</si>
  <si>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</si>
  <si>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</si>
  <si>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</si>
  <si>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</si>
  <si>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</si>
  <si>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</si>
  <si>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</si>
  <si>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</si>
  <si>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</si>
  <si>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</si>
  <si>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</si>
  <si>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</si>
  <si>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</si>
  <si>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</si>
  <si>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</si>
  <si>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</si>
  <si>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</si>
  <si>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</si>
  <si>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</si>
  <si>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</si>
  <si>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</si>
  <si>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</si>
  <si>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</si>
  <si>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</si>
  <si>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</si>
  <si>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</si>
  <si>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</si>
  <si>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</si>
  <si>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</si>
  <si>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</si>
  <si>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</si>
  <si>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</si>
  <si>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</si>
  <si>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</si>
  <si>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</si>
  <si>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</si>
  <si>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</si>
  <si>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</si>
  <si>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</si>
  <si>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</si>
  <si>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</si>
  <si>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</si>
  <si>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</si>
  <si>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</si>
  <si>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</si>
  <si>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</si>
  <si>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</si>
  <si>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</si>
  <si>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</si>
  <si>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</si>
  <si>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</si>
  <si>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</si>
  <si>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</si>
  <si>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</si>
  <si>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</si>
  <si>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</si>
  <si>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</si>
  <si>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</si>
  <si>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</si>
  <si>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</si>
  <si>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</si>
  <si>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</si>
  <si>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</si>
  <si>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</si>
  <si>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</si>
  <si>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</si>
  <si>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</si>
  <si>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</si>
  <si>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</si>
  <si>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</si>
  <si>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</si>
  <si>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</si>
  <si>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</si>
  <si>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</si>
  <si>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</si>
  <si>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</si>
  <si>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</si>
  <si>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</si>
  <si>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</si>
  <si>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</si>
  <si>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</si>
  <si>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</si>
  <si>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</si>
  <si>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</si>
  <si>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</si>
  <si>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</si>
  <si>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</si>
  <si>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</si>
  <si>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</si>
  <si>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</si>
  <si>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</si>
  <si>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</si>
  <si>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</si>
  <si>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</si>
  <si>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</si>
  <si>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</si>
  <si>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</si>
  <si>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</si>
  <si>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</si>
  <si>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</si>
  <si>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</si>
  <si>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</si>
  <si>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</si>
  <si>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</si>
  <si>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</si>
  <si>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</si>
  <si>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</si>
  <si>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</si>
  <si>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</si>
  <si>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</si>
  <si>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</si>
  <si>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</si>
  <si>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</si>
  <si>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</si>
  <si>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</si>
  <si>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</si>
  <si>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</si>
  <si>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</si>
  <si>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</si>
  <si>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</si>
  <si>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</si>
  <si>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</si>
  <si>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</si>
  <si>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</si>
  <si>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</si>
  <si>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</si>
  <si>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</si>
  <si>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</si>
  <si>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</si>
  <si>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</si>
  <si>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</si>
  <si>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</si>
  <si>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</si>
  <si>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</si>
  <si>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</si>
  <si>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</si>
  <si>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</si>
  <si>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</si>
  <si>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</si>
  <si>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</si>
  <si>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</si>
  <si>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</si>
  <si>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</si>
  <si>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</si>
  <si>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</si>
  <si>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</si>
  <si>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</si>
  <si>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</si>
  <si>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</si>
  <si>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</si>
  <si>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</si>
  <si>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</si>
  <si>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</si>
  <si>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</si>
  <si>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</si>
  <si>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</si>
  <si>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</si>
  <si>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</si>
  <si>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</si>
  <si>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</si>
  <si>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</si>
  <si>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</si>
  <si>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</si>
  <si>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</si>
  <si>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</si>
  <si>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</si>
  <si>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</si>
  <si>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</si>
  <si>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</si>
  <si>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</si>
  <si>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</si>
  <si>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</si>
  <si>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</si>
  <si>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</si>
  <si>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</si>
  <si>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</si>
  <si>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</si>
  <si>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</si>
  <si>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</si>
  <si>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</si>
  <si>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</si>
  <si>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</si>
  <si>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</si>
  <si>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</si>
  <si>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</si>
  <si>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</si>
  <si>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</si>
  <si>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</si>
  <si>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</si>
  <si>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</si>
  <si>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</si>
  <si>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</si>
  <si>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</si>
  <si>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</si>
  <si>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</si>
  <si>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</si>
  <si>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</si>
  <si>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</si>
  <si>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</si>
  <si>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</si>
  <si>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</si>
  <si>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</si>
  <si>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</si>
  <si>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</si>
  <si>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</si>
  <si>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</si>
  <si>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</si>
  <si>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</si>
  <si>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</si>
  <si>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</si>
  <si>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</si>
  <si>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</si>
  <si>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</si>
  <si>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</si>
  <si>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</si>
  <si>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</si>
  <si>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</si>
  <si>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</si>
  <si>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</si>
  <si>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</si>
  <si>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</si>
  <si>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</si>
  <si>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</si>
  <si>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</si>
  <si>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</si>
  <si>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</si>
  <si>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</si>
  <si>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</si>
  <si>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</si>
  <si>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</si>
  <si>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</si>
  <si>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</si>
  <si>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</si>
  <si>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</si>
  <si>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</si>
  <si>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</si>
  <si>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</si>
  <si>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</si>
  <si>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</si>
  <si>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</si>
  <si>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</si>
  <si>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</si>
  <si>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</si>
  <si>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</si>
  <si>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</si>
  <si>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</si>
  <si>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</si>
  <si>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</si>
  <si>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</si>
  <si>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</si>
  <si>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</si>
  <si>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</si>
  <si>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</si>
  <si>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</si>
  <si>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</si>
  <si>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</si>
  <si>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</si>
  <si>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</si>
  <si>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</si>
  <si>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</si>
  <si>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</si>
  <si>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</si>
  <si>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</si>
  <si>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</si>
  <si>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</si>
  <si>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</si>
  <si>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</si>
  <si>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</si>
  <si>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</si>
  <si>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</si>
  <si>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</si>
  <si>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</si>
  <si>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</si>
  <si>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</si>
  <si>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</si>
  <si>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</si>
  <si>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</si>
  <si>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</si>
  <si>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</si>
  <si>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</si>
  <si>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</si>
  <si>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</si>
  <si>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</si>
  <si>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</si>
  <si>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</si>
  <si>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</si>
  <si>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</si>
  <si>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</si>
  <si>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</si>
  <si>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</si>
  <si>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</si>
  <si>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</si>
  <si>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</si>
  <si>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</si>
  <si>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</si>
  <si>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</si>
  <si>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</si>
  <si>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</si>
  <si>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</si>
  <si>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</si>
  <si>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</si>
  <si>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</si>
  <si>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</si>
  <si>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</si>
  <si>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</si>
  <si>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</si>
  <si>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</si>
  <si>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</si>
  <si>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</si>
  <si>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</si>
  <si>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</si>
  <si>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</si>
  <si>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</si>
  <si>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</si>
  <si>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</si>
  <si>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</si>
  <si>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</si>
  <si>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</si>
  <si>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</si>
  <si>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</si>
  <si>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</si>
  <si>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</si>
  <si>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</si>
  <si>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</si>
  <si>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</si>
  <si>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</si>
  <si>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</si>
  <si>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</si>
  <si>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</si>
  <si>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</si>
  <si>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</si>
  <si>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</si>
  <si>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</si>
  <si>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</si>
  <si>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</si>
  <si>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</si>
  <si>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</si>
  <si>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</si>
  <si>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</si>
  <si>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</si>
  <si>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</si>
  <si>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</si>
  <si>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</si>
  <si>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</si>
  <si>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</si>
  <si>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</si>
  <si>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</si>
  <si>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</si>
  <si>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</si>
  <si>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</si>
  <si>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</si>
  <si>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</si>
  <si>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</si>
  <si>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</si>
  <si>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</si>
  <si>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</si>
  <si>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</si>
  <si>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</si>
  <si>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</si>
  <si>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</si>
  <si>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</si>
  <si>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</si>
  <si>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</si>
  <si>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</si>
  <si>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</si>
  <si>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</si>
  <si>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</si>
  <si>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</si>
  <si>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</si>
  <si>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</si>
  <si>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</si>
  <si>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</si>
  <si>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</si>
  <si>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</si>
  <si>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</si>
  <si>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</si>
  <si>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</si>
  <si>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</si>
  <si>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</si>
  <si>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</si>
  <si>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</si>
  <si>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</si>
  <si>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</si>
  <si>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</si>
  <si>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</si>
  <si>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</si>
  <si>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</si>
  <si>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</si>
  <si>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</si>
  <si>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</si>
  <si>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</si>
  <si>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</si>
  <si>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</si>
  <si>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</si>
  <si>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</si>
  <si>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</si>
  <si>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</si>
  <si>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</si>
  <si>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</si>
  <si>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</si>
  <si>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</si>
  <si>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</si>
  <si>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</si>
  <si>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</si>
  <si>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</si>
  <si>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</si>
  <si>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</si>
  <si>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</si>
  <si>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</si>
  <si>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</si>
  <si>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</si>
  <si>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</si>
  <si>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</si>
  <si>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</si>
  <si>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</si>
  <si>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</si>
  <si>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</si>
  <si>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</si>
  <si>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</si>
  <si>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</si>
  <si>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</si>
  <si>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</si>
  <si>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</si>
  <si>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</si>
  <si>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</si>
  <si>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</si>
  <si>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</si>
  <si>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</si>
  <si>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</si>
  <si>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</si>
  <si>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</si>
  <si>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</si>
  <si>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</si>
  <si>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</si>
  <si>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</si>
  <si>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</si>
  <si>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</si>
  <si>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</si>
  <si>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</si>
  <si>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</si>
  <si>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</si>
  <si>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</si>
  <si>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</si>
  <si>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</si>
  <si>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</si>
  <si>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</si>
  <si>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</si>
  <si>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</si>
  <si>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</si>
  <si>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</si>
  <si>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</si>
  <si>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</si>
  <si>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</si>
  <si>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</si>
  <si>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</si>
  <si>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</si>
  <si>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</si>
  <si>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</si>
  <si>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</si>
  <si>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</si>
  <si>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</si>
  <si>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</si>
  <si>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</si>
  <si>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</si>
  <si>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</si>
  <si>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</si>
  <si>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</si>
  <si>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</si>
  <si>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</si>
  <si>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</si>
  <si>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</si>
  <si>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</si>
  <si>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</si>
  <si>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</si>
  <si>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</si>
  <si>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</si>
  <si>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</si>
  <si>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</si>
  <si>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</si>
  <si>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</si>
  <si>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</si>
  <si>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</si>
  <si>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</si>
  <si>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</si>
  <si>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</si>
  <si>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</si>
  <si>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</si>
  <si>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</si>
  <si>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</si>
  <si>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</si>
  <si>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</si>
  <si>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</si>
  <si>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</si>
  <si>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</si>
  <si>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</si>
  <si>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</si>
  <si>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</si>
  <si>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</si>
  <si>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</si>
  <si>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</si>
  <si>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</si>
  <si>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</si>
  <si>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</si>
  <si>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</si>
  <si>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</si>
  <si>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</si>
  <si>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</si>
  <si>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</si>
  <si>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</si>
  <si>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</si>
  <si>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</si>
  <si>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</si>
  <si>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</si>
  <si>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</si>
  <si>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</si>
  <si>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</si>
  <si>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</si>
  <si>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</si>
  <si>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</si>
  <si>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</si>
  <si>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</si>
  <si>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</si>
  <si>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</si>
  <si>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</si>
  <si>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</si>
  <si>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</si>
  <si>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</si>
  <si>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</si>
  <si>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</si>
  <si>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</si>
  <si>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</si>
  <si>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</si>
  <si>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</si>
  <si>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</si>
  <si>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</si>
  <si>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</si>
  <si>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</si>
  <si>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</si>
  <si>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</si>
  <si>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</si>
  <si>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</si>
  <si>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</si>
  <si>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</si>
  <si>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</si>
  <si>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</si>
  <si>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</si>
  <si>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</si>
  <si>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</si>
  <si>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</si>
  <si>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</si>
  <si>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</si>
  <si>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</si>
  <si>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</si>
  <si>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</si>
  <si>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</si>
  <si>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</si>
  <si>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</si>
  <si>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</si>
  <si>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</si>
  <si>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</si>
  <si>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</si>
  <si>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</si>
  <si>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</si>
  <si>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</si>
  <si>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</si>
  <si>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</si>
  <si>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</si>
  <si>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</si>
  <si>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</si>
  <si>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</si>
  <si>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</si>
  <si>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</si>
  <si>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</si>
  <si>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</si>
  <si>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</si>
  <si>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</si>
  <si>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</si>
  <si>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</si>
  <si>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</si>
  <si>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</si>
  <si>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</si>
  <si>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</si>
  <si>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</si>
  <si>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</si>
  <si>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</si>
  <si>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</si>
  <si>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</si>
  <si>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</si>
  <si>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</si>
  <si>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</si>
  <si>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</si>
  <si>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</si>
  <si>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</si>
  <si>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</si>
  <si>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</si>
  <si>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</si>
  <si>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</si>
  <si>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</si>
  <si>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</si>
  <si>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</si>
  <si>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</si>
  <si>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</si>
  <si>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</si>
  <si>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</si>
  <si>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</si>
  <si>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</si>
  <si>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</si>
  <si>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</si>
  <si>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</si>
  <si>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</si>
  <si>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</si>
  <si>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</si>
  <si>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</si>
  <si>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</si>
  <si>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</si>
  <si>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</si>
  <si>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</si>
  <si>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</si>
  <si>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</si>
  <si>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</si>
  <si>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</si>
  <si>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</si>
  <si>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</si>
  <si>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</si>
  <si>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</si>
  <si>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</si>
  <si>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</si>
  <si>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</si>
  <si>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</si>
  <si>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</si>
  <si>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</si>
  <si>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</si>
  <si>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</si>
  <si>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</si>
  <si>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</si>
  <si>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</si>
  <si>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</si>
  <si>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</si>
  <si>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</si>
  <si>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</si>
  <si>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</si>
  <si>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</si>
  <si>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</si>
  <si>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</si>
  <si>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</si>
  <si>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</si>
  <si>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</si>
  <si>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</si>
  <si>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</si>
  <si>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</si>
  <si>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</si>
  <si>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</si>
  <si>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</si>
  <si>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</si>
  <si>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</si>
  <si>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</si>
  <si>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</si>
  <si>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</si>
  <si>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</si>
  <si>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</si>
  <si>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</si>
  <si>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</si>
  <si>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</si>
  <si>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</si>
  <si>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</si>
  <si>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</si>
  <si>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</si>
  <si>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</si>
  <si>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</si>
  <si>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</si>
  <si>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</si>
  <si>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</si>
  <si>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</si>
  <si>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</si>
  <si>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</si>
  <si>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</si>
  <si>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</si>
  <si>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</si>
  <si>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</si>
  <si>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</si>
  <si>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</si>
  <si>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</si>
  <si>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</si>
  <si>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</si>
  <si>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</si>
  <si>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</si>
  <si>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</si>
  <si>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</si>
  <si>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</si>
  <si>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</si>
  <si>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</si>
  <si>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</si>
  <si>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</si>
  <si>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</si>
  <si>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</si>
  <si>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</si>
  <si>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</si>
  <si>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</si>
  <si>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</si>
  <si>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</si>
  <si>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</si>
  <si>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</si>
  <si>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</si>
  <si>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</si>
  <si>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</si>
  <si>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</si>
  <si>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</si>
  <si>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</si>
  <si>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</si>
  <si>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</si>
  <si>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</si>
  <si>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</si>
  <si>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</si>
  <si>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</si>
  <si>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</si>
  <si>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</si>
  <si>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</si>
  <si>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</si>
  <si>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</si>
  <si>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</si>
  <si>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</si>
  <si>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</si>
  <si>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</si>
  <si>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</si>
  <si>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</si>
  <si>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</si>
  <si>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</si>
  <si>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</si>
  <si>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</si>
  <si>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</si>
  <si>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</si>
  <si>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</si>
  <si>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</si>
  <si>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</si>
  <si>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</si>
  <si>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</si>
  <si>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</si>
  <si>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</si>
  <si>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</si>
  <si>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</si>
  <si>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</si>
  <si>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</si>
  <si>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</si>
  <si>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</si>
  <si>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</si>
  <si>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</si>
  <si>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</si>
  <si>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</si>
  <si>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</si>
  <si>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</si>
  <si>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</si>
  <si>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</si>
  <si>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</si>
  <si>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</si>
  <si>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</si>
  <si>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</si>
  <si>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</si>
  <si>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</si>
  <si>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</si>
  <si>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</si>
  <si>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</si>
  <si>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</si>
  <si>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</si>
  <si>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</si>
  <si>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</si>
  <si>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</si>
  <si>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</si>
  <si>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</si>
  <si>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</si>
  <si>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</si>
  <si>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</si>
  <si>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</si>
  <si>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</si>
  <si>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</si>
  <si>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</si>
  <si>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</si>
  <si>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</si>
  <si>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</si>
  <si>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</si>
  <si>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</si>
  <si>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</si>
  <si>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</si>
  <si>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</si>
  <si>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</si>
  <si>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</si>
  <si>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</si>
  <si>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</si>
  <si>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</si>
  <si>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</si>
  <si>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</si>
  <si>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</si>
  <si>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</si>
  <si>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</si>
  <si>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</si>
  <si>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</si>
  <si>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</si>
  <si>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</si>
  <si>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</si>
  <si>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</si>
  <si>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</si>
  <si>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</si>
  <si>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</si>
  <si>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</si>
  <si>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</si>
  <si>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</si>
  <si>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</si>
  <si>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</si>
  <si>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</si>
  <si>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</si>
  <si>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</si>
  <si>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</si>
  <si>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</si>
  <si>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</si>
  <si>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</si>
  <si>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</si>
  <si>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</si>
  <si>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</si>
  <si>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</si>
  <si>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</si>
  <si>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</si>
  <si>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</si>
  <si>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</si>
  <si>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</si>
  <si>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</si>
  <si>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</si>
  <si>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</si>
  <si>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</si>
  <si>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</si>
  <si>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</si>
  <si>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</si>
  <si>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</si>
  <si>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</si>
  <si>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</si>
  <si>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</si>
  <si>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</si>
  <si>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</si>
  <si>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</si>
  <si>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</si>
  <si>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</si>
  <si>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</si>
  <si>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</si>
  <si>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</si>
  <si>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</si>
  <si>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</si>
  <si>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</si>
  <si>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</si>
  <si>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</si>
  <si>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</si>
  <si>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</si>
  <si>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</si>
  <si>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</si>
  <si>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</si>
  <si>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</si>
  <si>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</si>
  <si>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</si>
  <si>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</si>
  <si>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</si>
  <si>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</si>
  <si>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</si>
  <si>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</si>
  <si>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</si>
  <si>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</si>
  <si>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</si>
  <si>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</si>
  <si>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</si>
  <si>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</si>
  <si>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</si>
  <si>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</si>
  <si>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</si>
  <si>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</si>
  <si>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</si>
  <si>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</si>
  <si>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</si>
  <si>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</si>
  <si>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</si>
  <si>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</si>
  <si>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</si>
  <si>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</si>
  <si>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</si>
  <si>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</si>
  <si>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</si>
  <si>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</si>
  <si>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</si>
  <si>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</si>
  <si>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</si>
  <si>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</si>
  <si>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</si>
  <si>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</si>
  <si>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</si>
  <si>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</si>
  <si>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</si>
  <si>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</si>
  <si>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</si>
  <si>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</si>
  <si>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</si>
  <si>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</si>
  <si>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</si>
  <si>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</si>
  <si>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</si>
  <si>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</si>
  <si>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</si>
  <si>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</si>
  <si>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</si>
  <si>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</si>
  <si>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</si>
  <si>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</si>
  <si>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</si>
  <si>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</si>
  <si>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</si>
  <si>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</si>
  <si>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</si>
  <si>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</si>
  <si>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</si>
  <si>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</si>
  <si>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</si>
  <si>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</si>
  <si>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</si>
  <si>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</si>
  <si>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</si>
  <si>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</si>
  <si>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</si>
  <si>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</si>
  <si>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</si>
  <si>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</si>
  <si>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</si>
  <si>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</si>
  <si>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</si>
  <si>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</si>
  <si>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</si>
  <si>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</si>
  <si>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</si>
  <si>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Not Provided</t>
  </si>
  <si>
    <t>Required Date</t>
  </si>
  <si>
    <t>Lead Time Days</t>
  </si>
  <si>
    <t>ORD2024275203</t>
  </si>
  <si>
    <t>CMP8270</t>
  </si>
  <si>
    <t>Month</t>
  </si>
  <si>
    <t>Quarters</t>
  </si>
  <si>
    <t>Region Heirarchy</t>
  </si>
  <si>
    <t>Row Labels</t>
  </si>
  <si>
    <t>Grand Total</t>
  </si>
  <si>
    <t>Price Bands</t>
  </si>
  <si>
    <t>Order Date</t>
  </si>
  <si>
    <t>Customer Segment</t>
  </si>
  <si>
    <t>Product Category</t>
  </si>
  <si>
    <t>Unit Cost</t>
  </si>
  <si>
    <t>Unit Price</t>
  </si>
  <si>
    <t>Gross Revenue</t>
  </si>
  <si>
    <t>Cost Of Goods</t>
  </si>
  <si>
    <t>Gross Profit</t>
  </si>
  <si>
    <t>Margin Pct</t>
  </si>
  <si>
    <t>Discount Pct</t>
  </si>
  <si>
    <t>Column Labels</t>
  </si>
  <si>
    <t>Count of Month</t>
  </si>
  <si>
    <t>OrderYearMonth</t>
  </si>
  <si>
    <t>Month Since First</t>
  </si>
  <si>
    <t>Sum of Gross Revenue</t>
  </si>
  <si>
    <t>Cohort Month Number</t>
  </si>
  <si>
    <t>Cohort Month Date</t>
  </si>
  <si>
    <t>CMP-8270</t>
  </si>
  <si>
    <t>Cat Total Revenue</t>
  </si>
  <si>
    <t>SKU Rank</t>
  </si>
  <si>
    <t>Count of OrderID</t>
  </si>
  <si>
    <t>Sum of Gross Profit</t>
  </si>
  <si>
    <t>Apr-2023</t>
  </si>
  <si>
    <t>Apr-2024</t>
  </si>
  <si>
    <t>Aug-2023</t>
  </si>
  <si>
    <t>Aug-2025</t>
  </si>
  <si>
    <t>Dec-2023</t>
  </si>
  <si>
    <t>Feb-2023</t>
  </si>
  <si>
    <t>Feb-2024</t>
  </si>
  <si>
    <t>Feb-2025</t>
  </si>
  <si>
    <t>Jan-2024</t>
  </si>
  <si>
    <t>Jan-2025</t>
  </si>
  <si>
    <t>Jul-2024</t>
  </si>
  <si>
    <t>Jul-2025</t>
  </si>
  <si>
    <t>Jun-2023</t>
  </si>
  <si>
    <t>Jun-2024</t>
  </si>
  <si>
    <t>Jun-2025</t>
  </si>
  <si>
    <t>Mar-2025</t>
  </si>
  <si>
    <t>May-2023</t>
  </si>
  <si>
    <t>May-2024</t>
  </si>
  <si>
    <t>Oct-2024</t>
  </si>
  <si>
    <t>Sept-2023</t>
  </si>
  <si>
    <t>Sept-2024</t>
  </si>
  <si>
    <t>Sept-2025</t>
  </si>
  <si>
    <t>Jul-2023</t>
  </si>
  <si>
    <t>Mar-2023</t>
  </si>
  <si>
    <t>Mar-2024</t>
  </si>
  <si>
    <t>May-2025</t>
  </si>
  <si>
    <t>Nov-2024</t>
  </si>
  <si>
    <t>Apr-2025</t>
  </si>
  <si>
    <t>Aug-2024</t>
  </si>
  <si>
    <t>Nov-2023</t>
  </si>
  <si>
    <t>Oct-2023</t>
  </si>
  <si>
    <t>Jan-2023</t>
  </si>
  <si>
    <t>Dec-2024</t>
  </si>
  <si>
    <t>Q1</t>
  </si>
  <si>
    <t>Q2</t>
  </si>
  <si>
    <t>Q3</t>
  </si>
  <si>
    <t>Q4</t>
  </si>
  <si>
    <t>On Time</t>
  </si>
  <si>
    <t>Late</t>
  </si>
  <si>
    <t>On Time number</t>
  </si>
  <si>
    <t>Average of On Time number</t>
  </si>
  <si>
    <t>High Discount</t>
  </si>
  <si>
    <t>Average of High Discount</t>
  </si>
  <si>
    <t>Africa &gt; Kenya &gt; Kisumu</t>
  </si>
  <si>
    <t>Low</t>
  </si>
  <si>
    <t>Africa &gt; Nigeria &gt; Port Harcourt</t>
  </si>
  <si>
    <t>High</t>
  </si>
  <si>
    <t>Africa &gt; Kenya &gt; Nairobi</t>
  </si>
  <si>
    <t>Africa &gt; Nigeria &gt; Lagos</t>
  </si>
  <si>
    <t>Asia &gt; Japan &gt; Osaka</t>
  </si>
  <si>
    <t>Medium</t>
  </si>
  <si>
    <t>Americas &gt; Canada &gt; Toronto</t>
  </si>
  <si>
    <t>Asia &gt; India &gt; Bengaluru</t>
  </si>
  <si>
    <t>Africa &gt; Nigeria &gt; Abuja</t>
  </si>
  <si>
    <t>Americas &gt; Brazil &gt; São Paulo</t>
  </si>
  <si>
    <t>Europe &gt; Germany &gt; Berlin</t>
  </si>
  <si>
    <t>Americas &gt; Brazil &gt; Brasília</t>
  </si>
  <si>
    <t>Europe &gt; France &gt; Marseille</t>
  </si>
  <si>
    <t>Europe &gt; United Kingdom &gt; Birmingham</t>
  </si>
  <si>
    <t>Africa &gt; Kenya &gt; Mombasa</t>
  </si>
  <si>
    <t>Asia &gt; China &gt; Shenzhen</t>
  </si>
  <si>
    <t>Americas &gt; USA &gt; Chicago</t>
  </si>
  <si>
    <t>Africa &gt; Kenya &gt; Nakuru</t>
  </si>
  <si>
    <t>Europe &gt; France &gt; Lyon</t>
  </si>
  <si>
    <t>Asia &gt; India &gt; Delhi</t>
  </si>
  <si>
    <t>Americas &gt; Canada &gt; Montreal</t>
  </si>
  <si>
    <t>Africa &gt; South Africa &gt; Johannesburg</t>
  </si>
  <si>
    <t>Europe &gt; United Kingdom &gt; London</t>
  </si>
  <si>
    <t>Europe &gt; Germany &gt; Munich</t>
  </si>
  <si>
    <t>Asia &gt; China &gt; Shanghai</t>
  </si>
  <si>
    <t>Americas &gt; USA &gt; San Francisco</t>
  </si>
  <si>
    <t>Africa &gt; South Africa &gt; Durban</t>
  </si>
  <si>
    <t>Americas &gt; Canada &gt; Vancouver</t>
  </si>
  <si>
    <t>Asia &gt; Japan &gt; Tokyo</t>
  </si>
  <si>
    <t>Europe &gt; France &gt; Paris</t>
  </si>
  <si>
    <t>Asia &gt; India &gt; Mumbai</t>
  </si>
  <si>
    <t>Americas &gt; Brazil &gt; Rio de Janeiro</t>
  </si>
  <si>
    <t>Europe &gt; United Kingdom &gt; Manchester</t>
  </si>
  <si>
    <t>Asia &gt; Japan &gt; Nagoya</t>
  </si>
  <si>
    <t>Africa &gt; South Africa &gt; Cape Town</t>
  </si>
  <si>
    <t>Asia &gt; India &gt; Hyderabad</t>
  </si>
  <si>
    <t>Asia &gt; India &gt; Not Provided</t>
  </si>
  <si>
    <t>Americas &gt; USA &gt; Austin</t>
  </si>
  <si>
    <t>Europe &gt; Germany &gt; Frankfurt</t>
  </si>
  <si>
    <t>Asia &gt; China &gt; Beijing</t>
  </si>
  <si>
    <t>Europe &gt; United Kingdom &gt; Not Provided</t>
  </si>
  <si>
    <t>Americas &gt; USA &gt; New York</t>
  </si>
  <si>
    <t>Americas &gt; Brazil &gt; Not Provided</t>
  </si>
  <si>
    <t>Africa &gt; Nigeria &gt; Not Provided</t>
  </si>
  <si>
    <t>Asia &gt; China &gt; Not Provided</t>
  </si>
  <si>
    <t>Americas &gt; Canada &gt; Not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</si>
</sst>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4" fontId="1" fillId="0" borderId="0" xfId="0" applyNumberFormat="1" applyFont="1"/>
    <xf numFmtId="2" fontId="1" fillId="0" borderId="2" xfId="0" applyNumberFormat="1" applyFont="1" applyFill="1" applyBorder="1" applyAlignment="1">
      <alignment horizontal="center" vertical="top"/>
    </xf>
    <xf numFmtId="2" fontId="1" fillId="0" borderId="0" xfId="0" applyNumberFormat="1" applyFont="1" applyFill="1" applyBorder="1" applyAlignment="1">
      <alignment horizontal="center" vertical="top"/>
    </xf>
    <xf numFmtId="1" fontId="0" fillId="0" borderId="0" xfId="0" applyNumberFormat="1"/>
    <xf numFmtId="1" fontId="1" fillId="0" borderId="0" xfId="0" applyNumberFormat="1" applyFont="1"/>
    <xf numFmtId="2" fontId="1" fillId="0" borderId="3" xfId="0" applyNumberFormat="1" applyFont="1" applyFill="1" applyBorder="1" applyAlignment="1">
      <alignment horizontal="center" vertical="top"/>
    </xf>
    <xf numFmtId="2" fontId="1" fillId="0" borderId="0" xfId="0" applyNumberFormat="1" applyFont="1"/>
    <xf numFmtId="49" fontId="1" fillId="0" borderId="0" xfId="0" applyNumberFormat="1"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 fillId="0" borderId="0" xfId="0" applyFont="1"/>
    <xf numFmtId="10" fontId="0" fillId="0" borderId="0" xfId="0" applyNumberFormat="1"/>
    <xf numFmtId="0" fontId="0" fillId="0" borderId="0" xfId="0" applyAlignment="1">
      <alignment horizontal="left" indent="2"/>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9" fontId="0" fillId="0" borderId="0" xfId="0" applyNumberFormat="1"/>
  </cellXfs>
  <cellStyles count="1">
    <cellStyle name="Normal" xfId="0" builtinId="0"/>
  </cellStyles>
  <dxfs count="15">
    <dxf>
      <fill>
        <patternFill>
          <bgColor rgb="FFFF0000"/>
        </patternFill>
      </fill>
    </dxf>
    <dxf>
      <font>
        <color rgb="FF006100"/>
      </font>
      <fill>
        <patternFill>
          <bgColor rgb="FFC6EFCE"/>
        </patternFill>
      </fill>
    </dxf>
    <dxf>
      <font>
        <color rgb="FF9C0006"/>
      </font>
      <fill>
        <patternFill>
          <bgColor rgb="FFFFC7CE"/>
        </patternFill>
      </fill>
    </dxf>
    <dxf>
      <numFmt numFmtId="13" formatCode="0%"/>
    </dxf>
    <dxf>
      <numFmt numFmtId="13" formatCode="0%"/>
    </dxf>
    <dxf>
      <numFmt numFmtId="19" formatCode="dd/mm/yyyy"/>
    </dxf>
    <dxf>
      <numFmt numFmtId="19" formatCode="dd/mm/yyyy"/>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5.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 (1).xlsx]Cannibalize!PivotTable17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0505832803731"/>
          <c:y val="0.13431161989104989"/>
          <c:w val="0.81894962856045184"/>
          <c:h val="0.51619148547890292"/>
        </c:manualLayout>
      </c:layout>
      <c:barChart>
        <c:barDir val="col"/>
        <c:grouping val="stacked"/>
        <c:varyColors val="0"/>
        <c:ser>
          <c:idx val="0"/>
          <c:order val="0"/>
          <c:tx>
            <c:strRef>
              <c:f>Cannibalize!$B$3</c:f>
              <c:strCache>
                <c:ptCount val="1"/>
                <c:pt idx="0">
                  <c:v>Total</c:v>
                </c:pt>
              </c:strCache>
            </c:strRef>
          </c:tx>
          <c:spPr>
            <a:solidFill>
              <a:schemeClr val="accent1"/>
            </a:solidFill>
            <a:ln>
              <a:noFill/>
            </a:ln>
            <a:effectLst/>
          </c:spPr>
          <c:invertIfNegative val="0"/>
          <c:cat>
            <c:multiLvlStrRef>
              <c:f>Cannibalize!$A$4:$A$58</c:f>
              <c:multiLvlStrCache>
                <c:ptCount val="42"/>
                <c:lvl>
                  <c:pt idx="0">
                    <c:v>Apr-2024</c:v>
                  </c:pt>
                  <c:pt idx="1">
                    <c:v>Jun-2023</c:v>
                  </c:pt>
                  <c:pt idx="2">
                    <c:v>Jun-2024</c:v>
                  </c:pt>
                  <c:pt idx="3">
                    <c:v>Jun-2025</c:v>
                  </c:pt>
                  <c:pt idx="4">
                    <c:v>May-2023</c:v>
                  </c:pt>
                  <c:pt idx="5">
                    <c:v>May-2024</c:v>
                  </c:pt>
                  <c:pt idx="6">
                    <c:v>May-2025</c:v>
                  </c:pt>
                  <c:pt idx="7">
                    <c:v>Jun-2024</c:v>
                  </c:pt>
                  <c:pt idx="8">
                    <c:v>May-2023</c:v>
                  </c:pt>
                  <c:pt idx="9">
                    <c:v>Apr-2023</c:v>
                  </c:pt>
                  <c:pt idx="10">
                    <c:v>Apr-2025</c:v>
                  </c:pt>
                  <c:pt idx="11">
                    <c:v>Jun-2023</c:v>
                  </c:pt>
                  <c:pt idx="12">
                    <c:v>May-2023</c:v>
                  </c:pt>
                  <c:pt idx="13">
                    <c:v>May-2024</c:v>
                  </c:pt>
                  <c:pt idx="14">
                    <c:v>May-2025</c:v>
                  </c:pt>
                  <c:pt idx="15">
                    <c:v>Jun-2023</c:v>
                  </c:pt>
                  <c:pt idx="16">
                    <c:v>Jun-2024</c:v>
                  </c:pt>
                  <c:pt idx="17">
                    <c:v>May-2023</c:v>
                  </c:pt>
                  <c:pt idx="18">
                    <c:v>May-2024</c:v>
                  </c:pt>
                  <c:pt idx="19">
                    <c:v>May-2025</c:v>
                  </c:pt>
                  <c:pt idx="20">
                    <c:v>Apr-2025</c:v>
                  </c:pt>
                  <c:pt idx="21">
                    <c:v>Jun-2024</c:v>
                  </c:pt>
                  <c:pt idx="22">
                    <c:v>May-2024</c:v>
                  </c:pt>
                  <c:pt idx="23">
                    <c:v>May-2025</c:v>
                  </c:pt>
                  <c:pt idx="24">
                    <c:v>Apr-2023</c:v>
                  </c:pt>
                  <c:pt idx="25">
                    <c:v>Apr-2024</c:v>
                  </c:pt>
                  <c:pt idx="26">
                    <c:v>Jun-2023</c:v>
                  </c:pt>
                  <c:pt idx="27">
                    <c:v>Jun-2024</c:v>
                  </c:pt>
                  <c:pt idx="28">
                    <c:v>Jun-2025</c:v>
                  </c:pt>
                  <c:pt idx="29">
                    <c:v>May-2023</c:v>
                  </c:pt>
                  <c:pt idx="30">
                    <c:v>May-2024</c:v>
                  </c:pt>
                  <c:pt idx="31">
                    <c:v>May-2025</c:v>
                  </c:pt>
                  <c:pt idx="32">
                    <c:v>Apr-2023</c:v>
                  </c:pt>
                  <c:pt idx="33">
                    <c:v>Apr-2024</c:v>
                  </c:pt>
                  <c:pt idx="34">
                    <c:v>Jun-2023</c:v>
                  </c:pt>
                  <c:pt idx="35">
                    <c:v>May-2024</c:v>
                  </c:pt>
                  <c:pt idx="36">
                    <c:v>May-2025</c:v>
                  </c:pt>
                  <c:pt idx="37">
                    <c:v>Apr-2023</c:v>
                  </c:pt>
                  <c:pt idx="38">
                    <c:v>Apr-2025</c:v>
                  </c:pt>
                  <c:pt idx="39">
                    <c:v>Jun-2023</c:v>
                  </c:pt>
                  <c:pt idx="40">
                    <c:v>May-2023</c:v>
                  </c:pt>
                  <c:pt idx="41">
                    <c:v>May-2024</c:v>
                  </c:pt>
                </c:lvl>
                <c:lvl>
                  <c:pt idx="0">
                    <c:v>Online</c:v>
                  </c:pt>
                  <c:pt idx="7">
                    <c:v>Retail</c:v>
                  </c:pt>
                  <c:pt idx="9">
                    <c:v>Online</c:v>
                  </c:pt>
                  <c:pt idx="15">
                    <c:v>Retail</c:v>
                  </c:pt>
                  <c:pt idx="20">
                    <c:v>Online</c:v>
                  </c:pt>
                  <c:pt idx="24">
                    <c:v>Retail</c:v>
                  </c:pt>
                  <c:pt idx="32">
                    <c:v>Online</c:v>
                  </c:pt>
                  <c:pt idx="37">
                    <c:v>Retail</c:v>
                  </c:pt>
                </c:lvl>
                <c:lvl>
                  <c:pt idx="0">
                    <c:v>Africa</c:v>
                  </c:pt>
                  <c:pt idx="9">
                    <c:v>Americas</c:v>
                  </c:pt>
                  <c:pt idx="20">
                    <c:v>Asia</c:v>
                  </c:pt>
                  <c:pt idx="32">
                    <c:v>Europe</c:v>
                  </c:pt>
                </c:lvl>
              </c:multiLvlStrCache>
            </c:multiLvlStrRef>
          </c:cat>
          <c:val>
            <c:numRef>
              <c:f>Cannibalize!$B$4:$B$58</c:f>
              <c:numCache>
                <c:formatCode>0.00%</c:formatCode>
                <c:ptCount val="42"/>
                <c:pt idx="0">
                  <c:v>0.24394139030765941</c:v>
                </c:pt>
                <c:pt idx="1">
                  <c:v>4.4161054850952251E-2</c:v>
                </c:pt>
                <c:pt idx="2">
                  <c:v>0.12097571865832446</c:v>
                </c:pt>
                <c:pt idx="3">
                  <c:v>0.27338446785710435</c:v>
                </c:pt>
                <c:pt idx="4">
                  <c:v>3.2098800911848782E-3</c:v>
                </c:pt>
                <c:pt idx="5">
                  <c:v>0.28604531430340419</c:v>
                </c:pt>
                <c:pt idx="6">
                  <c:v>2.8282173931370308E-2</c:v>
                </c:pt>
                <c:pt idx="7">
                  <c:v>0.94127969541691925</c:v>
                </c:pt>
                <c:pt idx="8">
                  <c:v>5.8720304583080724E-2</c:v>
                </c:pt>
                <c:pt idx="9">
                  <c:v>4.0269074031443364E-2</c:v>
                </c:pt>
                <c:pt idx="10">
                  <c:v>0.21270663293393768</c:v>
                </c:pt>
                <c:pt idx="11">
                  <c:v>0.19822513136987616</c:v>
                </c:pt>
                <c:pt idx="12">
                  <c:v>2.228514616268424E-2</c:v>
                </c:pt>
                <c:pt idx="13">
                  <c:v>0.18087518638690922</c:v>
                </c:pt>
                <c:pt idx="14">
                  <c:v>0.34563882911514937</c:v>
                </c:pt>
                <c:pt idx="15">
                  <c:v>0.26076207611750535</c:v>
                </c:pt>
                <c:pt idx="16">
                  <c:v>8.9638129692024948E-2</c:v>
                </c:pt>
                <c:pt idx="17">
                  <c:v>0.28356800068728305</c:v>
                </c:pt>
                <c:pt idx="18">
                  <c:v>0.32803050198611095</c:v>
                </c:pt>
                <c:pt idx="19">
                  <c:v>3.8001291517075764E-2</c:v>
                </c:pt>
                <c:pt idx="20">
                  <c:v>0.19969304246386227</c:v>
                </c:pt>
                <c:pt idx="21">
                  <c:v>0.45000327381533972</c:v>
                </c:pt>
                <c:pt idx="22">
                  <c:v>0.1928325675333564</c:v>
                </c:pt>
                <c:pt idx="23">
                  <c:v>0.15747111618744175</c:v>
                </c:pt>
                <c:pt idx="24">
                  <c:v>0.19719442391280437</c:v>
                </c:pt>
                <c:pt idx="25">
                  <c:v>4.0141925006011679E-2</c:v>
                </c:pt>
                <c:pt idx="26">
                  <c:v>2.9254313184633746E-2</c:v>
                </c:pt>
                <c:pt idx="27">
                  <c:v>0.12017983147617597</c:v>
                </c:pt>
                <c:pt idx="28">
                  <c:v>2.253349825413889E-2</c:v>
                </c:pt>
                <c:pt idx="29">
                  <c:v>0.37033214225379757</c:v>
                </c:pt>
                <c:pt idx="30">
                  <c:v>6.6995472204035303E-2</c:v>
                </c:pt>
                <c:pt idx="31">
                  <c:v>0.15336839370840247</c:v>
                </c:pt>
                <c:pt idx="32">
                  <c:v>0.23942703413195349</c:v>
                </c:pt>
                <c:pt idx="33">
                  <c:v>0.12921721418757706</c:v>
                </c:pt>
                <c:pt idx="34">
                  <c:v>4.1347064410040976E-2</c:v>
                </c:pt>
                <c:pt idx="35">
                  <c:v>0.27720035114320718</c:v>
                </c:pt>
                <c:pt idx="36">
                  <c:v>0.31280833612722136</c:v>
                </c:pt>
                <c:pt idx="37">
                  <c:v>0.1111670790920541</c:v>
                </c:pt>
                <c:pt idx="38">
                  <c:v>0.10658291405484922</c:v>
                </c:pt>
                <c:pt idx="39">
                  <c:v>5.5129544410084566E-2</c:v>
                </c:pt>
                <c:pt idx="40">
                  <c:v>9.533388559125798E-2</c:v>
                </c:pt>
                <c:pt idx="41">
                  <c:v>0.63178657685175421</c:v>
                </c:pt>
              </c:numCache>
            </c:numRef>
          </c:val>
          <c:extLst>
            <c:ext xmlns:c16="http://schemas.microsoft.com/office/drawing/2014/chart" uri="{C3380CC4-5D6E-409C-BE32-E72D297353CC}">
              <c16:uniqueId val="{00000000-3B75-4405-AC61-D9458DECD8C9}"/>
            </c:ext>
          </c:extLst>
        </c:ser>
        <c:dLbls>
          <c:showLegendKey val="0"/>
          <c:showVal val="0"/>
          <c:showCatName val="0"/>
          <c:showSerName val="0"/>
          <c:showPercent val="0"/>
          <c:showBubbleSize val="0"/>
        </c:dLbls>
        <c:gapWidth val="150"/>
        <c:overlap val="100"/>
        <c:axId val="1624787056"/>
        <c:axId val="1624780816"/>
      </c:barChart>
      <c:catAx>
        <c:axId val="162478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24780816"/>
        <c:crosses val="autoZero"/>
        <c:auto val="1"/>
        <c:lblAlgn val="ctr"/>
        <c:lblOffset val="100"/>
        <c:noMultiLvlLbl val="0"/>
      </c:catAx>
      <c:valAx>
        <c:axId val="1624780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2478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5</xdr:row>
      <xdr:rowOff>180975</xdr:rowOff>
    </xdr:from>
    <xdr:to>
      <xdr:col>6</xdr:col>
      <xdr:colOff>9525</xdr:colOff>
      <xdr:row>19</xdr:row>
      <xdr:rowOff>38100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9BDD208F-A944-E537-0521-1EBA2FE2FB0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28950" y="113347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266700</xdr:colOff>
      <xdr:row>6</xdr:row>
      <xdr:rowOff>9525</xdr:rowOff>
    </xdr:from>
    <xdr:to>
      <xdr:col>9</xdr:col>
      <xdr:colOff>266700</xdr:colOff>
      <xdr:row>19</xdr:row>
      <xdr:rowOff>57150</xdr:rowOff>
    </xdr:to>
    <mc:AlternateContent xmlns:mc="http://schemas.openxmlformats.org/markup-compatibility/2006" xmlns:a14="http://schemas.microsoft.com/office/drawing/2010/main">
      <mc:Choice Requires="a14">
        <xdr:graphicFrame macro="">
          <xdr:nvGraphicFramePr>
            <xdr:cNvPr id="3" name="Quarters">
              <a:extLst>
                <a:ext uri="{FF2B5EF4-FFF2-40B4-BE49-F238E27FC236}">
                  <a16:creationId xmlns:a16="http://schemas.microsoft.com/office/drawing/2014/main" id="{E2FAF715-FC8B-E1FB-D3DA-50071FEE9F14}"/>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5114925" y="115252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600075</xdr:colOff>
      <xdr:row>21</xdr:row>
      <xdr:rowOff>0</xdr:rowOff>
    </xdr:from>
    <xdr:to>
      <xdr:col>5</xdr:col>
      <xdr:colOff>600075</xdr:colOff>
      <xdr:row>34</xdr:row>
      <xdr:rowOff>47625</xdr:rowOff>
    </xdr:to>
    <mc:AlternateContent xmlns:mc="http://schemas.openxmlformats.org/markup-compatibility/2006" xmlns:a14="http://schemas.microsoft.com/office/drawing/2010/main">
      <mc:Choice Requires="a14">
        <xdr:graphicFrame macro="">
          <xdr:nvGraphicFramePr>
            <xdr:cNvPr id="6" name="Channel">
              <a:extLst>
                <a:ext uri="{FF2B5EF4-FFF2-40B4-BE49-F238E27FC236}">
                  <a16:creationId xmlns:a16="http://schemas.microsoft.com/office/drawing/2014/main" id="{6BB2DD83-CBEF-3E9E-B39F-D6B27CDF7E9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009900" y="4000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523875</xdr:colOff>
      <xdr:row>2</xdr:row>
      <xdr:rowOff>38100</xdr:rowOff>
    </xdr:from>
    <xdr:to>
      <xdr:col>20</xdr:col>
      <xdr:colOff>180974</xdr:colOff>
      <xdr:row>31</xdr:row>
      <xdr:rowOff>104775</xdr:rowOff>
    </xdr:to>
    <xdr:graphicFrame macro="">
      <xdr:nvGraphicFramePr>
        <xdr:cNvPr id="7" name="Chart 6">
          <a:extLst>
            <a:ext uri="{FF2B5EF4-FFF2-40B4-BE49-F238E27FC236}">
              <a16:creationId xmlns:a16="http://schemas.microsoft.com/office/drawing/2014/main" id="{E505E8CF-5FB2-32A4-D7E9-64C7A493B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295275</xdr:colOff>
      <xdr:row>21</xdr:row>
      <xdr:rowOff>0</xdr:rowOff>
    </xdr:from>
    <xdr:to>
      <xdr:col>9</xdr:col>
      <xdr:colOff>295275</xdr:colOff>
      <xdr:row>34</xdr:row>
      <xdr:rowOff>47625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7F4C09E-7EAA-213C-F2B9-25EE637DA8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43500" y="4000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209550</xdr:colOff>
      <xdr:row>2</xdr:row>
      <xdr:rowOff>38100</xdr:rowOff>
    </xdr:from>
    <xdr:to>
      <xdr:col>6</xdr:col>
      <xdr:colOff>209550</xdr:colOff>
      <xdr:row>15</xdr:row>
      <xdr:rowOff>85725</xdr:rowOff>
    </xdr:to>
    <mc:AlternateContent xmlns:mc="http://schemas.openxmlformats.org/markup-compatibility/2006" xmlns:a14="http://schemas.microsoft.com/office/drawing/2010/main">
      <mc:Choice Requires="a14">
        <xdr:graphicFrame macro="">
          <xdr:nvGraphicFramePr>
            <xdr:cNvPr id="2" name="Quarters 1">
              <a:extLst>
                <a:ext uri="{FF2B5EF4-FFF2-40B4-BE49-F238E27FC236}">
                  <a16:creationId xmlns:a16="http://schemas.microsoft.com/office/drawing/2014/main" id="{3E98E1FD-9A18-A159-41EF-56337044E89A}"/>
                </a:ext>
              </a:extLst>
            </xdr:cNvPr>
            <xdr:cNvGraphicFramePr/>
          </xdr:nvGraphicFramePr>
          <xdr:xfrm>
            <a:off x="0" y="0"/>
            <a:ext cx="0" cy="0"/>
          </xdr:xfrm>
          <a:graphic>
            <a:graphicData uri="http://schemas.microsoft.com/office/drawing/2010/slicer">
              <sle:slicer xmlns:sle="http://schemas.microsoft.com/office/drawing/2010/slicer" name="Quarters 1"/>
            </a:graphicData>
          </a:graphic>
        </xdr:graphicFrame>
      </mc:Choice>
      <mc:Fallback xmlns="">
        <xdr:sp macro="" textlink="">
          <xdr:nvSpPr>
            <xdr:cNvPr id="0" name=""/>
            <xdr:cNvSpPr>
              <a:spLocks noTextEdit="1"/>
            </xdr:cNvSpPr>
          </xdr:nvSpPr>
          <xdr:spPr>
            <a:xfrm>
              <a:off x="2038350" y="4191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381000</xdr:colOff>
      <xdr:row>2</xdr:row>
      <xdr:rowOff>57150</xdr:rowOff>
    </xdr:from>
    <xdr:to>
      <xdr:col>9</xdr:col>
      <xdr:colOff>381000</xdr:colOff>
      <xdr:row>15</xdr:row>
      <xdr:rowOff>104775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0D5B34E0-33D1-3CD7-7692-21E91810B62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038600" y="4381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581025</xdr:colOff>
      <xdr:row>2</xdr:row>
      <xdr:rowOff>47625</xdr:rowOff>
    </xdr:from>
    <xdr:to>
      <xdr:col>12</xdr:col>
      <xdr:colOff>581025</xdr:colOff>
      <xdr:row>15</xdr:row>
      <xdr:rowOff>95250</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298AD67E-C5D8-ECD8-7703-2912377A89B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067425" y="42862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581025</xdr:colOff>
      <xdr:row>16</xdr:row>
      <xdr:rowOff>171450</xdr:rowOff>
    </xdr:from>
    <xdr:to>
      <xdr:col>12</xdr:col>
      <xdr:colOff>581025</xdr:colOff>
      <xdr:row>30</xdr:row>
      <xdr:rowOff>28575</xdr:rowOff>
    </xdr:to>
    <mc:AlternateContent xmlns:mc="http://schemas.openxmlformats.org/markup-compatibility/2006" xmlns:a14="http://schemas.microsoft.com/office/drawing/2010/main">
      <mc:Choice Requires="a14">
        <xdr:graphicFrame macro="">
          <xdr:nvGraphicFramePr>
            <xdr:cNvPr id="5" name="Channel 1">
              <a:extLst>
                <a:ext uri="{FF2B5EF4-FFF2-40B4-BE49-F238E27FC236}">
                  <a16:creationId xmlns:a16="http://schemas.microsoft.com/office/drawing/2014/main" id="{62F800A9-8537-8B1C-98AC-4FE5D8558595}"/>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6067425" y="32194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17</xdr:row>
      <xdr:rowOff>0</xdr:rowOff>
    </xdr:from>
    <xdr:to>
      <xdr:col>6</xdr:col>
      <xdr:colOff>152400</xdr:colOff>
      <xdr:row>30</xdr:row>
      <xdr:rowOff>47625</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DBBF6C7D-B85F-484B-25C7-D58578E9D66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981200" y="3238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400050</xdr:colOff>
      <xdr:row>16</xdr:row>
      <xdr:rowOff>171450</xdr:rowOff>
    </xdr:from>
    <xdr:to>
      <xdr:col>9</xdr:col>
      <xdr:colOff>400050</xdr:colOff>
      <xdr:row>30</xdr:row>
      <xdr:rowOff>28575</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37BAC9B7-A9B4-DA36-B471-6914F4AE9E5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057650" y="32194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en Avedi" refreshedDate="46052.867727662036" createdVersion="8" refreshedVersion="8" minRefreshableVersion="3" recordCount="632" xr:uid="{352CFA26-041D-42A3-9571-FBAB5B8D39D5}">
  <cacheSource type="worksheet">
    <worksheetSource ref="A1:AC633" sheet="Data"/>
  </cacheSource>
  <cacheFields count="28">
    <cacheField name="OrderID" numFmtId="49">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 Date" numFmtId="14">
      <sharedItems containsSemiMixedTypes="0" containsNonDate="0" containsDate="1" containsString="0" minDate="2023-01-02T00:00:00" maxDate="2025-09-16T00:00:00"/>
    </cacheField>
    <cacheField name="Month" numFmtId="14">
      <sharedItems count="33">
        <s v="Mar-2024"/>
        <s v="Oct-2024"/>
        <s v="Feb-2023"/>
        <s v="Mar-2025"/>
        <s v="Dec-2023"/>
        <s v="Jan-2023"/>
        <s v="Dec-2024"/>
        <s v="May-2024"/>
        <s v="May-2025"/>
        <s v="Jan-2024"/>
        <s v="Jan-2025"/>
        <s v="Sept-2025"/>
        <s v="Apr-2023"/>
        <s v="Jul-2025"/>
        <s v="Jul-2024"/>
        <s v="May-2023"/>
        <s v="Jun-2025"/>
        <s v="Jun-2024"/>
        <s v="Nov-2024"/>
        <s v="Apr-2025"/>
        <s v="Apr-2024"/>
        <s v="Aug-2024"/>
        <s v="Mar-2023"/>
        <s v="Jun-2023"/>
        <s v="Jul-2023"/>
        <s v="Aug-2023"/>
        <s v="Feb-2025"/>
        <s v="Sept-2023"/>
        <s v="Aug-2025"/>
        <s v="Sept-2024"/>
        <s v="Nov-2023"/>
        <s v="Feb-2024"/>
        <s v="Oct-2023"/>
      </sharedItems>
    </cacheField>
    <cacheField name="Quarters" numFmtId="14">
      <sharedItems count="4">
        <s v="Q1"/>
        <s v="Q4"/>
        <s v="Q2"/>
        <s v="Q3"/>
      </sharedItems>
    </cacheField>
    <cacheField name="Required Date" numFmtId="14">
      <sharedItems containsSemiMixedTypes="0" containsNonDate="0" containsDate="1" containsString="0" minDate="2023-01-05T00:00:00" maxDate="2025-10-06T00:00:00"/>
    </cacheField>
    <cacheField name="Lead Time Days" numFmtId="1">
      <sharedItems containsSemiMixedTypes="0" containsString="0" containsNumber="1" containsInteger="1" minValue="0" maxValue="30"/>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49">
      <sharedItems/>
    </cacheField>
    <cacheField name="Region Heirarchy" numFmtId="0">
      <sharedItems/>
    </cacheField>
    <cacheField name="Customer Segment" numFmtId="0">
      <sharedItems/>
    </cacheField>
    <cacheField name="Channel" numFmtId="49">
      <sharedItems count="6">
        <s v="Retail"/>
        <s v="Online"/>
        <s v="Marketplace"/>
        <s v="Distributor"/>
        <s v="Direct"/>
        <s v="Not Provided"/>
      </sharedItems>
    </cacheField>
    <cacheField name="Salesperson" numFmtId="49">
      <sharedItems count="16">
        <s v="C. Otieno"/>
        <s v="J. Njeri"/>
        <s v="I. Johnson"/>
        <s v="G. Dubois"/>
        <s v="L. Okafor"/>
        <s v="B. Chen"/>
        <s v="E. Garcia"/>
        <s v="O. Wang"/>
        <s v="A. Patel"/>
        <s v="F. Müller"/>
        <s v="H. Kim"/>
        <s v="K. Singh"/>
        <s v="M. Rossi"/>
        <s v="N. Brown"/>
        <s v="D. Smith"/>
        <s v="Not Provided"/>
      </sharedItems>
    </cacheField>
    <cacheField name="Product Category" numFmtId="49">
      <sharedItems count="7">
        <s v="Components"/>
        <s v="Printers"/>
        <s v="Networking"/>
        <s v="Phones"/>
        <s v="Laptops"/>
        <s v="Monitors"/>
        <s v="Accessories"/>
      </sharedItems>
    </cacheField>
    <cacheField name="SKU" numFmtId="49">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 Cost" numFmtId="2">
      <sharedItems containsSemiMixedTypes="0" containsString="0" containsNumber="1" minValue="5.34" maxValue="1495.79"/>
    </cacheField>
    <cacheField name="Unit Price" numFmtId="2">
      <sharedItems containsSemiMixedTypes="0" containsString="0" containsNumber="1" minValue="4.22" maxValue="3661.07"/>
    </cacheField>
    <cacheField name="Price Bands" numFmtId="2">
      <sharedItems/>
    </cacheField>
    <cacheField name="Discount Pct" numFmtId="2">
      <sharedItems containsSemiMixedTypes="0" containsString="0" containsNumber="1" minValue="0" maxValue="0.56499999999999995"/>
    </cacheField>
    <cacheField name="Quantity" numFmtId="2">
      <sharedItems containsSemiMixedTypes="0" containsString="0" containsNumber="1" containsInteger="1" minValue="2" maxValue="61"/>
    </cacheField>
    <cacheField name="Gross Revenue" numFmtId="0">
      <sharedItems containsSemiMixedTypes="0" containsString="0" containsNumber="1" minValue="18.659839999999999" maxValue="139277.83032000001"/>
    </cacheField>
    <cacheField name="Cost Of Goods" numFmtId="0">
      <sharedItems containsSemiMixedTypes="0" containsString="0" containsNumber="1" minValue="22" maxValue="83258.290000000008"/>
    </cacheField>
    <cacheField name="Gross Profit" numFmtId="2">
      <sharedItems containsSemiMixedTypes="0" containsString="0" containsNumber="1" minValue="-68355.013999999996" maxValue="65188.659999999996"/>
    </cacheField>
    <cacheField name="Margin Pct" numFmtId="0">
      <sharedItems containsSemiMixedTypes="0" containsString="0" containsNumber="1" minValue="-250.39750756449047" maxValue="0.59672531214528945"/>
    </cacheField>
    <cacheField name="OrderYearMonth" numFmtId="0">
      <sharedItems containsSemiMixedTypes="0" containsString="0" containsNumber="1" containsInteger="1" minValue="202301" maxValue="202509"/>
    </cacheField>
    <cacheField name="Cohort Month" numFmtId="0">
      <sharedItems containsSemiMixedTypes="0" containsString="0" containsNumber="1" containsInteger="1" minValue="202301" maxValue="202303"/>
    </cacheField>
    <cacheField name="Cohort Month2" numFmtId="0">
      <sharedItems/>
    </cacheField>
    <cacheField name="Month Since First" numFmtId="0">
      <sharedItems containsSemiMixedTypes="0" containsString="0" containsNumber="1" containsInteger="1" minValue="0" maxValue="32" count="33">
        <n v="14"/>
        <n v="21"/>
        <n v="1"/>
        <n v="26"/>
        <n v="9"/>
        <n v="0"/>
        <n v="23"/>
        <n v="16"/>
        <n v="28"/>
        <n v="12"/>
        <n v="22"/>
        <n v="32"/>
        <n v="3"/>
        <n v="30"/>
        <n v="18"/>
        <n v="4"/>
        <n v="29"/>
        <n v="17"/>
        <n v="27"/>
        <n v="15"/>
        <n v="19"/>
        <n v="2"/>
        <n v="5"/>
        <n v="6"/>
        <n v="24"/>
        <n v="7"/>
        <n v="25"/>
        <n v="11"/>
        <n v="8"/>
        <n v="31"/>
        <n v="20"/>
        <n v="10"/>
        <n v="13"/>
      </sharedItems>
    </cacheField>
  </cacheFields>
  <extLst>
    <ext xmlns:x14="http://schemas.microsoft.com/office/spreadsheetml/2009/9/main" uri="{725AE2AE-9491-48be-B2B4-4EB974FC3084}">
      <x14:pivotCacheDefinition pivotCacheId="5630897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en Avedi" refreshedDate="46054.69885173611" createdVersion="8" refreshedVersion="8" minRefreshableVersion="3" recordCount="632" xr:uid="{5C6BB920-4257-4EF6-888E-43CF20821695}">
  <cacheSource type="worksheet">
    <worksheetSource ref="A1:AE633" sheet="Data"/>
  </cacheSource>
  <cacheFields count="31">
    <cacheField name="OrderID" numFmtId="49">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 Date" numFmtId="14">
      <sharedItems containsSemiMixedTypes="0" containsNonDate="0" containsDate="1" containsString="0" minDate="2023-01-02T00:00:00" maxDate="2025-09-16T00:00:00"/>
    </cacheField>
    <cacheField name="Month" numFmtId="14">
      <sharedItems/>
    </cacheField>
    <cacheField name="Quarters" numFmtId="14">
      <sharedItems/>
    </cacheField>
    <cacheField name="Required Date" numFmtId="14">
      <sharedItems containsSemiMixedTypes="0" containsNonDate="0" containsDate="1" containsString="0" minDate="2023-01-05T00:00:00" maxDate="2025-10-06T00:00:00"/>
    </cacheField>
    <cacheField name="Lead Time Days" numFmtId="1">
      <sharedItems containsSemiMixedTypes="0" containsString="0" containsNumber="1" containsInteger="1" minValue="0" maxValue="30"/>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49">
      <sharedItems/>
    </cacheField>
    <cacheField name="Region Heirarchy" numFmtId="0">
      <sharedItems/>
    </cacheField>
    <cacheField name="Customer Segment" numFmtId="0">
      <sharedItems/>
    </cacheField>
    <cacheField name="Channel" numFmtId="49">
      <sharedItems/>
    </cacheField>
    <cacheField name="Salesperson" numFmtId="49">
      <sharedItems/>
    </cacheField>
    <cacheField name="Product Category" numFmtId="49">
      <sharedItems count="7">
        <s v="Components"/>
        <s v="Printers"/>
        <s v="Networking"/>
        <s v="Phones"/>
        <s v="Laptops"/>
        <s v="Monitors"/>
        <s v="Accessories"/>
      </sharedItems>
    </cacheField>
    <cacheField name="SKU" numFmtId="49">
      <sharedItems/>
    </cacheField>
    <cacheField name="Unit Cost" numFmtId="2">
      <sharedItems containsSemiMixedTypes="0" containsString="0" containsNumber="1" minValue="5.34" maxValue="1495.79"/>
    </cacheField>
    <cacheField name="Unit Price" numFmtId="2">
      <sharedItems containsSemiMixedTypes="0" containsString="0" containsNumber="1" minValue="4.22" maxValue="3661.07"/>
    </cacheField>
    <cacheField name="Price Bands" numFmtId="2">
      <sharedItems/>
    </cacheField>
    <cacheField name="Discount Pct" numFmtId="2">
      <sharedItems containsSemiMixedTypes="0" containsString="0" containsNumber="1" minValue="0" maxValue="0.56499999999999995"/>
    </cacheField>
    <cacheField name="Quantity" numFmtId="2">
      <sharedItems containsSemiMixedTypes="0" containsString="0" containsNumber="1" containsInteger="1" minValue="2" maxValue="61"/>
    </cacheField>
    <cacheField name="Gross Revenue" numFmtId="0">
      <sharedItems containsSemiMixedTypes="0" containsString="0" containsNumber="1" minValue="18.659839999999999" maxValue="139277.83032000001"/>
    </cacheField>
    <cacheField name="Cat Total Revenue" numFmtId="0">
      <sharedItems containsSemiMixedTypes="0" containsString="0" containsNumber="1" minValue="0" maxValue="1545646.9975800004"/>
    </cacheField>
    <cacheField name="Cost Of Goods" numFmtId="0">
      <sharedItems containsSemiMixedTypes="0" containsString="0" containsNumber="1" minValue="22" maxValue="83258.290000000008"/>
    </cacheField>
    <cacheField name="Gross Profit" numFmtId="2">
      <sharedItems containsSemiMixedTypes="0" containsString="0" containsNumber="1" minValue="-68355.013999999996" maxValue="65188.659999999996"/>
    </cacheField>
    <cacheField name="Margin Pct" numFmtId="0">
      <sharedItems containsSemiMixedTypes="0" containsString="0" containsNumber="1" minValue="-250.39750756449047" maxValue="0.59672531214528945"/>
    </cacheField>
    <cacheField name="OrderYearMonth" numFmtId="0">
      <sharedItems containsSemiMixedTypes="0" containsString="0" containsNumber="1" containsInteger="1" minValue="202301" maxValue="202509"/>
    </cacheField>
    <cacheField name="Cohort Month Number" numFmtId="0">
      <sharedItems containsSemiMixedTypes="0" containsString="0" containsNumber="1" containsInteger="1" minValue="202301" maxValue="202303"/>
    </cacheField>
    <cacheField name="Cohort Month Date" numFmtId="0">
      <sharedItems/>
    </cacheField>
    <cacheField name="Month Since First" numFmtId="0">
      <sharedItems containsSemiMixedTypes="0" containsString="0" containsNumber="1" containsInteger="1" minValue="0" maxValue="32"/>
    </cacheField>
    <cacheField name="On Time" numFmtId="0">
      <sharedItems/>
    </cacheField>
    <cacheField name="On Time number"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en Avedi" refreshedDate="46054.708794791666" createdVersion="8" refreshedVersion="8" minRefreshableVersion="3" recordCount="632" xr:uid="{D35F7DC8-C9DE-456C-BA5F-CB8048F9E73F}">
  <cacheSource type="worksheet">
    <worksheetSource ref="A1:AF633" sheet="Data"/>
  </cacheSource>
  <cacheFields count="32">
    <cacheField name="OrderID" numFmtId="49">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 Date" numFmtId="14">
      <sharedItems containsSemiMixedTypes="0" containsNonDate="0" containsDate="1" containsString="0" minDate="2023-01-02T00:00:00" maxDate="2025-09-16T00:00:00"/>
    </cacheField>
    <cacheField name="Month" numFmtId="14">
      <sharedItems/>
    </cacheField>
    <cacheField name="Quarters" numFmtId="14">
      <sharedItems count="4">
        <s v="Q1"/>
        <s v="Q4"/>
        <s v="Q2"/>
        <s v="Q3"/>
      </sharedItems>
    </cacheField>
    <cacheField name="Required Date" numFmtId="14">
      <sharedItems containsSemiMixedTypes="0" containsNonDate="0" containsDate="1" containsString="0" minDate="2023-01-05T00:00:00" maxDate="2025-10-06T00:00:00"/>
    </cacheField>
    <cacheField name="Lead Time Days" numFmtId="1">
      <sharedItems containsSemiMixedTypes="0" containsString="0" containsNumber="1" containsInteger="1" minValue="0" maxValue="30"/>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49">
      <sharedItems/>
    </cacheField>
    <cacheField name="Region Heirarchy" numFmtId="0">
      <sharedItems/>
    </cacheField>
    <cacheField name="Customer Segment" numFmtId="0">
      <sharedItems/>
    </cacheField>
    <cacheField name="Channel" numFmtId="49">
      <sharedItems count="6">
        <s v="Retail"/>
        <s v="Online"/>
        <s v="Marketplace"/>
        <s v="Distributor"/>
        <s v="Direct"/>
        <s v="Not Provided"/>
      </sharedItems>
    </cacheField>
    <cacheField name="Salesperson" numFmtId="49">
      <sharedItems count="16">
        <s v="C. Otieno"/>
        <s v="J. Njeri"/>
        <s v="I. Johnson"/>
        <s v="G. Dubois"/>
        <s v="L. Okafor"/>
        <s v="B. Chen"/>
        <s v="E. Garcia"/>
        <s v="O. Wang"/>
        <s v="A. Patel"/>
        <s v="F. Müller"/>
        <s v="H. Kim"/>
        <s v="K. Singh"/>
        <s v="M. Rossi"/>
        <s v="N. Brown"/>
        <s v="D. Smith"/>
        <s v="Not Provided"/>
      </sharedItems>
    </cacheField>
    <cacheField name="Product Category" numFmtId="49">
      <sharedItems count="7">
        <s v="Components"/>
        <s v="Printers"/>
        <s v="Networking"/>
        <s v="Phones"/>
        <s v="Laptops"/>
        <s v="Monitors"/>
        <s v="Accessories"/>
      </sharedItems>
    </cacheField>
    <cacheField name="SKU" numFmtId="49">
      <sharedItems/>
    </cacheField>
    <cacheField name="Unit Cost" numFmtId="2">
      <sharedItems containsSemiMixedTypes="0" containsString="0" containsNumber="1" minValue="5.34" maxValue="1495.79"/>
    </cacheField>
    <cacheField name="Unit Price" numFmtId="2">
      <sharedItems containsSemiMixedTypes="0" containsString="0" containsNumber="1" minValue="4.22" maxValue="3661.07"/>
    </cacheField>
    <cacheField name="Price Bands" numFmtId="2">
      <sharedItems/>
    </cacheField>
    <cacheField name="Discount Pct" numFmtId="2">
      <sharedItems containsSemiMixedTypes="0" containsString="0" containsNumber="1" minValue="0" maxValue="0.56499999999999995"/>
    </cacheField>
    <cacheField name="Quantity" numFmtId="2">
      <sharedItems containsSemiMixedTypes="0" containsString="0" containsNumber="1" containsInteger="1" minValue="2" maxValue="61"/>
    </cacheField>
    <cacheField name="Gross Revenue" numFmtId="0">
      <sharedItems containsSemiMixedTypes="0" containsString="0" containsNumber="1" minValue="18.659839999999999" maxValue="139277.83032000001"/>
    </cacheField>
    <cacheField name="Cat Total Revenue" numFmtId="0">
      <sharedItems containsSemiMixedTypes="0" containsString="0" containsNumber="1" minValue="0" maxValue="1545646.9975800004"/>
    </cacheField>
    <cacheField name="Cost Of Goods" numFmtId="0">
      <sharedItems containsSemiMixedTypes="0" containsString="0" containsNumber="1" minValue="22" maxValue="83258.290000000008"/>
    </cacheField>
    <cacheField name="Gross Profit" numFmtId="2">
      <sharedItems containsSemiMixedTypes="0" containsString="0" containsNumber="1" minValue="-68355.013999999996" maxValue="65188.659999999996"/>
    </cacheField>
    <cacheField name="Margin Pct" numFmtId="0">
      <sharedItems containsSemiMixedTypes="0" containsString="0" containsNumber="1" minValue="-250.39750756449047" maxValue="0.59672531214528945"/>
    </cacheField>
    <cacheField name="OrderYearMonth" numFmtId="0">
      <sharedItems containsSemiMixedTypes="0" containsString="0" containsNumber="1" containsInteger="1" minValue="202301" maxValue="202509"/>
    </cacheField>
    <cacheField name="Cohort Month Number" numFmtId="0">
      <sharedItems containsSemiMixedTypes="0" containsString="0" containsNumber="1" containsInteger="1" minValue="202301" maxValue="202303"/>
    </cacheField>
    <cacheField name="Cohort Month Date" numFmtId="0">
      <sharedItems/>
    </cacheField>
    <cacheField name="Month Since First" numFmtId="0">
      <sharedItems containsSemiMixedTypes="0" containsString="0" containsNumber="1" containsInteger="1" minValue="0" maxValue="32"/>
    </cacheField>
    <cacheField name="On Time" numFmtId="0">
      <sharedItems/>
    </cacheField>
    <cacheField name="On Time number" numFmtId="0">
      <sharedItems containsSemiMixedTypes="0" containsString="0" containsNumber="1" containsInteger="1" minValue="0" maxValue="1"/>
    </cacheField>
    <cacheField name="High Discoun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741553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d v="2024-03-11T00:00:00"/>
    <x v="0"/>
    <x v="0"/>
    <d v="2024-04-06T00:00:00"/>
    <n v="26"/>
    <x v="0"/>
    <x v="0"/>
    <s v="Kisumu"/>
    <s v="Africa &gt; Kenya &gt; Kisumu"/>
    <s v="Corporate"/>
    <x v="0"/>
    <x v="0"/>
    <x v="0"/>
    <x v="0"/>
    <n v="279.24"/>
    <n v="608.9"/>
    <s v="Low"/>
    <n v="0.112"/>
    <n v="9"/>
    <n v="4866.3287999999993"/>
    <n v="2513.16"/>
    <n v="2353.1687999999995"/>
    <n v="0.48356140670149533"/>
    <n v="202403"/>
    <n v="202301"/>
    <s v="Mar-2023"/>
    <x v="0"/>
  </r>
  <r>
    <x v="1"/>
    <d v="2024-10-23T00:00:00"/>
    <x v="1"/>
    <x v="1"/>
    <d v="2024-10-24T00:00:00"/>
    <n v="1"/>
    <x v="0"/>
    <x v="1"/>
    <s v="Port Harcourt"/>
    <s v="Africa &gt; Nigeria &gt; Port Harcourt"/>
    <s v="Education"/>
    <x v="1"/>
    <x v="1"/>
    <x v="1"/>
    <x v="1"/>
    <n v="1084.3900000000001"/>
    <n v="759.33"/>
    <s v="High"/>
    <n v="0.23699999999999999"/>
    <n v="31"/>
    <n v="17960.432489999999"/>
    <n v="33616.090000000004"/>
    <n v="-15655.657510000005"/>
    <n v="-0.87167486187856302"/>
    <n v="202410"/>
    <n v="202301"/>
    <s v="Oct-2023"/>
    <x v="1"/>
  </r>
  <r>
    <x v="2"/>
    <d v="2023-02-28T00:00:00"/>
    <x v="2"/>
    <x v="0"/>
    <d v="2023-03-25T00:00:00"/>
    <n v="25"/>
    <x v="0"/>
    <x v="0"/>
    <s v="Nairobi"/>
    <s v="Africa &gt; Kenya &gt; Nairobi"/>
    <s v="Corporate"/>
    <x v="0"/>
    <x v="2"/>
    <x v="2"/>
    <x v="2"/>
    <n v="1460.76"/>
    <n v="30.66"/>
    <s v="High"/>
    <n v="0.13100000000000001"/>
    <n v="12"/>
    <n v="319.72248000000002"/>
    <n v="17529.12"/>
    <n v="-17209.397519999999"/>
    <n v="-53.826047890032626"/>
    <n v="202302"/>
    <n v="202301"/>
    <s v="Feb-2023"/>
    <x v="2"/>
  </r>
  <r>
    <x v="3"/>
    <d v="2025-03-29T00:00:00"/>
    <x v="3"/>
    <x v="0"/>
    <d v="2025-04-02T00:00:00"/>
    <n v="4"/>
    <x v="0"/>
    <x v="1"/>
    <s v="Lagos"/>
    <s v="Africa &gt; Nigeria &gt; Lagos"/>
    <s v="Non-Profit"/>
    <x v="2"/>
    <x v="3"/>
    <x v="3"/>
    <x v="3"/>
    <n v="259.93"/>
    <n v="255.94"/>
    <s v="Low"/>
    <n v="7.1999999999999995E-2"/>
    <n v="22"/>
    <n v="5225.2710400000005"/>
    <n v="5718.46"/>
    <n v="-493.1889599999995"/>
    <n v="-9.4385335463861311E-2"/>
    <n v="202503"/>
    <n v="202301"/>
    <s v="Mar-2023"/>
    <x v="3"/>
  </r>
  <r>
    <x v="4"/>
    <d v="2023-12-06T00:00:00"/>
    <x v="4"/>
    <x v="1"/>
    <d v="2023-12-31T00:00:00"/>
    <n v="25"/>
    <x v="1"/>
    <x v="2"/>
    <s v="Osaka"/>
    <s v="Asia &gt; Japan &gt; Osaka"/>
    <s v="Consumer"/>
    <x v="0"/>
    <x v="4"/>
    <x v="1"/>
    <x v="4"/>
    <n v="663.03"/>
    <n v="813.51"/>
    <s v="Medium"/>
    <n v="0.10199999999999999"/>
    <n v="15"/>
    <n v="10957.9797"/>
    <n v="9945.4499999999989"/>
    <n v="1012.529700000001"/>
    <n v="9.2401129379715952E-2"/>
    <n v="202312"/>
    <n v="202303"/>
    <s v="Dec-2023"/>
    <x v="4"/>
  </r>
  <r>
    <x v="5"/>
    <d v="2023-01-02T00:00:00"/>
    <x v="5"/>
    <x v="0"/>
    <d v="2023-01-05T00:00:00"/>
    <n v="3"/>
    <x v="2"/>
    <x v="3"/>
    <s v="Toronto"/>
    <s v="Americas &gt; Canada &gt; Toronto"/>
    <s v="Corporate"/>
    <x v="3"/>
    <x v="5"/>
    <x v="4"/>
    <x v="5"/>
    <n v="315.87"/>
    <n v="591.67999999999995"/>
    <s v="Low"/>
    <n v="0"/>
    <n v="7"/>
    <n v="4141.7599999999993"/>
    <n v="2211.09"/>
    <n v="1930.6699999999992"/>
    <n v="0.46614724175229844"/>
    <n v="202301"/>
    <n v="202301"/>
    <s v="Jan-2023"/>
    <x v="5"/>
  </r>
  <r>
    <x v="6"/>
    <d v="2024-12-27T00:00:00"/>
    <x v="6"/>
    <x v="1"/>
    <d v="2025-01-14T00:00:00"/>
    <n v="18"/>
    <x v="1"/>
    <x v="4"/>
    <s v="Bengaluru"/>
    <s v="Asia &gt; India &gt; Bengaluru"/>
    <s v="Small Business"/>
    <x v="2"/>
    <x v="6"/>
    <x v="5"/>
    <x v="6"/>
    <n v="586.07000000000005"/>
    <n v="845.97"/>
    <s v="Medium"/>
    <n v="0.14699999999999999"/>
    <n v="4"/>
    <n v="2886.4496399999998"/>
    <n v="2344.2800000000002"/>
    <n v="542.16963999999962"/>
    <n v="0.18783270370862928"/>
    <n v="202412"/>
    <n v="202301"/>
    <s v="Dec-2023"/>
    <x v="6"/>
  </r>
  <r>
    <x v="7"/>
    <d v="2023-01-15T00:00:00"/>
    <x v="5"/>
    <x v="0"/>
    <d v="2023-01-17T00:00:00"/>
    <n v="2"/>
    <x v="0"/>
    <x v="1"/>
    <s v="Abuja"/>
    <s v="Africa &gt; Nigeria &gt; Abuja"/>
    <s v="Education"/>
    <x v="1"/>
    <x v="7"/>
    <x v="1"/>
    <x v="7"/>
    <n v="28.38"/>
    <n v="47.22"/>
    <s v="Low"/>
    <n v="0.19400000000000001"/>
    <n v="18"/>
    <n v="685.06776000000002"/>
    <n v="510.84"/>
    <n v="174.22776000000005"/>
    <n v="0.25432193743871417"/>
    <n v="202301"/>
    <n v="202301"/>
    <s v="Jan-2023"/>
    <x v="5"/>
  </r>
  <r>
    <x v="8"/>
    <d v="2024-05-04T00:00:00"/>
    <x v="7"/>
    <x v="2"/>
    <d v="2024-05-29T00:00:00"/>
    <n v="25"/>
    <x v="0"/>
    <x v="1"/>
    <s v="Abuja"/>
    <s v="Africa &gt; Nigeria &gt; Abuja"/>
    <s v="Non-Profit"/>
    <x v="2"/>
    <x v="7"/>
    <x v="5"/>
    <x v="8"/>
    <n v="1295.3399999999999"/>
    <n v="2530.81"/>
    <s v="High"/>
    <n v="3.1E-2"/>
    <n v="6"/>
    <n v="14714.12934"/>
    <n v="7772.0399999999991"/>
    <n v="6942.0893400000004"/>
    <n v="0.4717974933880798"/>
    <n v="202405"/>
    <n v="202301"/>
    <s v="May-2023"/>
    <x v="7"/>
  </r>
  <r>
    <x v="9"/>
    <d v="2025-05-21T00:00:00"/>
    <x v="8"/>
    <x v="2"/>
    <d v="2025-06-09T00:00:00"/>
    <n v="19"/>
    <x v="2"/>
    <x v="5"/>
    <s v="São Paulo"/>
    <s v="Americas &gt; Brazil &gt; São Paulo"/>
    <s v="Non-Profit"/>
    <x v="1"/>
    <x v="8"/>
    <x v="0"/>
    <x v="9"/>
    <n v="1331.38"/>
    <n v="2309.56"/>
    <s v="High"/>
    <n v="0.14899999999999999"/>
    <n v="31"/>
    <n v="60928.502359999999"/>
    <n v="41272.780000000006"/>
    <n v="19655.722359999992"/>
    <n v="0.32260307735553528"/>
    <n v="202505"/>
    <n v="202301"/>
    <s v="May-2023"/>
    <x v="8"/>
  </r>
  <r>
    <x v="10"/>
    <d v="2024-01-28T00:00:00"/>
    <x v="9"/>
    <x v="0"/>
    <d v="2024-02-09T00:00:00"/>
    <n v="12"/>
    <x v="3"/>
    <x v="6"/>
    <s v="Berlin"/>
    <s v="Europe &gt; Germany &gt; Berlin"/>
    <s v="Corporate"/>
    <x v="1"/>
    <x v="3"/>
    <x v="6"/>
    <x v="10"/>
    <n v="644.16999999999996"/>
    <n v="700.12"/>
    <s v="Medium"/>
    <n v="6.0000000000000001E-3"/>
    <n v="23"/>
    <n v="16006.14344"/>
    <n v="14815.91"/>
    <n v="1190.23344"/>
    <n v="7.436103796405813E-2"/>
    <n v="202401"/>
    <n v="202301"/>
    <s v="Jan-2023"/>
    <x v="9"/>
  </r>
  <r>
    <x v="11"/>
    <d v="2025-01-03T00:00:00"/>
    <x v="10"/>
    <x v="0"/>
    <d v="2025-01-23T00:00:00"/>
    <n v="20"/>
    <x v="1"/>
    <x v="2"/>
    <s v="Osaka"/>
    <s v="Asia &gt; Japan &gt; Osaka"/>
    <s v="Corporate"/>
    <x v="3"/>
    <x v="9"/>
    <x v="3"/>
    <x v="11"/>
    <n v="908.6"/>
    <n v="691.37"/>
    <s v="Medium"/>
    <n v="0.25"/>
    <n v="20"/>
    <n v="10370.549999999999"/>
    <n v="18172"/>
    <n v="-7801.4500000000007"/>
    <n v="-0.75226964818645115"/>
    <n v="202501"/>
    <n v="202303"/>
    <s v="Jan-2023"/>
    <x v="10"/>
  </r>
  <r>
    <x v="12"/>
    <d v="2025-03-06T00:00:00"/>
    <x v="3"/>
    <x v="0"/>
    <d v="2025-03-31T00:00:00"/>
    <n v="25"/>
    <x v="2"/>
    <x v="5"/>
    <s v="Brasília"/>
    <s v="Americas &gt; Brazil &gt; Brasília"/>
    <s v="Non-Profit"/>
    <x v="1"/>
    <x v="1"/>
    <x v="0"/>
    <x v="12"/>
    <n v="331.57"/>
    <n v="548.4"/>
    <s v="Low"/>
    <n v="9.4E-2"/>
    <n v="10"/>
    <n v="4968.5039999999999"/>
    <n v="3315.7"/>
    <n v="1652.8040000000001"/>
    <n v="0.33265626836568918"/>
    <n v="202503"/>
    <n v="202301"/>
    <s v="Mar-2023"/>
    <x v="3"/>
  </r>
  <r>
    <x v="13"/>
    <d v="2024-01-20T00:00:00"/>
    <x v="9"/>
    <x v="0"/>
    <d v="2024-02-13T00:00:00"/>
    <n v="24"/>
    <x v="3"/>
    <x v="7"/>
    <s v="Marseille"/>
    <s v="Europe &gt; France &gt; Marseille"/>
    <s v="Corporate"/>
    <x v="0"/>
    <x v="10"/>
    <x v="1"/>
    <x v="13"/>
    <n v="643.53"/>
    <n v="1439.01"/>
    <s v="Medium"/>
    <n v="0"/>
    <n v="15"/>
    <n v="21585.15"/>
    <n v="9652.9499999999989"/>
    <n v="11932.200000000003"/>
    <n v="0.55279671440782208"/>
    <n v="202401"/>
    <n v="202301"/>
    <s v="Jan-2023"/>
    <x v="9"/>
  </r>
  <r>
    <x v="14"/>
    <d v="2025-09-01T00:00:00"/>
    <x v="11"/>
    <x v="3"/>
    <d v="2025-09-30T00:00:00"/>
    <n v="29"/>
    <x v="2"/>
    <x v="5"/>
    <s v="Brasília"/>
    <s v="Americas &gt; Brazil &gt; Brasília"/>
    <s v="Education"/>
    <x v="0"/>
    <x v="11"/>
    <x v="6"/>
    <x v="14"/>
    <n v="780.59"/>
    <n v="631.57000000000005"/>
    <s v="Medium"/>
    <n v="0"/>
    <n v="12"/>
    <n v="7578.84"/>
    <n v="9367.08"/>
    <n v="-1788.2399999999998"/>
    <n v="-0.23595167598207639"/>
    <n v="202509"/>
    <n v="202301"/>
    <s v="Sept-2023"/>
    <x v="11"/>
  </r>
  <r>
    <x v="15"/>
    <d v="2023-04-23T00:00:00"/>
    <x v="12"/>
    <x v="2"/>
    <d v="2023-04-24T00:00:00"/>
    <n v="1"/>
    <x v="0"/>
    <x v="0"/>
    <s v="Nairobi"/>
    <s v="Africa &gt; Kenya &gt; Nairobi"/>
    <s v="Small Business"/>
    <x v="4"/>
    <x v="6"/>
    <x v="4"/>
    <x v="15"/>
    <n v="756.51"/>
    <n v="850.8"/>
    <s v="Medium"/>
    <n v="7.3999999999999996E-2"/>
    <n v="9"/>
    <n v="7090.5672000000004"/>
    <n v="6808.59"/>
    <n v="281.97720000000027"/>
    <n v="3.9767932810791252E-2"/>
    <n v="202304"/>
    <n v="202301"/>
    <s v="Apr-2023"/>
    <x v="12"/>
  </r>
  <r>
    <x v="16"/>
    <d v="2024-12-10T00:00:00"/>
    <x v="6"/>
    <x v="1"/>
    <d v="2025-01-08T00:00:00"/>
    <n v="29"/>
    <x v="3"/>
    <x v="7"/>
    <s v="Marseille"/>
    <s v="Europe &gt; France &gt; Marseille"/>
    <s v="Small Business"/>
    <x v="0"/>
    <x v="11"/>
    <x v="1"/>
    <x v="16"/>
    <n v="891.08"/>
    <n v="1040.0999999999999"/>
    <s v="Medium"/>
    <n v="0.109"/>
    <n v="28"/>
    <n v="25948.414799999995"/>
    <n v="24950.240000000002"/>
    <n v="998.17479999999341"/>
    <n v="3.8467660074556598E-2"/>
    <n v="202412"/>
    <n v="202301"/>
    <s v="Dec-2023"/>
    <x v="6"/>
  </r>
  <r>
    <x v="17"/>
    <d v="2025-09-08T00:00:00"/>
    <x v="11"/>
    <x v="3"/>
    <d v="2025-09-16T00:00:00"/>
    <n v="8"/>
    <x v="1"/>
    <x v="2"/>
    <s v="Osaka"/>
    <s v="Asia &gt; Japan &gt; Osaka"/>
    <s v="Corporate"/>
    <x v="3"/>
    <x v="0"/>
    <x v="3"/>
    <x v="17"/>
    <n v="1225.57"/>
    <n v="2705.57"/>
    <s v="High"/>
    <n v="0.183"/>
    <n v="16"/>
    <n v="35367.211040000002"/>
    <n v="19609.12"/>
    <n v="15758.091040000003"/>
    <n v="0.44555650775453404"/>
    <n v="202509"/>
    <n v="202303"/>
    <s v="Sept-2023"/>
    <x v="13"/>
  </r>
  <r>
    <x v="18"/>
    <d v="2025-07-20T00:00:00"/>
    <x v="13"/>
    <x v="3"/>
    <d v="2025-08-05T00:00:00"/>
    <n v="16"/>
    <x v="2"/>
    <x v="5"/>
    <s v="Brasília"/>
    <s v="Americas &gt; Brazil &gt; Brasília"/>
    <s v="Enterprise"/>
    <x v="2"/>
    <x v="3"/>
    <x v="6"/>
    <x v="18"/>
    <n v="1068.17"/>
    <n v="2375.37"/>
    <s v="High"/>
    <n v="0.109"/>
    <n v="18"/>
    <n v="38096.18406"/>
    <n v="19227.060000000001"/>
    <n v="18869.124059999998"/>
    <n v="0.49530220744108822"/>
    <n v="202507"/>
    <n v="202301"/>
    <s v="Jul-2023"/>
    <x v="13"/>
  </r>
  <r>
    <x v="19"/>
    <d v="2025-05-21T00:00:00"/>
    <x v="8"/>
    <x v="2"/>
    <d v="2025-05-23T00:00:00"/>
    <n v="2"/>
    <x v="3"/>
    <x v="8"/>
    <s v="Birmingham"/>
    <s v="Europe &gt; United Kingdom &gt; Birmingham"/>
    <s v="Enterprise"/>
    <x v="1"/>
    <x v="12"/>
    <x v="4"/>
    <x v="19"/>
    <n v="1015.16"/>
    <n v="2148.14"/>
    <s v="High"/>
    <n v="3.7999999999999999E-2"/>
    <n v="19"/>
    <n v="39263.702919999996"/>
    <n v="19288.04"/>
    <n v="19975.662919999995"/>
    <n v="0.50875647059322227"/>
    <n v="202505"/>
    <n v="202301"/>
    <s v="May-2023"/>
    <x v="8"/>
  </r>
  <r>
    <x v="20"/>
    <d v="2024-07-25T00:00:00"/>
    <x v="14"/>
    <x v="3"/>
    <d v="2024-07-26T00:00:00"/>
    <n v="1"/>
    <x v="0"/>
    <x v="0"/>
    <s v="Mombasa"/>
    <s v="Africa &gt; Kenya &gt; Mombasa"/>
    <s v="Non-Profit"/>
    <x v="4"/>
    <x v="1"/>
    <x v="4"/>
    <x v="20"/>
    <n v="1494.4"/>
    <n v="3661.07"/>
    <s v="High"/>
    <n v="7.1999999999999995E-2"/>
    <n v="7"/>
    <n v="23782.310720000001"/>
    <n v="10460.800000000001"/>
    <n v="13321.51072"/>
    <n v="0.56014366630897339"/>
    <n v="202407"/>
    <n v="202301"/>
    <s v="Jul-2023"/>
    <x v="14"/>
  </r>
  <r>
    <x v="21"/>
    <d v="2023-05-11T00:00:00"/>
    <x v="15"/>
    <x v="2"/>
    <d v="2023-05-28T00:00:00"/>
    <n v="17"/>
    <x v="1"/>
    <x v="9"/>
    <s v="Shenzhen"/>
    <s v="Asia &gt; China &gt; Shenzhen"/>
    <s v="Enterprise"/>
    <x v="2"/>
    <x v="6"/>
    <x v="2"/>
    <x v="21"/>
    <n v="1331.19"/>
    <n v="2903.09"/>
    <s v="High"/>
    <n v="0.14299999999999999"/>
    <n v="8"/>
    <n v="19903.585040000002"/>
    <n v="10649.52"/>
    <n v="9254.0650400000013"/>
    <n v="0.46494463290920784"/>
    <n v="202305"/>
    <n v="202301"/>
    <s v="May-2023"/>
    <x v="15"/>
  </r>
  <r>
    <x v="22"/>
    <d v="2025-06-14T00:00:00"/>
    <x v="16"/>
    <x v="2"/>
    <d v="2025-06-29T00:00:00"/>
    <n v="15"/>
    <x v="0"/>
    <x v="1"/>
    <s v="Port Harcourt"/>
    <s v="Africa &gt; Nigeria &gt; Port Harcourt"/>
    <s v="Consumer"/>
    <x v="2"/>
    <x v="12"/>
    <x v="6"/>
    <x v="22"/>
    <n v="730.99"/>
    <n v="1242.8399999999999"/>
    <s v="Medium"/>
    <n v="0.12"/>
    <n v="10"/>
    <n v="10936.992"/>
    <n v="7309.9"/>
    <n v="3627.0920000000006"/>
    <n v="0.33163524303574515"/>
    <n v="202506"/>
    <n v="202301"/>
    <s v="Jun-2023"/>
    <x v="16"/>
  </r>
  <r>
    <x v="23"/>
    <d v="2024-05-18T00:00:00"/>
    <x v="7"/>
    <x v="2"/>
    <d v="2024-05-23T00:00:00"/>
    <n v="5"/>
    <x v="2"/>
    <x v="10"/>
    <s v="Chicago"/>
    <s v="Americas &gt; USA &gt; Chicago"/>
    <s v="Enterprise"/>
    <x v="0"/>
    <x v="10"/>
    <x v="4"/>
    <x v="23"/>
    <n v="1274.5899999999999"/>
    <n v="2553.69"/>
    <s v="High"/>
    <n v="0.01"/>
    <n v="8"/>
    <n v="20225.2248"/>
    <n v="10196.719999999999"/>
    <n v="10028.504800000001"/>
    <n v="0.49584145042481803"/>
    <n v="202405"/>
    <n v="202301"/>
    <s v="May-2023"/>
    <x v="7"/>
  </r>
  <r>
    <x v="24"/>
    <d v="2023-02-07T00:00:00"/>
    <x v="2"/>
    <x v="0"/>
    <d v="2023-02-12T00:00:00"/>
    <n v="5"/>
    <x v="2"/>
    <x v="5"/>
    <s v="São Paulo"/>
    <s v="Americas &gt; Brazil &gt; São Paulo"/>
    <s v="Education"/>
    <x v="1"/>
    <x v="13"/>
    <x v="0"/>
    <x v="24"/>
    <n v="948.55"/>
    <n v="2089.16"/>
    <s v="Medium"/>
    <n v="7.0000000000000001E-3"/>
    <n v="12"/>
    <n v="24894.430559999997"/>
    <n v="11382.599999999999"/>
    <n v="13511.830559999999"/>
    <n v="0.54276519912492427"/>
    <n v="202302"/>
    <n v="202301"/>
    <s v="Feb-2023"/>
    <x v="2"/>
  </r>
  <r>
    <x v="25"/>
    <d v="2024-06-30T00:00:00"/>
    <x v="17"/>
    <x v="2"/>
    <d v="2024-07-14T00:00:00"/>
    <n v="14"/>
    <x v="2"/>
    <x v="5"/>
    <s v="Brasília"/>
    <s v="Americas &gt; Brazil &gt; Brasília"/>
    <s v="Education"/>
    <x v="0"/>
    <x v="0"/>
    <x v="6"/>
    <x v="25"/>
    <n v="1491.85"/>
    <n v="2583.02"/>
    <s v="High"/>
    <n v="0.16800000000000001"/>
    <n v="4"/>
    <n v="8596.2905599999995"/>
    <n v="5967.4"/>
    <n v="2628.8905599999998"/>
    <n v="0.30581685689321325"/>
    <n v="202406"/>
    <n v="202301"/>
    <s v="Jun-2023"/>
    <x v="17"/>
  </r>
  <r>
    <x v="26"/>
    <d v="2024-11-30T00:00:00"/>
    <x v="18"/>
    <x v="1"/>
    <d v="2024-12-30T00:00:00"/>
    <n v="30"/>
    <x v="3"/>
    <x v="7"/>
    <s v="Marseille"/>
    <s v="Europe &gt; France &gt; Marseille"/>
    <s v="Consumer"/>
    <x v="2"/>
    <x v="9"/>
    <x v="1"/>
    <x v="26"/>
    <n v="117.64"/>
    <n v="175.67"/>
    <s v="Low"/>
    <n v="0"/>
    <n v="10"/>
    <n v="1756.6999999999998"/>
    <n v="1176.4000000000001"/>
    <n v="580.29999999999973"/>
    <n v="0.33033528775545046"/>
    <n v="202411"/>
    <n v="202301"/>
    <s v="Nov-2023"/>
    <x v="10"/>
  </r>
  <r>
    <x v="27"/>
    <d v="2024-07-19T00:00:00"/>
    <x v="14"/>
    <x v="3"/>
    <d v="2024-07-19T00:00:00"/>
    <n v="0"/>
    <x v="0"/>
    <x v="0"/>
    <s v="Kisumu"/>
    <s v="Africa &gt; Kenya &gt; Kisumu"/>
    <s v="Small Business"/>
    <x v="0"/>
    <x v="8"/>
    <x v="3"/>
    <x v="27"/>
    <n v="857.24"/>
    <n v="758.23"/>
    <s v="Medium"/>
    <n v="0.125"/>
    <n v="6"/>
    <n v="3980.7075"/>
    <n v="5143.4400000000005"/>
    <n v="-1162.7325000000005"/>
    <n v="-0.29209192084572921"/>
    <n v="202407"/>
    <n v="202301"/>
    <s v="Jul-2023"/>
    <x v="14"/>
  </r>
  <r>
    <x v="28"/>
    <d v="2023-04-14T00:00:00"/>
    <x v="12"/>
    <x v="2"/>
    <d v="2023-05-14T00:00:00"/>
    <n v="30"/>
    <x v="0"/>
    <x v="0"/>
    <s v="Nakuru"/>
    <s v="Africa &gt; Kenya &gt; Nakuru"/>
    <s v="Consumer"/>
    <x v="2"/>
    <x v="12"/>
    <x v="3"/>
    <x v="28"/>
    <n v="209.25"/>
    <n v="434.8"/>
    <s v="Low"/>
    <n v="0"/>
    <n v="9"/>
    <n v="3913.2000000000003"/>
    <n v="1883.25"/>
    <n v="2029.9500000000003"/>
    <n v="0.51874425022999082"/>
    <n v="202304"/>
    <n v="202301"/>
    <s v="Apr-2023"/>
    <x v="12"/>
  </r>
  <r>
    <x v="29"/>
    <d v="2025-04-07T00:00:00"/>
    <x v="19"/>
    <x v="2"/>
    <d v="2025-04-11T00:00:00"/>
    <n v="4"/>
    <x v="3"/>
    <x v="7"/>
    <s v="Lyon"/>
    <s v="Europe &gt; France &gt; Lyon"/>
    <s v="Education"/>
    <x v="0"/>
    <x v="6"/>
    <x v="2"/>
    <x v="29"/>
    <n v="754.77"/>
    <n v="1666.18"/>
    <s v="Medium"/>
    <n v="0.13900000000000001"/>
    <n v="14"/>
    <n v="20084.133720000002"/>
    <n v="10566.779999999999"/>
    <n v="9517.3537200000028"/>
    <n v="0.47387424584424653"/>
    <n v="202504"/>
    <n v="202301"/>
    <s v="Apr-2023"/>
    <x v="18"/>
  </r>
  <r>
    <x v="30"/>
    <d v="2024-12-27T00:00:00"/>
    <x v="6"/>
    <x v="1"/>
    <d v="2025-01-15T00:00:00"/>
    <n v="19"/>
    <x v="1"/>
    <x v="4"/>
    <s v="Delhi"/>
    <s v="Asia &gt; India &gt; Delhi"/>
    <s v="Non-Profit"/>
    <x v="3"/>
    <x v="3"/>
    <x v="0"/>
    <x v="30"/>
    <n v="495.59"/>
    <n v="631.78"/>
    <s v="Low"/>
    <n v="8.6999999999999994E-2"/>
    <n v="17"/>
    <n v="9805.8573800000013"/>
    <n v="8425.0299999999988"/>
    <n v="1380.8273800000024"/>
    <n v="0.14081658813601899"/>
    <n v="202412"/>
    <n v="202301"/>
    <s v="Dec-2023"/>
    <x v="6"/>
  </r>
  <r>
    <x v="31"/>
    <d v="2023-02-23T00:00:00"/>
    <x v="2"/>
    <x v="0"/>
    <d v="2023-03-25T00:00:00"/>
    <n v="30"/>
    <x v="2"/>
    <x v="3"/>
    <s v="Montreal"/>
    <s v="Americas &gt; Canada &gt; Montreal"/>
    <s v="Enterprise"/>
    <x v="1"/>
    <x v="14"/>
    <x v="3"/>
    <x v="31"/>
    <n v="1242.6600000000001"/>
    <n v="1794.07"/>
    <s v="High"/>
    <n v="8.8999999999999996E-2"/>
    <n v="16"/>
    <n v="26150.364320000001"/>
    <n v="19882.560000000001"/>
    <n v="6267.8043199999993"/>
    <n v="0.23968325042440553"/>
    <n v="202302"/>
    <n v="202301"/>
    <s v="Feb-2023"/>
    <x v="2"/>
  </r>
  <r>
    <x v="32"/>
    <d v="2025-07-24T00:00:00"/>
    <x v="13"/>
    <x v="3"/>
    <d v="2025-08-06T00:00:00"/>
    <n v="13"/>
    <x v="0"/>
    <x v="11"/>
    <s v="Johannesburg"/>
    <s v="Africa &gt; South Africa &gt; Johannesburg"/>
    <s v="Education"/>
    <x v="2"/>
    <x v="14"/>
    <x v="2"/>
    <x v="32"/>
    <n v="1463.9"/>
    <n v="2633.02"/>
    <s v="High"/>
    <n v="8.4000000000000005E-2"/>
    <n v="4"/>
    <n v="9647.3852800000004"/>
    <n v="5855.6"/>
    <n v="3791.7852800000001"/>
    <n v="0.39303761277791527"/>
    <n v="202507"/>
    <n v="202301"/>
    <s v="Jul-2023"/>
    <x v="13"/>
  </r>
  <r>
    <x v="33"/>
    <d v="2024-04-18T00:00:00"/>
    <x v="20"/>
    <x v="2"/>
    <d v="2024-05-08T00:00:00"/>
    <n v="20"/>
    <x v="3"/>
    <x v="8"/>
    <s v="London"/>
    <s v="Europe &gt; United Kingdom &gt; London"/>
    <s v="Non-Profit"/>
    <x v="5"/>
    <x v="14"/>
    <x v="4"/>
    <x v="33"/>
    <n v="645.33000000000004"/>
    <n v="1321.85"/>
    <s v="Medium"/>
    <n v="0"/>
    <n v="10"/>
    <n v="13218.5"/>
    <n v="6453.3"/>
    <n v="6765.2"/>
    <n v="0.51179785906116426"/>
    <n v="202404"/>
    <n v="202301"/>
    <s v="Apr-2023"/>
    <x v="19"/>
  </r>
  <r>
    <x v="34"/>
    <d v="2024-08-23T00:00:00"/>
    <x v="21"/>
    <x v="3"/>
    <d v="2024-08-25T00:00:00"/>
    <n v="2"/>
    <x v="0"/>
    <x v="11"/>
    <s v="Johannesburg"/>
    <s v="Africa &gt; South Africa &gt; Johannesburg"/>
    <s v="Education"/>
    <x v="0"/>
    <x v="6"/>
    <x v="0"/>
    <x v="34"/>
    <n v="1432.52"/>
    <n v="3036.87"/>
    <s v="High"/>
    <n v="0"/>
    <n v="9"/>
    <n v="27331.829999999998"/>
    <n v="12892.68"/>
    <n v="14439.149999999998"/>
    <n v="0.52829064135112791"/>
    <n v="202408"/>
    <n v="202301"/>
    <s v="Aug-2023"/>
    <x v="20"/>
  </r>
  <r>
    <x v="35"/>
    <d v="2023-03-27T00:00:00"/>
    <x v="22"/>
    <x v="0"/>
    <d v="2023-04-22T00:00:00"/>
    <n v="26"/>
    <x v="1"/>
    <x v="4"/>
    <s v="Delhi"/>
    <s v="Asia &gt; India &gt; Delhi"/>
    <s v="Non-Profit"/>
    <x v="2"/>
    <x v="1"/>
    <x v="1"/>
    <x v="35"/>
    <n v="178.53"/>
    <n v="199.37"/>
    <s v="Low"/>
    <n v="0.10100000000000001"/>
    <n v="37"/>
    <n v="6631.6443100000006"/>
    <n v="6605.61"/>
    <n v="26.034310000000914"/>
    <n v="3.9257699573457538E-3"/>
    <n v="202303"/>
    <n v="202301"/>
    <s v="Mar-2023"/>
    <x v="21"/>
  </r>
  <r>
    <x v="36"/>
    <d v="2024-03-07T00:00:00"/>
    <x v="0"/>
    <x v="0"/>
    <d v="2024-03-25T00:00:00"/>
    <n v="18"/>
    <x v="3"/>
    <x v="6"/>
    <s v="Munich"/>
    <s v="Europe &gt; Germany &gt; Munich"/>
    <s v="Corporate"/>
    <x v="1"/>
    <x v="5"/>
    <x v="0"/>
    <x v="36"/>
    <n v="712.84"/>
    <n v="927.51"/>
    <s v="Medium"/>
    <n v="0.24299999999999999"/>
    <n v="27"/>
    <n v="18957.37689"/>
    <n v="19246.68"/>
    <n v="-289.30311000000074"/>
    <n v="-1.5260714163076427E-2"/>
    <n v="202403"/>
    <n v="202301"/>
    <s v="Mar-2023"/>
    <x v="0"/>
  </r>
  <r>
    <x v="37"/>
    <d v="2025-06-24T00:00:00"/>
    <x v="16"/>
    <x v="2"/>
    <d v="2025-07-10T00:00:00"/>
    <n v="16"/>
    <x v="1"/>
    <x v="9"/>
    <s v="Shanghai"/>
    <s v="Asia &gt; China &gt; Shanghai"/>
    <s v="Enterprise"/>
    <x v="4"/>
    <x v="13"/>
    <x v="0"/>
    <x v="37"/>
    <n v="757.19"/>
    <n v="1735.41"/>
    <s v="Medium"/>
    <n v="0.13600000000000001"/>
    <n v="8"/>
    <n v="11995.153920000001"/>
    <n v="6057.52"/>
    <n v="5937.6339200000002"/>
    <n v="0.4950027285685718"/>
    <n v="202506"/>
    <n v="202301"/>
    <s v="Jun-2023"/>
    <x v="16"/>
  </r>
  <r>
    <x v="38"/>
    <d v="2024-04-19T00:00:00"/>
    <x v="20"/>
    <x v="2"/>
    <d v="2024-05-06T00:00:00"/>
    <n v="17"/>
    <x v="0"/>
    <x v="1"/>
    <s v="Port Harcourt"/>
    <s v="Africa &gt; Nigeria &gt; Port Harcourt"/>
    <s v="Non-Profit"/>
    <x v="1"/>
    <x v="8"/>
    <x v="1"/>
    <x v="38"/>
    <n v="865.33"/>
    <n v="1395.64"/>
    <s v="Medium"/>
    <n v="0.17499999999999999"/>
    <n v="13"/>
    <n v="14968.239"/>
    <n v="11249.29"/>
    <n v="3718.9489999999987"/>
    <n v="0.24845601409758347"/>
    <n v="202404"/>
    <n v="202301"/>
    <s v="Apr-2023"/>
    <x v="19"/>
  </r>
  <r>
    <x v="39"/>
    <d v="2023-06-17T00:00:00"/>
    <x v="23"/>
    <x v="2"/>
    <d v="2023-06-24T00:00:00"/>
    <n v="7"/>
    <x v="2"/>
    <x v="10"/>
    <s v="San Francisco"/>
    <s v="Americas &gt; USA &gt; San Francisco"/>
    <s v="Corporate"/>
    <x v="0"/>
    <x v="2"/>
    <x v="1"/>
    <x v="39"/>
    <n v="313.99"/>
    <n v="454.42"/>
    <s v="Low"/>
    <n v="0.129"/>
    <n v="9"/>
    <n v="3562.1983800000003"/>
    <n v="2825.91"/>
    <n v="736.28838000000042"/>
    <n v="0.20669493988147858"/>
    <n v="202306"/>
    <n v="202301"/>
    <s v="Jun-2023"/>
    <x v="22"/>
  </r>
  <r>
    <x v="40"/>
    <d v="2024-08-27T00:00:00"/>
    <x v="21"/>
    <x v="3"/>
    <d v="2024-09-19T00:00:00"/>
    <n v="23"/>
    <x v="3"/>
    <x v="6"/>
    <s v="Berlin"/>
    <s v="Europe &gt; Germany &gt; Berlin"/>
    <s v="Small Business"/>
    <x v="4"/>
    <x v="14"/>
    <x v="5"/>
    <x v="40"/>
    <n v="1024.01"/>
    <n v="1580.97"/>
    <s v="High"/>
    <n v="3.6999999999999998E-2"/>
    <n v="27"/>
    <n v="41106.800970000004"/>
    <n v="27648.27"/>
    <n v="13458.530970000003"/>
    <n v="0.3274039976942531"/>
    <n v="202408"/>
    <n v="202301"/>
    <s v="Aug-2023"/>
    <x v="20"/>
  </r>
  <r>
    <x v="41"/>
    <d v="2024-01-11T00:00:00"/>
    <x v="9"/>
    <x v="0"/>
    <d v="2024-02-02T00:00:00"/>
    <n v="22"/>
    <x v="0"/>
    <x v="11"/>
    <s v="Durban"/>
    <s v="Africa &gt; South Africa &gt; Durban"/>
    <s v="Consumer"/>
    <x v="1"/>
    <x v="11"/>
    <x v="2"/>
    <x v="41"/>
    <n v="1206.2"/>
    <n v="1759.79"/>
    <s v="High"/>
    <n v="0"/>
    <n v="6"/>
    <n v="10558.74"/>
    <n v="7237.2000000000007"/>
    <n v="3321.5399999999991"/>
    <n v="0.31457730751964713"/>
    <n v="202401"/>
    <n v="202301"/>
    <s v="Jan-2023"/>
    <x v="9"/>
  </r>
  <r>
    <x v="42"/>
    <d v="2024-10-25T00:00:00"/>
    <x v="1"/>
    <x v="1"/>
    <d v="2024-11-14T00:00:00"/>
    <n v="20"/>
    <x v="0"/>
    <x v="0"/>
    <s v="Mombasa"/>
    <s v="Africa &gt; Kenya &gt; Mombasa"/>
    <s v="Corporate"/>
    <x v="4"/>
    <x v="10"/>
    <x v="1"/>
    <x v="42"/>
    <n v="1396.48"/>
    <n v="3204.5"/>
    <s v="High"/>
    <n v="0.318"/>
    <n v="14"/>
    <n v="30596.565999999999"/>
    <n v="19550.72"/>
    <n v="11045.845999999998"/>
    <n v="0.36101587348070363"/>
    <n v="202410"/>
    <n v="202301"/>
    <s v="Oct-2023"/>
    <x v="1"/>
  </r>
  <r>
    <x v="43"/>
    <d v="2025-05-29T00:00:00"/>
    <x v="8"/>
    <x v="2"/>
    <d v="2025-06-20T00:00:00"/>
    <n v="22"/>
    <x v="3"/>
    <x v="6"/>
    <s v="Berlin"/>
    <s v="Europe &gt; Germany &gt; Berlin"/>
    <s v="Corporate"/>
    <x v="4"/>
    <x v="8"/>
    <x v="1"/>
    <x v="43"/>
    <n v="483.47"/>
    <n v="1135.43"/>
    <s v="Low"/>
    <n v="0.14599999999999999"/>
    <n v="11"/>
    <n v="10666.229420000001"/>
    <n v="5318.17"/>
    <n v="5348.0594200000014"/>
    <n v="0.50140112399719983"/>
    <n v="202505"/>
    <n v="202301"/>
    <s v="May-2023"/>
    <x v="8"/>
  </r>
  <r>
    <x v="44"/>
    <d v="2024-05-20T00:00:00"/>
    <x v="7"/>
    <x v="2"/>
    <d v="2024-06-02T00:00:00"/>
    <n v="13"/>
    <x v="2"/>
    <x v="3"/>
    <s v="Vancouver"/>
    <s v="Americas &gt; Canada &gt; Vancouver"/>
    <s v="Enterprise"/>
    <x v="2"/>
    <x v="11"/>
    <x v="0"/>
    <x v="44"/>
    <n v="675.43"/>
    <n v="996.36"/>
    <s v="Medium"/>
    <n v="0.182"/>
    <n v="22"/>
    <n v="17930.494560000003"/>
    <n v="14859.46"/>
    <n v="3071.0345600000037"/>
    <n v="0.17127439233332575"/>
    <n v="202405"/>
    <n v="202301"/>
    <s v="May-2023"/>
    <x v="7"/>
  </r>
  <r>
    <x v="45"/>
    <d v="2023-04-19T00:00:00"/>
    <x v="12"/>
    <x v="2"/>
    <d v="2023-04-30T00:00:00"/>
    <n v="11"/>
    <x v="1"/>
    <x v="4"/>
    <s v="Delhi"/>
    <s v="Asia &gt; India &gt; Delhi"/>
    <s v="Small Business"/>
    <x v="0"/>
    <x v="8"/>
    <x v="2"/>
    <x v="45"/>
    <n v="826.55"/>
    <n v="1397.05"/>
    <s v="Medium"/>
    <n v="0.16900000000000001"/>
    <n v="28"/>
    <n v="32506.559399999998"/>
    <n v="23143.399999999998"/>
    <n v="9363.1594000000005"/>
    <n v="0.28803907804527601"/>
    <n v="202304"/>
    <n v="202301"/>
    <s v="Apr-2023"/>
    <x v="12"/>
  </r>
  <r>
    <x v="46"/>
    <d v="2023-06-23T00:00:00"/>
    <x v="23"/>
    <x v="2"/>
    <d v="2023-07-03T00:00:00"/>
    <n v="10"/>
    <x v="0"/>
    <x v="1"/>
    <s v="Abuja"/>
    <s v="Africa &gt; Nigeria &gt; Abuja"/>
    <s v="Consumer"/>
    <x v="1"/>
    <x v="1"/>
    <x v="1"/>
    <x v="46"/>
    <n v="337.75"/>
    <n v="548.89"/>
    <s v="Low"/>
    <n v="0"/>
    <n v="13"/>
    <n v="7135.57"/>
    <n v="4390.75"/>
    <n v="2744.8199999999997"/>
    <n v="0.38466723751571352"/>
    <n v="202306"/>
    <n v="202301"/>
    <s v="Jun-2023"/>
    <x v="22"/>
  </r>
  <r>
    <x v="47"/>
    <d v="2024-05-14T00:00:00"/>
    <x v="7"/>
    <x v="2"/>
    <d v="2024-05-28T00:00:00"/>
    <n v="14"/>
    <x v="3"/>
    <x v="8"/>
    <s v="Birmingham"/>
    <s v="Europe &gt; United Kingdom &gt; Birmingham"/>
    <s v="Consumer"/>
    <x v="0"/>
    <x v="5"/>
    <x v="2"/>
    <x v="47"/>
    <n v="1421.14"/>
    <n v="3524"/>
    <s v="High"/>
    <n v="0"/>
    <n v="31"/>
    <n v="109244"/>
    <n v="44055.340000000004"/>
    <n v="65188.659999999996"/>
    <n v="0.59672531214528945"/>
    <n v="202405"/>
    <n v="202301"/>
    <s v="May-2023"/>
    <x v="7"/>
  </r>
  <r>
    <x v="48"/>
    <d v="2024-10-14T00:00:00"/>
    <x v="1"/>
    <x v="1"/>
    <d v="2024-11-08T00:00:00"/>
    <n v="25"/>
    <x v="0"/>
    <x v="1"/>
    <s v="Lagos"/>
    <s v="Africa &gt; Nigeria &gt; Lagos"/>
    <s v="Enterprise"/>
    <x v="1"/>
    <x v="7"/>
    <x v="2"/>
    <x v="48"/>
    <n v="859.35"/>
    <n v="1825.61"/>
    <s v="Medium"/>
    <n v="0.187"/>
    <n v="24"/>
    <n v="35621.302319999995"/>
    <n v="20624.400000000001"/>
    <n v="14996.902319999994"/>
    <n v="0.42100937762681989"/>
    <n v="202410"/>
    <n v="202301"/>
    <s v="Oct-2023"/>
    <x v="1"/>
  </r>
  <r>
    <x v="49"/>
    <d v="2023-07-10T00:00:00"/>
    <x v="24"/>
    <x v="3"/>
    <d v="2023-08-01T00:00:00"/>
    <n v="22"/>
    <x v="3"/>
    <x v="7"/>
    <s v="Marseille"/>
    <s v="Europe &gt; France &gt; Marseille"/>
    <s v="Consumer"/>
    <x v="2"/>
    <x v="5"/>
    <x v="1"/>
    <x v="49"/>
    <n v="1303.56"/>
    <n v="1791.37"/>
    <s v="High"/>
    <n v="0.126"/>
    <n v="22"/>
    <n v="34444.462359999998"/>
    <n v="28678.32"/>
    <n v="5766.142359999998"/>
    <n v="0.16740404596055358"/>
    <n v="202307"/>
    <n v="202301"/>
    <s v="Jul-2023"/>
    <x v="23"/>
  </r>
  <r>
    <x v="50"/>
    <d v="2024-11-06T00:00:00"/>
    <x v="18"/>
    <x v="1"/>
    <d v="2024-11-22T00:00:00"/>
    <n v="16"/>
    <x v="2"/>
    <x v="3"/>
    <s v="Toronto"/>
    <s v="Americas &gt; Canada &gt; Toronto"/>
    <s v="Non-Profit"/>
    <x v="3"/>
    <x v="14"/>
    <x v="6"/>
    <x v="50"/>
    <n v="1454.11"/>
    <n v="2629.75"/>
    <s v="High"/>
    <n v="0.29199999999999998"/>
    <n v="8"/>
    <n v="14894.903999999999"/>
    <n v="11632.88"/>
    <n v="3262.0239999999994"/>
    <n v="0.21900268709351867"/>
    <n v="202411"/>
    <n v="202301"/>
    <s v="Nov-2023"/>
    <x v="10"/>
  </r>
  <r>
    <x v="51"/>
    <d v="2024-10-17T00:00:00"/>
    <x v="1"/>
    <x v="1"/>
    <d v="2024-11-06T00:00:00"/>
    <n v="20"/>
    <x v="1"/>
    <x v="4"/>
    <s v="Bengaluru"/>
    <s v="Asia &gt; India &gt; Bengaluru"/>
    <s v="Enterprise"/>
    <x v="3"/>
    <x v="7"/>
    <x v="5"/>
    <x v="51"/>
    <n v="72.94"/>
    <n v="106.3"/>
    <s v="Low"/>
    <n v="0.29499999999999998"/>
    <n v="8"/>
    <n v="599.53200000000004"/>
    <n v="583.52"/>
    <n v="16.012000000000057"/>
    <n v="2.6707498515508857E-2"/>
    <n v="202410"/>
    <n v="202301"/>
    <s v="Oct-2023"/>
    <x v="1"/>
  </r>
  <r>
    <x v="52"/>
    <d v="2023-03-31T00:00:00"/>
    <x v="22"/>
    <x v="0"/>
    <d v="2023-04-05T00:00:00"/>
    <n v="5"/>
    <x v="0"/>
    <x v="0"/>
    <s v="Nakuru"/>
    <s v="Africa &gt; Kenya &gt; Nakuru"/>
    <s v="Education"/>
    <x v="2"/>
    <x v="5"/>
    <x v="4"/>
    <x v="52"/>
    <n v="533.26"/>
    <n v="385.72"/>
    <s v="Medium"/>
    <n v="0"/>
    <n v="15"/>
    <n v="5785.8"/>
    <n v="7998.9"/>
    <n v="-2213.0999999999995"/>
    <n v="-0.38250544436378708"/>
    <n v="202303"/>
    <n v="202301"/>
    <s v="Mar-2023"/>
    <x v="21"/>
  </r>
  <r>
    <x v="53"/>
    <d v="2025-01-21T00:00:00"/>
    <x v="10"/>
    <x v="0"/>
    <d v="2025-02-16T00:00:00"/>
    <n v="26"/>
    <x v="3"/>
    <x v="7"/>
    <s v="Lyon"/>
    <s v="Europe &gt; France &gt; Lyon"/>
    <s v="Corporate"/>
    <x v="3"/>
    <x v="7"/>
    <x v="4"/>
    <x v="53"/>
    <n v="204.11"/>
    <n v="236.87"/>
    <s v="Low"/>
    <n v="0.182"/>
    <n v="13"/>
    <n v="2518.8755800000004"/>
    <n v="2653.4300000000003"/>
    <n v="-134.55441999999994"/>
    <n v="-5.3418446337075494E-2"/>
    <n v="202501"/>
    <n v="202301"/>
    <s v="Jan-2023"/>
    <x v="24"/>
  </r>
  <r>
    <x v="54"/>
    <d v="2023-08-30T00:00:00"/>
    <x v="25"/>
    <x v="3"/>
    <d v="2023-09-01T00:00:00"/>
    <n v="2"/>
    <x v="3"/>
    <x v="6"/>
    <s v="Munich"/>
    <s v="Europe &gt; Germany &gt; Munich"/>
    <s v="Corporate"/>
    <x v="4"/>
    <x v="13"/>
    <x v="2"/>
    <x v="54"/>
    <n v="44.42"/>
    <n v="41.9"/>
    <s v="Low"/>
    <n v="0.14399999999999999"/>
    <n v="6"/>
    <n v="215.19839999999996"/>
    <n v="266.52"/>
    <n v="-51.321600000000018"/>
    <n v="-0.23848504449847224"/>
    <n v="202308"/>
    <n v="202301"/>
    <s v="Aug-2023"/>
    <x v="25"/>
  </r>
  <r>
    <x v="55"/>
    <d v="2025-04-06T00:00:00"/>
    <x v="19"/>
    <x v="2"/>
    <d v="2025-04-30T00:00:00"/>
    <n v="24"/>
    <x v="2"/>
    <x v="5"/>
    <s v="Brasília"/>
    <s v="Americas &gt; Brazil &gt; Brasília"/>
    <s v="Education"/>
    <x v="1"/>
    <x v="11"/>
    <x v="5"/>
    <x v="55"/>
    <n v="855.78"/>
    <n v="977.38"/>
    <s v="Medium"/>
    <n v="0.14699999999999999"/>
    <n v="38"/>
    <n v="31680.795320000001"/>
    <n v="32519.64"/>
    <n v="-838.84467999999833"/>
    <n v="-2.6478018355506307E-2"/>
    <n v="202504"/>
    <n v="202301"/>
    <s v="Apr-2023"/>
    <x v="18"/>
  </r>
  <r>
    <x v="56"/>
    <d v="2025-02-09T00:00:00"/>
    <x v="26"/>
    <x v="0"/>
    <d v="2025-03-01T00:00:00"/>
    <n v="20"/>
    <x v="2"/>
    <x v="5"/>
    <s v="São Paulo"/>
    <s v="Americas &gt; Brazil &gt; São Paulo"/>
    <s v="Corporate"/>
    <x v="3"/>
    <x v="5"/>
    <x v="4"/>
    <x v="56"/>
    <n v="1154.6400000000001"/>
    <n v="2794.13"/>
    <s v="High"/>
    <n v="3.5000000000000003E-2"/>
    <n v="11"/>
    <n v="29659.68995"/>
    <n v="12701.04"/>
    <n v="16958.649949999999"/>
    <n v="0.57177435025749479"/>
    <n v="202502"/>
    <n v="202301"/>
    <s v="Feb-2023"/>
    <x v="26"/>
  </r>
  <r>
    <x v="57"/>
    <d v="2024-12-17T00:00:00"/>
    <x v="6"/>
    <x v="1"/>
    <d v="2024-12-18T00:00:00"/>
    <n v="1"/>
    <x v="3"/>
    <x v="6"/>
    <s v="Munich"/>
    <s v="Europe &gt; Germany &gt; Munich"/>
    <s v="Education"/>
    <x v="0"/>
    <x v="4"/>
    <x v="6"/>
    <x v="57"/>
    <n v="346.82"/>
    <n v="701.95"/>
    <s v="Low"/>
    <n v="0.14699999999999999"/>
    <n v="8"/>
    <n v="4790.1068000000005"/>
    <n v="2774.56"/>
    <n v="2015.5468000000005"/>
    <n v="0.42077283120284509"/>
    <n v="202412"/>
    <n v="202301"/>
    <s v="Dec-2023"/>
    <x v="6"/>
  </r>
  <r>
    <x v="58"/>
    <d v="2025-06-09T00:00:00"/>
    <x v="16"/>
    <x v="2"/>
    <d v="2025-06-18T00:00:00"/>
    <n v="9"/>
    <x v="3"/>
    <x v="7"/>
    <s v="Marseille"/>
    <s v="Europe &gt; France &gt; Marseille"/>
    <s v="Small Business"/>
    <x v="2"/>
    <x v="10"/>
    <x v="6"/>
    <x v="58"/>
    <n v="1225.5"/>
    <n v="5.27"/>
    <s v="High"/>
    <n v="7.4999999999999997E-2"/>
    <n v="56"/>
    <n v="272.98599999999999"/>
    <n v="68628"/>
    <n v="-68355.013999999996"/>
    <n v="-250.39750756449047"/>
    <n v="202506"/>
    <n v="202301"/>
    <s v="Jun-2023"/>
    <x v="16"/>
  </r>
  <r>
    <x v="59"/>
    <d v="2025-05-02T00:00:00"/>
    <x v="8"/>
    <x v="2"/>
    <d v="2025-05-13T00:00:00"/>
    <n v="11"/>
    <x v="0"/>
    <x v="0"/>
    <s v="Nakuru"/>
    <s v="Africa &gt; Kenya &gt; Nakuru"/>
    <s v="Small Business"/>
    <x v="1"/>
    <x v="8"/>
    <x v="6"/>
    <x v="59"/>
    <n v="1057.5999999999999"/>
    <n v="1437.06"/>
    <s v="High"/>
    <n v="0.20499999999999999"/>
    <n v="4"/>
    <n v="4569.8508000000002"/>
    <n v="4230.3999999999996"/>
    <n v="339.45080000000053"/>
    <n v="7.4280499485891424E-2"/>
    <n v="202505"/>
    <n v="202301"/>
    <s v="May-2023"/>
    <x v="8"/>
  </r>
  <r>
    <x v="60"/>
    <d v="2024-03-10T00:00:00"/>
    <x v="0"/>
    <x v="0"/>
    <d v="2024-04-09T00:00:00"/>
    <n v="30"/>
    <x v="3"/>
    <x v="7"/>
    <s v="Lyon"/>
    <s v="Europe &gt; France &gt; Lyon"/>
    <s v="Corporate"/>
    <x v="4"/>
    <x v="2"/>
    <x v="0"/>
    <x v="60"/>
    <n v="1176.56"/>
    <n v="1911.89"/>
    <s v="High"/>
    <n v="0.11899999999999999"/>
    <n v="20"/>
    <n v="33687.501800000005"/>
    <n v="23531.199999999997"/>
    <n v="10156.301800000008"/>
    <n v="0.30148575160892477"/>
    <n v="202403"/>
    <n v="202301"/>
    <s v="Mar-2023"/>
    <x v="0"/>
  </r>
  <r>
    <x v="61"/>
    <d v="2025-09-10T00:00:00"/>
    <x v="11"/>
    <x v="3"/>
    <d v="2025-09-12T00:00:00"/>
    <n v="2"/>
    <x v="1"/>
    <x v="2"/>
    <s v="Tokyo"/>
    <s v="Asia &gt; Japan &gt; Tokyo"/>
    <s v="Consumer"/>
    <x v="1"/>
    <x v="7"/>
    <x v="0"/>
    <x v="61"/>
    <n v="1470.15"/>
    <n v="2593.7800000000002"/>
    <s v="High"/>
    <n v="0.11"/>
    <n v="12"/>
    <n v="27701.570400000001"/>
    <n v="17641.800000000003"/>
    <n v="10059.770399999998"/>
    <n v="0.36314801849645306"/>
    <n v="202509"/>
    <n v="202303"/>
    <s v="Sept-2023"/>
    <x v="13"/>
  </r>
  <r>
    <x v="62"/>
    <d v="2025-04-27T00:00:00"/>
    <x v="19"/>
    <x v="2"/>
    <d v="2025-05-25T00:00:00"/>
    <n v="28"/>
    <x v="3"/>
    <x v="7"/>
    <s v="Paris"/>
    <s v="Europe &gt; France &gt; Paris"/>
    <s v="Small Business"/>
    <x v="2"/>
    <x v="2"/>
    <x v="3"/>
    <x v="62"/>
    <n v="603.45000000000005"/>
    <n v="1244.08"/>
    <s v="Medium"/>
    <n v="0.2"/>
    <n v="11"/>
    <n v="10947.904"/>
    <n v="6637.9500000000007"/>
    <n v="4309.9539999999997"/>
    <n v="0.39367846119220623"/>
    <n v="202504"/>
    <n v="202301"/>
    <s v="Apr-2023"/>
    <x v="18"/>
  </r>
  <r>
    <x v="63"/>
    <d v="2024-11-02T00:00:00"/>
    <x v="18"/>
    <x v="1"/>
    <d v="2024-11-18T00:00:00"/>
    <n v="16"/>
    <x v="1"/>
    <x v="4"/>
    <s v="Mumbai"/>
    <s v="Asia &gt; India &gt; Mumbai"/>
    <s v="Small Business"/>
    <x v="3"/>
    <x v="7"/>
    <x v="5"/>
    <x v="63"/>
    <n v="1233.58"/>
    <n v="1912.51"/>
    <s v="High"/>
    <n v="0.255"/>
    <n v="51"/>
    <n v="72665.817450000002"/>
    <n v="62912.579999999994"/>
    <n v="9753.2374500000078"/>
    <n v="0.134220432553601"/>
    <n v="202411"/>
    <n v="202301"/>
    <s v="Nov-2023"/>
    <x v="10"/>
  </r>
  <r>
    <x v="64"/>
    <d v="2023-02-15T00:00:00"/>
    <x v="2"/>
    <x v="0"/>
    <d v="2023-02-26T00:00:00"/>
    <n v="11"/>
    <x v="0"/>
    <x v="11"/>
    <s v="Johannesburg"/>
    <s v="Africa &gt; South Africa &gt; Johannesburg"/>
    <s v="Non-Profit"/>
    <x v="0"/>
    <x v="11"/>
    <x v="4"/>
    <x v="64"/>
    <n v="498.5"/>
    <n v="755.87"/>
    <s v="Low"/>
    <n v="0.13"/>
    <n v="40"/>
    <n v="26304.275999999998"/>
    <n v="19940"/>
    <n v="6364.275999999998"/>
    <n v="0.24194834330357537"/>
    <n v="202302"/>
    <n v="202301"/>
    <s v="Feb-2023"/>
    <x v="2"/>
  </r>
  <r>
    <x v="65"/>
    <d v="2023-12-03T00:00:00"/>
    <x v="4"/>
    <x v="1"/>
    <d v="2023-12-26T00:00:00"/>
    <n v="23"/>
    <x v="2"/>
    <x v="5"/>
    <s v="Rio de Janeiro"/>
    <s v="Americas &gt; Brazil &gt; Rio de Janeiro"/>
    <s v="Education"/>
    <x v="0"/>
    <x v="7"/>
    <x v="3"/>
    <x v="65"/>
    <n v="1303.1099999999999"/>
    <n v="1145.67"/>
    <s v="High"/>
    <n v="0.184"/>
    <n v="13"/>
    <n v="12153.267360000002"/>
    <n v="16940.43"/>
    <n v="-4787.1626399999986"/>
    <n v="-0.39389922875851208"/>
    <n v="202312"/>
    <n v="202301"/>
    <s v="Dec-2023"/>
    <x v="27"/>
  </r>
  <r>
    <x v="66"/>
    <d v="2023-03-19T00:00:00"/>
    <x v="22"/>
    <x v="0"/>
    <d v="2023-04-09T00:00:00"/>
    <n v="21"/>
    <x v="3"/>
    <x v="8"/>
    <s v="Manchester"/>
    <s v="Europe &gt; United Kingdom &gt; Manchester"/>
    <s v="Consumer"/>
    <x v="0"/>
    <x v="4"/>
    <x v="6"/>
    <x v="66"/>
    <n v="1082.17"/>
    <n v="1234.0999999999999"/>
    <s v="High"/>
    <n v="0.189"/>
    <n v="16"/>
    <n v="16013.681599999998"/>
    <n v="17314.72"/>
    <n v="-1301.0384000000031"/>
    <n v="-8.124542703534228E-2"/>
    <n v="202303"/>
    <n v="202301"/>
    <s v="Mar-2023"/>
    <x v="21"/>
  </r>
  <r>
    <x v="67"/>
    <d v="2024-05-22T00:00:00"/>
    <x v="7"/>
    <x v="2"/>
    <d v="2024-06-06T00:00:00"/>
    <n v="15"/>
    <x v="1"/>
    <x v="2"/>
    <s v="Nagoya"/>
    <s v="Asia &gt; Japan &gt; Nagoya"/>
    <s v="Corporate"/>
    <x v="3"/>
    <x v="0"/>
    <x v="5"/>
    <x v="67"/>
    <n v="673.88"/>
    <n v="1228.01"/>
    <s v="Medium"/>
    <n v="0.105"/>
    <n v="13"/>
    <n v="14287.896349999999"/>
    <n v="8760.44"/>
    <n v="5527.4563499999986"/>
    <n v="0.38686285332689996"/>
    <n v="202405"/>
    <n v="202303"/>
    <s v="May-2023"/>
    <x v="0"/>
  </r>
  <r>
    <x v="68"/>
    <d v="2023-08-19T00:00:00"/>
    <x v="25"/>
    <x v="3"/>
    <d v="2023-09-07T00:00:00"/>
    <n v="19"/>
    <x v="0"/>
    <x v="11"/>
    <s v="Johannesburg"/>
    <s v="Africa &gt; South Africa &gt; Johannesburg"/>
    <s v="Enterprise"/>
    <x v="0"/>
    <x v="14"/>
    <x v="5"/>
    <x v="68"/>
    <n v="494.61"/>
    <n v="605.23"/>
    <s v="Low"/>
    <n v="0.20399999999999999"/>
    <n v="18"/>
    <n v="8671.7354400000004"/>
    <n v="8902.98"/>
    <n v="-231.24455999999918"/>
    <n v="-2.6666468505639647E-2"/>
    <n v="202308"/>
    <n v="202301"/>
    <s v="Aug-2023"/>
    <x v="25"/>
  </r>
  <r>
    <x v="69"/>
    <d v="2023-04-21T00:00:00"/>
    <x v="12"/>
    <x v="2"/>
    <d v="2023-05-10T00:00:00"/>
    <n v="19"/>
    <x v="1"/>
    <x v="9"/>
    <s v="Shanghai"/>
    <s v="Asia &gt; China &gt; Shanghai"/>
    <s v="Corporate"/>
    <x v="0"/>
    <x v="8"/>
    <x v="0"/>
    <x v="69"/>
    <n v="882.33"/>
    <n v="1880.15"/>
    <s v="Medium"/>
    <n v="0.05"/>
    <n v="5"/>
    <n v="8930.7124999999996"/>
    <n v="4411.6500000000005"/>
    <n v="4519.0624999999991"/>
    <n v="0.50601365792482955"/>
    <n v="202304"/>
    <n v="202301"/>
    <s v="Apr-2023"/>
    <x v="12"/>
  </r>
  <r>
    <x v="70"/>
    <d v="2024-03-18T00:00:00"/>
    <x v="0"/>
    <x v="0"/>
    <d v="2024-03-21T00:00:00"/>
    <n v="3"/>
    <x v="3"/>
    <x v="6"/>
    <s v="Munich"/>
    <s v="Europe &gt; Germany &gt; Munich"/>
    <s v="Small Business"/>
    <x v="1"/>
    <x v="12"/>
    <x v="6"/>
    <x v="70"/>
    <n v="910.63"/>
    <n v="1269.4000000000001"/>
    <s v="Medium"/>
    <n v="6.8000000000000005E-2"/>
    <n v="9"/>
    <n v="10647.727199999999"/>
    <n v="8195.67"/>
    <n v="2452.0571999999993"/>
    <n v="0.23028925834989455"/>
    <n v="202403"/>
    <n v="202301"/>
    <s v="Mar-2023"/>
    <x v="0"/>
  </r>
  <r>
    <x v="71"/>
    <d v="2025-04-09T00:00:00"/>
    <x v="19"/>
    <x v="2"/>
    <d v="2025-05-06T00:00:00"/>
    <n v="27"/>
    <x v="2"/>
    <x v="5"/>
    <s v="Brasília"/>
    <s v="Americas &gt; Brazil &gt; Brasília"/>
    <s v="Enterprise"/>
    <x v="2"/>
    <x v="9"/>
    <x v="4"/>
    <x v="71"/>
    <n v="264.19"/>
    <n v="620.92999999999995"/>
    <s v="Low"/>
    <n v="0.14199999999999999"/>
    <n v="12"/>
    <n v="6393.0952799999995"/>
    <n v="3170.2799999999997"/>
    <n v="3222.8152799999998"/>
    <n v="0.50410875152794532"/>
    <n v="202504"/>
    <n v="202301"/>
    <s v="Apr-2023"/>
    <x v="18"/>
  </r>
  <r>
    <x v="72"/>
    <d v="2024-04-12T00:00:00"/>
    <x v="20"/>
    <x v="2"/>
    <d v="2024-05-07T00:00:00"/>
    <n v="25"/>
    <x v="0"/>
    <x v="11"/>
    <s v="Johannesburg"/>
    <s v="Africa &gt; South Africa &gt; Johannesburg"/>
    <s v="Education"/>
    <x v="3"/>
    <x v="8"/>
    <x v="4"/>
    <x v="72"/>
    <n v="1376.51"/>
    <n v="1455.91"/>
    <s v="High"/>
    <n v="0.185"/>
    <n v="17"/>
    <n v="20171.63305"/>
    <n v="23400.67"/>
    <n v="-3229.0369499999979"/>
    <n v="-0.1600781127634085"/>
    <n v="202404"/>
    <n v="202301"/>
    <s v="Apr-2023"/>
    <x v="19"/>
  </r>
  <r>
    <x v="73"/>
    <d v="2024-12-15T00:00:00"/>
    <x v="6"/>
    <x v="1"/>
    <d v="2024-12-20T00:00:00"/>
    <n v="5"/>
    <x v="1"/>
    <x v="9"/>
    <s v="Shenzhen"/>
    <s v="Asia &gt; China &gt; Shenzhen"/>
    <s v="Small Business"/>
    <x v="4"/>
    <x v="1"/>
    <x v="2"/>
    <x v="73"/>
    <n v="717.55"/>
    <n v="546.42999999999995"/>
    <s v="Medium"/>
    <n v="4.7E-2"/>
    <n v="18"/>
    <n v="9373.460219999999"/>
    <n v="12915.9"/>
    <n v="-3542.4397800000006"/>
    <n v="-0.37792231437026369"/>
    <n v="202412"/>
    <n v="202301"/>
    <s v="Dec-2023"/>
    <x v="6"/>
  </r>
  <r>
    <x v="74"/>
    <d v="2023-05-20T00:00:00"/>
    <x v="15"/>
    <x v="2"/>
    <d v="2023-05-22T00:00:00"/>
    <n v="2"/>
    <x v="0"/>
    <x v="11"/>
    <s v="Durban"/>
    <s v="Africa &gt; South Africa &gt; Durban"/>
    <s v="Corporate"/>
    <x v="3"/>
    <x v="8"/>
    <x v="0"/>
    <x v="74"/>
    <n v="917.88"/>
    <n v="1347.92"/>
    <s v="Medium"/>
    <n v="0.34300000000000003"/>
    <n v="5"/>
    <n v="4427.9172000000008"/>
    <n v="4589.3999999999996"/>
    <n v="-161.48279999999886"/>
    <n v="-3.6469245630880096E-2"/>
    <n v="202305"/>
    <n v="202301"/>
    <s v="May-2023"/>
    <x v="15"/>
  </r>
  <r>
    <x v="75"/>
    <d v="2023-09-18T00:00:00"/>
    <x v="27"/>
    <x v="3"/>
    <d v="2023-10-08T00:00:00"/>
    <n v="20"/>
    <x v="1"/>
    <x v="4"/>
    <s v="Delhi"/>
    <s v="Asia &gt; India &gt; Delhi"/>
    <s v="Small Business"/>
    <x v="4"/>
    <x v="5"/>
    <x v="0"/>
    <x v="75"/>
    <n v="825.64"/>
    <n v="1108.43"/>
    <s v="Medium"/>
    <n v="0.114"/>
    <n v="7"/>
    <n v="6874.4828600000001"/>
    <n v="5779.48"/>
    <n v="1095.0028600000005"/>
    <n v="0.15928512475773349"/>
    <n v="202309"/>
    <n v="202301"/>
    <s v="Sept-2023"/>
    <x v="28"/>
  </r>
  <r>
    <x v="76"/>
    <d v="2024-08-28T00:00:00"/>
    <x v="21"/>
    <x v="3"/>
    <d v="2024-09-25T00:00:00"/>
    <n v="28"/>
    <x v="2"/>
    <x v="5"/>
    <s v="Rio de Janeiro"/>
    <s v="Americas &gt; Brazil &gt; Rio de Janeiro"/>
    <s v="Non-Profit"/>
    <x v="1"/>
    <x v="15"/>
    <x v="6"/>
    <x v="76"/>
    <n v="1394.65"/>
    <n v="3144.1"/>
    <s v="High"/>
    <n v="0.13400000000000001"/>
    <n v="13"/>
    <n v="35396.277799999996"/>
    <n v="18130.45"/>
    <n v="17265.827799999995"/>
    <n v="0.4877865378263021"/>
    <n v="202408"/>
    <n v="202301"/>
    <s v="Aug-2023"/>
    <x v="20"/>
  </r>
  <r>
    <x v="77"/>
    <d v="2024-06-30T00:00:00"/>
    <x v="17"/>
    <x v="2"/>
    <d v="2024-07-02T00:00:00"/>
    <n v="2"/>
    <x v="2"/>
    <x v="5"/>
    <s v="Rio de Janeiro"/>
    <s v="Americas &gt; Brazil &gt; Rio de Janeiro"/>
    <s v="Small Business"/>
    <x v="4"/>
    <x v="4"/>
    <x v="6"/>
    <x v="77"/>
    <n v="1112.98"/>
    <n v="2095.73"/>
    <s v="High"/>
    <n v="7.1999999999999995E-2"/>
    <n v="17"/>
    <n v="33062.236480000007"/>
    <n v="18920.66"/>
    <n v="14141.576480000007"/>
    <n v="0.42772594916724777"/>
    <n v="202406"/>
    <n v="202301"/>
    <s v="Jun-2023"/>
    <x v="17"/>
  </r>
  <r>
    <x v="78"/>
    <d v="2023-06-14T00:00:00"/>
    <x v="23"/>
    <x v="2"/>
    <d v="2023-06-16T00:00:00"/>
    <n v="2"/>
    <x v="3"/>
    <x v="8"/>
    <s v="Manchester"/>
    <s v="Europe &gt; United Kingdom &gt; Manchester"/>
    <s v="Non-Profit"/>
    <x v="4"/>
    <x v="11"/>
    <x v="0"/>
    <x v="78"/>
    <n v="357.36"/>
    <n v="703.62"/>
    <s v="Low"/>
    <n v="0.25700000000000001"/>
    <n v="20"/>
    <n v="10455.7932"/>
    <n v="7147.2000000000007"/>
    <n v="3308.5931999999993"/>
    <n v="0.31643636563125593"/>
    <n v="202306"/>
    <n v="202301"/>
    <s v="Jun-2023"/>
    <x v="22"/>
  </r>
  <r>
    <x v="79"/>
    <d v="2024-11-21T00:00:00"/>
    <x v="18"/>
    <x v="1"/>
    <d v="2024-12-21T00:00:00"/>
    <n v="30"/>
    <x v="3"/>
    <x v="7"/>
    <s v="Marseille"/>
    <s v="Europe &gt; France &gt; Marseille"/>
    <s v="Small Business"/>
    <x v="4"/>
    <x v="2"/>
    <x v="5"/>
    <x v="79"/>
    <n v="1122.68"/>
    <n v="1997.19"/>
    <s v="High"/>
    <n v="0.186"/>
    <n v="3"/>
    <n v="4877.1379800000004"/>
    <n v="3368.04"/>
    <n v="1509.0979800000005"/>
    <n v="0.30942285951073306"/>
    <n v="202411"/>
    <n v="202301"/>
    <s v="Nov-2023"/>
    <x v="10"/>
  </r>
  <r>
    <x v="80"/>
    <d v="2023-02-08T00:00:00"/>
    <x v="2"/>
    <x v="0"/>
    <d v="2023-02-11T00:00:00"/>
    <n v="3"/>
    <x v="0"/>
    <x v="11"/>
    <s v="Cape Town"/>
    <s v="Africa &gt; South Africa &gt; Cape Town"/>
    <s v="Corporate"/>
    <x v="4"/>
    <x v="12"/>
    <x v="2"/>
    <x v="80"/>
    <n v="1410.05"/>
    <n v="2763.95"/>
    <s v="High"/>
    <n v="0.161"/>
    <n v="26"/>
    <n v="60292.805299999993"/>
    <n v="36661.299999999996"/>
    <n v="23631.505299999997"/>
    <n v="0.39194569206750779"/>
    <n v="202302"/>
    <n v="202301"/>
    <s v="Feb-2023"/>
    <x v="2"/>
  </r>
  <r>
    <x v="81"/>
    <d v="2023-08-19T00:00:00"/>
    <x v="25"/>
    <x v="3"/>
    <d v="2023-09-12T00:00:00"/>
    <n v="24"/>
    <x v="2"/>
    <x v="3"/>
    <s v="Vancouver"/>
    <s v="Americas &gt; Canada &gt; Vancouver"/>
    <s v="Enterprise"/>
    <x v="0"/>
    <x v="2"/>
    <x v="1"/>
    <x v="81"/>
    <n v="1183.95"/>
    <n v="1503.53"/>
    <s v="High"/>
    <n v="0.24099999999999999"/>
    <n v="16"/>
    <n v="18258.868320000001"/>
    <n v="18943.2"/>
    <n v="-684.33167999999932"/>
    <n v="-3.7479413729623705E-2"/>
    <n v="202308"/>
    <n v="202301"/>
    <s v="Aug-2023"/>
    <x v="25"/>
  </r>
  <r>
    <x v="82"/>
    <d v="2025-05-14T00:00:00"/>
    <x v="8"/>
    <x v="2"/>
    <d v="2025-05-24T00:00:00"/>
    <n v="10"/>
    <x v="3"/>
    <x v="7"/>
    <s v="Paris"/>
    <s v="Europe &gt; France &gt; Paris"/>
    <s v="Small Business"/>
    <x v="2"/>
    <x v="11"/>
    <x v="0"/>
    <x v="82"/>
    <n v="170.39"/>
    <n v="388.04"/>
    <s v="Low"/>
    <n v="8.4000000000000005E-2"/>
    <n v="15"/>
    <n v="5331.6696000000002"/>
    <n v="2555.85"/>
    <n v="2775.8196000000003"/>
    <n v="0.52062858508711796"/>
    <n v="202505"/>
    <n v="202301"/>
    <s v="May-2023"/>
    <x v="8"/>
  </r>
  <r>
    <x v="83"/>
    <d v="2025-04-23T00:00:00"/>
    <x v="19"/>
    <x v="2"/>
    <d v="2025-04-24T00:00:00"/>
    <n v="1"/>
    <x v="2"/>
    <x v="10"/>
    <s v="San Francisco"/>
    <s v="Americas &gt; USA &gt; San Francisco"/>
    <s v="Non-Profit"/>
    <x v="3"/>
    <x v="14"/>
    <x v="5"/>
    <x v="83"/>
    <n v="23.24"/>
    <n v="44.57"/>
    <s v="Low"/>
    <n v="0.215"/>
    <n v="15"/>
    <n v="524.81174999999996"/>
    <n v="348.59999999999997"/>
    <n v="176.21174999999999"/>
    <n v="0.33576182316802167"/>
    <n v="202504"/>
    <n v="202301"/>
    <s v="Apr-2023"/>
    <x v="18"/>
  </r>
  <r>
    <x v="84"/>
    <d v="2025-03-25T00:00:00"/>
    <x v="3"/>
    <x v="0"/>
    <d v="2025-04-17T00:00:00"/>
    <n v="23"/>
    <x v="3"/>
    <x v="8"/>
    <s v="London"/>
    <s v="Europe &gt; United Kingdom &gt; London"/>
    <s v="Consumer"/>
    <x v="0"/>
    <x v="10"/>
    <x v="2"/>
    <x v="84"/>
    <n v="1421.19"/>
    <n v="1808.26"/>
    <s v="High"/>
    <n v="0.104"/>
    <n v="13"/>
    <n v="21062.61248"/>
    <n v="18475.47"/>
    <n v="2587.1424799999986"/>
    <n v="0.12283103449093123"/>
    <n v="202503"/>
    <n v="202301"/>
    <s v="Mar-2023"/>
    <x v="3"/>
  </r>
  <r>
    <x v="85"/>
    <d v="2023-12-22T00:00:00"/>
    <x v="4"/>
    <x v="1"/>
    <d v="2023-12-23T00:00:00"/>
    <n v="1"/>
    <x v="0"/>
    <x v="11"/>
    <s v="Cape Town"/>
    <s v="Africa &gt; South Africa &gt; Cape Town"/>
    <s v="Non-Profit"/>
    <x v="2"/>
    <x v="14"/>
    <x v="0"/>
    <x v="85"/>
    <n v="1186.18"/>
    <n v="1285.0899999999999"/>
    <s v="High"/>
    <n v="7.0000000000000007E-2"/>
    <n v="11"/>
    <n v="13146.470699999998"/>
    <n v="13047.980000000001"/>
    <n v="98.49069999999665"/>
    <n v="7.4917977796121861E-3"/>
    <n v="202312"/>
    <n v="202301"/>
    <s v="Dec-2023"/>
    <x v="27"/>
  </r>
  <r>
    <x v="86"/>
    <d v="2024-04-06T00:00:00"/>
    <x v="20"/>
    <x v="2"/>
    <d v="2024-04-25T00:00:00"/>
    <n v="19"/>
    <x v="1"/>
    <x v="9"/>
    <s v="Shanghai"/>
    <s v="Asia &gt; China &gt; Shanghai"/>
    <s v="Corporate"/>
    <x v="0"/>
    <x v="11"/>
    <x v="0"/>
    <x v="86"/>
    <n v="1366.48"/>
    <n v="1678.14"/>
    <s v="High"/>
    <n v="0.154"/>
    <n v="10"/>
    <n v="14197.064400000001"/>
    <n v="13664.8"/>
    <n v="532.26440000000184"/>
    <n v="3.7491159087790132E-2"/>
    <n v="202404"/>
    <n v="202301"/>
    <s v="Apr-2023"/>
    <x v="19"/>
  </r>
  <r>
    <x v="87"/>
    <d v="2025-08-07T00:00:00"/>
    <x v="28"/>
    <x v="3"/>
    <d v="2025-08-19T00:00:00"/>
    <n v="12"/>
    <x v="0"/>
    <x v="0"/>
    <s v="Nakuru"/>
    <s v="Africa &gt; Kenya &gt; Nakuru"/>
    <s v="Corporate"/>
    <x v="5"/>
    <x v="12"/>
    <x v="0"/>
    <x v="87"/>
    <n v="601.51"/>
    <n v="679.35"/>
    <s v="Medium"/>
    <n v="0.188"/>
    <n v="3"/>
    <n v="1654.8966000000003"/>
    <n v="1804.53"/>
    <n v="-149.63339999999971"/>
    <n v="-9.0418579626062243E-2"/>
    <n v="202508"/>
    <n v="202301"/>
    <s v="Aug-2023"/>
    <x v="29"/>
  </r>
  <r>
    <x v="88"/>
    <d v="2024-01-21T00:00:00"/>
    <x v="9"/>
    <x v="0"/>
    <d v="2024-01-25T00:00:00"/>
    <n v="4"/>
    <x v="1"/>
    <x v="4"/>
    <s v="Delhi"/>
    <s v="Asia &gt; India &gt; Delhi"/>
    <s v="Consumer"/>
    <x v="4"/>
    <x v="0"/>
    <x v="5"/>
    <x v="88"/>
    <n v="523.70000000000005"/>
    <n v="1109.92"/>
    <s v="Medium"/>
    <n v="0.03"/>
    <n v="11"/>
    <n v="11842.8464"/>
    <n v="5760.7000000000007"/>
    <n v="6082.1463999999996"/>
    <n v="0.51357133197302973"/>
    <n v="202401"/>
    <n v="202301"/>
    <s v="Jan-2023"/>
    <x v="9"/>
  </r>
  <r>
    <x v="89"/>
    <d v="2023-06-29T00:00:00"/>
    <x v="23"/>
    <x v="2"/>
    <d v="2023-07-02T00:00:00"/>
    <n v="3"/>
    <x v="1"/>
    <x v="2"/>
    <s v="Nagoya"/>
    <s v="Asia &gt; Japan &gt; Nagoya"/>
    <s v="Education"/>
    <x v="2"/>
    <x v="9"/>
    <x v="5"/>
    <x v="89"/>
    <n v="55.65"/>
    <n v="83.57"/>
    <s v="Low"/>
    <n v="6.6000000000000003E-2"/>
    <n v="8"/>
    <n v="624.43503999999996"/>
    <n v="445.2"/>
    <n v="179.23503999999997"/>
    <n v="0.2870355257449998"/>
    <n v="202306"/>
    <n v="202303"/>
    <s v="Jun-2023"/>
    <x v="12"/>
  </r>
  <r>
    <x v="90"/>
    <d v="2025-04-28T00:00:00"/>
    <x v="19"/>
    <x v="2"/>
    <d v="2025-05-15T00:00:00"/>
    <n v="17"/>
    <x v="1"/>
    <x v="2"/>
    <s v="Nagoya"/>
    <s v="Asia &gt; Japan &gt; Nagoya"/>
    <s v="Education"/>
    <x v="4"/>
    <x v="13"/>
    <x v="2"/>
    <x v="90"/>
    <n v="691.19"/>
    <n v="1284.3"/>
    <s v="Medium"/>
    <n v="7.3999999999999996E-2"/>
    <n v="7"/>
    <n v="8324.8326000000015"/>
    <n v="4838.33"/>
    <n v="3486.5026000000016"/>
    <n v="0.41880753253825198"/>
    <n v="202504"/>
    <n v="202303"/>
    <s v="Apr-2023"/>
    <x v="26"/>
  </r>
  <r>
    <x v="91"/>
    <d v="2025-06-09T00:00:00"/>
    <x v="16"/>
    <x v="2"/>
    <d v="2025-06-25T00:00:00"/>
    <n v="16"/>
    <x v="1"/>
    <x v="4"/>
    <s v="Hyderabad"/>
    <s v="Asia &gt; India &gt; Hyderabad"/>
    <s v="Enterprise"/>
    <x v="3"/>
    <x v="12"/>
    <x v="3"/>
    <x v="91"/>
    <n v="527.33000000000004"/>
    <n v="911.72"/>
    <s v="Medium"/>
    <n v="0.14399999999999999"/>
    <n v="25"/>
    <n v="19510.808000000001"/>
    <n v="13183.250000000002"/>
    <n v="6327.5579999999991"/>
    <n v="0.32431040272652978"/>
    <n v="202506"/>
    <n v="202301"/>
    <s v="Jun-2023"/>
    <x v="16"/>
  </r>
  <r>
    <x v="92"/>
    <d v="2023-06-24T00:00:00"/>
    <x v="23"/>
    <x v="2"/>
    <d v="2023-06-25T00:00:00"/>
    <n v="1"/>
    <x v="2"/>
    <x v="5"/>
    <s v="Rio de Janeiro"/>
    <s v="Americas &gt; Brazil &gt; Rio de Janeiro"/>
    <s v="Non-Profit"/>
    <x v="0"/>
    <x v="6"/>
    <x v="1"/>
    <x v="92"/>
    <n v="804.01"/>
    <n v="1405.07"/>
    <s v="Medium"/>
    <n v="9.6000000000000002E-2"/>
    <n v="8"/>
    <n v="10161.46624"/>
    <n v="6432.08"/>
    <n v="3729.3862399999998"/>
    <n v="0.36701260939287439"/>
    <n v="202306"/>
    <n v="202301"/>
    <s v="Jun-2023"/>
    <x v="22"/>
  </r>
  <r>
    <x v="93"/>
    <d v="2024-10-04T00:00:00"/>
    <x v="1"/>
    <x v="1"/>
    <d v="2024-11-02T00:00:00"/>
    <n v="29"/>
    <x v="0"/>
    <x v="1"/>
    <s v="Abuja"/>
    <s v="Africa &gt; Nigeria &gt; Abuja"/>
    <s v="Corporate"/>
    <x v="3"/>
    <x v="9"/>
    <x v="6"/>
    <x v="93"/>
    <n v="412.09"/>
    <n v="968.94"/>
    <s v="Low"/>
    <n v="9.9000000000000005E-2"/>
    <n v="23"/>
    <n v="20079.343620000003"/>
    <n v="9478.07"/>
    <n v="10601.273620000004"/>
    <n v="0.52796913189137418"/>
    <n v="202410"/>
    <n v="202301"/>
    <s v="Oct-2023"/>
    <x v="1"/>
  </r>
  <r>
    <x v="94"/>
    <d v="2025-09-10T00:00:00"/>
    <x v="11"/>
    <x v="3"/>
    <d v="2025-09-30T00:00:00"/>
    <n v="20"/>
    <x v="0"/>
    <x v="0"/>
    <s v="Mombasa"/>
    <s v="Africa &gt; Kenya &gt; Mombasa"/>
    <s v="Corporate"/>
    <x v="4"/>
    <x v="4"/>
    <x v="3"/>
    <x v="94"/>
    <n v="1009.48"/>
    <n v="1088.81"/>
    <s v="High"/>
    <n v="0.16"/>
    <n v="6"/>
    <n v="5487.6023999999998"/>
    <n v="6056.88"/>
    <n v="-569.27760000000035"/>
    <n v="-0.10373885688219693"/>
    <n v="202509"/>
    <n v="202301"/>
    <s v="Sept-2023"/>
    <x v="11"/>
  </r>
  <r>
    <x v="95"/>
    <d v="2023-04-06T00:00:00"/>
    <x v="12"/>
    <x v="2"/>
    <d v="2023-04-27T00:00:00"/>
    <n v="21"/>
    <x v="3"/>
    <x v="8"/>
    <s v="Manchester"/>
    <s v="Europe &gt; United Kingdom &gt; Manchester"/>
    <s v="Enterprise"/>
    <x v="3"/>
    <x v="2"/>
    <x v="1"/>
    <x v="95"/>
    <n v="1084.79"/>
    <n v="2484.9899999999998"/>
    <s v="High"/>
    <n v="3.4000000000000002E-2"/>
    <n v="18"/>
    <n v="43209.006119999991"/>
    <n v="19526.22"/>
    <n v="23682.78611999999"/>
    <n v="0.54809837685755114"/>
    <n v="202304"/>
    <n v="202301"/>
    <s v="Apr-2023"/>
    <x v="12"/>
  </r>
  <r>
    <x v="96"/>
    <d v="2025-08-01T00:00:00"/>
    <x v="28"/>
    <x v="3"/>
    <d v="2025-08-16T00:00:00"/>
    <n v="15"/>
    <x v="1"/>
    <x v="4"/>
    <s v="Not Provided"/>
    <s v="Asia &gt; India &gt; Not Provided"/>
    <s v="Enterprise"/>
    <x v="4"/>
    <x v="7"/>
    <x v="5"/>
    <x v="96"/>
    <n v="24.44"/>
    <n v="28.69"/>
    <s v="Low"/>
    <n v="0.14599999999999999"/>
    <n v="6"/>
    <n v="147.00756000000001"/>
    <n v="146.64000000000001"/>
    <n v="0.36755999999999744"/>
    <n v="2.5002795774584476E-3"/>
    <n v="202508"/>
    <n v="202301"/>
    <s v="Aug-2023"/>
    <x v="29"/>
  </r>
  <r>
    <x v="97"/>
    <d v="2024-05-28T00:00:00"/>
    <x v="7"/>
    <x v="2"/>
    <d v="2024-05-30T00:00:00"/>
    <n v="2"/>
    <x v="0"/>
    <x v="1"/>
    <s v="Abuja"/>
    <s v="Africa &gt; Nigeria &gt; Abuja"/>
    <s v="Enterprise"/>
    <x v="1"/>
    <x v="9"/>
    <x v="6"/>
    <x v="97"/>
    <n v="1227.08"/>
    <n v="1896.62"/>
    <s v="High"/>
    <n v="0"/>
    <n v="18"/>
    <n v="34139.159999999996"/>
    <n v="22087.439999999999"/>
    <n v="12051.719999999998"/>
    <n v="0.353017473189147"/>
    <n v="202405"/>
    <n v="202301"/>
    <s v="May-2023"/>
    <x v="7"/>
  </r>
  <r>
    <x v="98"/>
    <d v="2025-07-22T00:00:00"/>
    <x v="13"/>
    <x v="3"/>
    <d v="2025-08-18T00:00:00"/>
    <n v="27"/>
    <x v="1"/>
    <x v="9"/>
    <s v="Shenzhen"/>
    <s v="Asia &gt; China &gt; Shenzhen"/>
    <s v="Non-Profit"/>
    <x v="2"/>
    <x v="12"/>
    <x v="2"/>
    <x v="98"/>
    <n v="547.32000000000005"/>
    <n v="419.17"/>
    <s v="Medium"/>
    <n v="9.1999999999999998E-2"/>
    <n v="14"/>
    <n v="5328.4890400000004"/>
    <n v="7662.4800000000005"/>
    <n v="-2333.9909600000001"/>
    <n v="-0.43802116181137907"/>
    <n v="202507"/>
    <n v="202301"/>
    <s v="Jul-2023"/>
    <x v="13"/>
  </r>
  <r>
    <x v="99"/>
    <d v="2023-02-28T00:00:00"/>
    <x v="2"/>
    <x v="0"/>
    <d v="2023-03-20T00:00:00"/>
    <n v="20"/>
    <x v="3"/>
    <x v="6"/>
    <s v="Berlin"/>
    <s v="Europe &gt; Germany &gt; Berlin"/>
    <s v="Small Business"/>
    <x v="4"/>
    <x v="10"/>
    <x v="4"/>
    <x v="99"/>
    <n v="1200.78"/>
    <n v="2001.17"/>
    <s v="High"/>
    <n v="0.29199999999999998"/>
    <n v="18"/>
    <n v="25502.910479999999"/>
    <n v="21614.04"/>
    <n v="3888.8704799999978"/>
    <n v="0.15248732034132906"/>
    <n v="202302"/>
    <n v="202301"/>
    <s v="Feb-2023"/>
    <x v="2"/>
  </r>
  <r>
    <x v="100"/>
    <d v="2025-01-27T00:00:00"/>
    <x v="10"/>
    <x v="0"/>
    <d v="2025-02-15T00:00:00"/>
    <n v="19"/>
    <x v="1"/>
    <x v="9"/>
    <s v="Shenzhen"/>
    <s v="Asia &gt; China &gt; Shenzhen"/>
    <s v="Non-Profit"/>
    <x v="4"/>
    <x v="4"/>
    <x v="3"/>
    <x v="100"/>
    <n v="1253.22"/>
    <n v="3104.71"/>
    <s v="High"/>
    <n v="0"/>
    <n v="17"/>
    <n v="52780.07"/>
    <n v="21304.74"/>
    <n v="31475.329999999998"/>
    <n v="0.59634877331538205"/>
    <n v="202501"/>
    <n v="202301"/>
    <s v="Jan-2023"/>
    <x v="24"/>
  </r>
  <r>
    <x v="101"/>
    <d v="2024-01-13T00:00:00"/>
    <x v="9"/>
    <x v="0"/>
    <d v="2024-01-22T00:00:00"/>
    <n v="9"/>
    <x v="1"/>
    <x v="4"/>
    <s v="Mumbai"/>
    <s v="Asia &gt; India &gt; Mumbai"/>
    <s v="Enterprise"/>
    <x v="2"/>
    <x v="1"/>
    <x v="0"/>
    <x v="101"/>
    <n v="313.60000000000002"/>
    <n v="334.28"/>
    <s v="Low"/>
    <n v="0.14000000000000001"/>
    <n v="22"/>
    <n v="6324.5775999999996"/>
    <n v="6899.2000000000007"/>
    <n v="-574.62240000000111"/>
    <n v="-9.0855458868905517E-2"/>
    <n v="202401"/>
    <n v="202301"/>
    <s v="Jan-2023"/>
    <x v="9"/>
  </r>
  <r>
    <x v="102"/>
    <d v="2025-03-31T00:00:00"/>
    <x v="3"/>
    <x v="0"/>
    <d v="2025-04-04T00:00:00"/>
    <n v="4"/>
    <x v="0"/>
    <x v="0"/>
    <s v="Nakuru"/>
    <s v="Africa &gt; Kenya &gt; Nakuru"/>
    <s v="Corporate"/>
    <x v="4"/>
    <x v="0"/>
    <x v="4"/>
    <x v="102"/>
    <n v="862.08"/>
    <n v="1952.83"/>
    <s v="Medium"/>
    <n v="0"/>
    <n v="7"/>
    <n v="13669.81"/>
    <n v="6034.56"/>
    <n v="7635.2499999999991"/>
    <n v="0.5585483631447693"/>
    <n v="202503"/>
    <n v="202301"/>
    <s v="Mar-2023"/>
    <x v="3"/>
  </r>
  <r>
    <x v="103"/>
    <d v="2024-12-05T00:00:00"/>
    <x v="6"/>
    <x v="1"/>
    <d v="2024-12-28T00:00:00"/>
    <n v="23"/>
    <x v="2"/>
    <x v="3"/>
    <s v="Vancouver"/>
    <s v="Americas &gt; Canada &gt; Vancouver"/>
    <s v="Corporate"/>
    <x v="4"/>
    <x v="9"/>
    <x v="6"/>
    <x v="103"/>
    <n v="107.03"/>
    <n v="242.29"/>
    <s v="Low"/>
    <n v="0.18"/>
    <n v="30"/>
    <n v="5960.3340000000007"/>
    <n v="3210.9"/>
    <n v="2749.4340000000007"/>
    <n v="0.46128857879440988"/>
    <n v="202412"/>
    <n v="202301"/>
    <s v="Dec-2023"/>
    <x v="6"/>
  </r>
  <r>
    <x v="104"/>
    <d v="2024-09-14T00:00:00"/>
    <x v="29"/>
    <x v="3"/>
    <d v="2024-10-05T00:00:00"/>
    <n v="21"/>
    <x v="1"/>
    <x v="9"/>
    <s v="Shanghai"/>
    <s v="Asia &gt; China &gt; Shanghai"/>
    <s v="Small Business"/>
    <x v="1"/>
    <x v="10"/>
    <x v="4"/>
    <x v="104"/>
    <n v="1405.56"/>
    <n v="2968.87"/>
    <s v="High"/>
    <n v="0.16900000000000001"/>
    <n v="5"/>
    <n v="12335.654849999999"/>
    <n v="7027.7999999999993"/>
    <n v="5307.8548499999997"/>
    <n v="0.4302856163327235"/>
    <n v="202409"/>
    <n v="202301"/>
    <s v="Sept-2023"/>
    <x v="30"/>
  </r>
  <r>
    <x v="105"/>
    <d v="2024-05-21T00:00:00"/>
    <x v="7"/>
    <x v="2"/>
    <d v="2024-05-27T00:00:00"/>
    <n v="6"/>
    <x v="0"/>
    <x v="11"/>
    <s v="Johannesburg"/>
    <s v="Africa &gt; South Africa &gt; Johannesburg"/>
    <s v="Non-Profit"/>
    <x v="1"/>
    <x v="12"/>
    <x v="0"/>
    <x v="105"/>
    <n v="1157.51"/>
    <n v="1394.3"/>
    <s v="High"/>
    <n v="0.27800000000000002"/>
    <n v="12"/>
    <n v="12080.215199999999"/>
    <n v="13890.119999999999"/>
    <n v="-1809.9048000000003"/>
    <n v="-0.14982388724333326"/>
    <n v="202405"/>
    <n v="202301"/>
    <s v="May-2023"/>
    <x v="7"/>
  </r>
  <r>
    <x v="106"/>
    <d v="2023-05-11T00:00:00"/>
    <x v="15"/>
    <x v="2"/>
    <d v="2023-06-07T00:00:00"/>
    <n v="27"/>
    <x v="0"/>
    <x v="0"/>
    <s v="Mombasa"/>
    <s v="Africa &gt; Kenya &gt; Mombasa"/>
    <s v="Corporate"/>
    <x v="1"/>
    <x v="1"/>
    <x v="3"/>
    <x v="106"/>
    <n v="12.85"/>
    <n v="15.41"/>
    <s v="Low"/>
    <n v="0.13700000000000001"/>
    <n v="39"/>
    <n v="518.65436999999997"/>
    <n v="501.15"/>
    <n v="17.504369999999994"/>
    <n v="3.3749585489851353E-2"/>
    <n v="202305"/>
    <n v="202301"/>
    <s v="May-2023"/>
    <x v="15"/>
  </r>
  <r>
    <x v="107"/>
    <d v="2024-08-14T00:00:00"/>
    <x v="21"/>
    <x v="3"/>
    <d v="2024-09-04T00:00:00"/>
    <n v="21"/>
    <x v="3"/>
    <x v="8"/>
    <s v="Manchester"/>
    <s v="Europe &gt; United Kingdom &gt; Manchester"/>
    <s v="Non-Profit"/>
    <x v="1"/>
    <x v="1"/>
    <x v="3"/>
    <x v="107"/>
    <n v="1138.8"/>
    <n v="2250.81"/>
    <s v="High"/>
    <n v="0.123"/>
    <n v="12"/>
    <n v="23687.524440000001"/>
    <n v="13665.599999999999"/>
    <n v="10021.924440000003"/>
    <n v="0.42308872188756258"/>
    <n v="202408"/>
    <n v="202301"/>
    <s v="Aug-2023"/>
    <x v="20"/>
  </r>
  <r>
    <x v="108"/>
    <d v="2024-10-16T00:00:00"/>
    <x v="1"/>
    <x v="1"/>
    <d v="2024-11-08T00:00:00"/>
    <n v="23"/>
    <x v="1"/>
    <x v="2"/>
    <s v="Osaka"/>
    <s v="Asia &gt; Japan &gt; Osaka"/>
    <s v="Small Business"/>
    <x v="0"/>
    <x v="1"/>
    <x v="2"/>
    <x v="108"/>
    <n v="82.14"/>
    <n v="166.04"/>
    <s v="Low"/>
    <n v="0"/>
    <n v="10"/>
    <n v="1660.3999999999999"/>
    <n v="821.4"/>
    <n v="838.99999999999989"/>
    <n v="0.50529992772825827"/>
    <n v="202410"/>
    <n v="202303"/>
    <s v="Oct-2023"/>
    <x v="20"/>
  </r>
  <r>
    <x v="109"/>
    <d v="2024-06-02T00:00:00"/>
    <x v="17"/>
    <x v="2"/>
    <d v="2024-06-08T00:00:00"/>
    <n v="6"/>
    <x v="0"/>
    <x v="0"/>
    <s v="Kisumu"/>
    <s v="Africa &gt; Kenya &gt; Kisumu"/>
    <s v="Consumer"/>
    <x v="2"/>
    <x v="8"/>
    <x v="6"/>
    <x v="109"/>
    <n v="292.94"/>
    <n v="356.55"/>
    <s v="Low"/>
    <n v="0.22900000000000001"/>
    <n v="2"/>
    <n v="549.80010000000004"/>
    <n v="585.88"/>
    <n v="-36.079899999999952"/>
    <n v="-6.5623669402751925E-2"/>
    <n v="202406"/>
    <n v="202301"/>
    <s v="Jun-2023"/>
    <x v="17"/>
  </r>
  <r>
    <x v="110"/>
    <d v="2024-06-09T00:00:00"/>
    <x v="17"/>
    <x v="2"/>
    <d v="2024-07-07T00:00:00"/>
    <n v="28"/>
    <x v="1"/>
    <x v="9"/>
    <s v="Shenzhen"/>
    <s v="Asia &gt; China &gt; Shenzhen"/>
    <s v="Corporate"/>
    <x v="1"/>
    <x v="1"/>
    <x v="0"/>
    <x v="110"/>
    <n v="550.22"/>
    <n v="1025.05"/>
    <s v="Medium"/>
    <n v="0"/>
    <n v="27"/>
    <n v="27676.35"/>
    <n v="14855.94"/>
    <n v="12820.409999999998"/>
    <n v="0.46322618408858102"/>
    <n v="202406"/>
    <n v="202301"/>
    <s v="Jun-2023"/>
    <x v="17"/>
  </r>
  <r>
    <x v="111"/>
    <d v="2024-06-10T00:00:00"/>
    <x v="17"/>
    <x v="2"/>
    <d v="2024-06-11T00:00:00"/>
    <n v="1"/>
    <x v="3"/>
    <x v="8"/>
    <s v="Birmingham"/>
    <s v="Europe &gt; United Kingdom &gt; Birmingham"/>
    <s v="Small Business"/>
    <x v="2"/>
    <x v="12"/>
    <x v="4"/>
    <x v="111"/>
    <n v="1187.1300000000001"/>
    <n v="1795.17"/>
    <s v="High"/>
    <n v="1.2E-2"/>
    <n v="17"/>
    <n v="30151.675319999998"/>
    <n v="20181.210000000003"/>
    <n v="9970.4653199999957"/>
    <n v="0.33067699271046663"/>
    <n v="202406"/>
    <n v="202301"/>
    <s v="Jun-2023"/>
    <x v="17"/>
  </r>
  <r>
    <x v="112"/>
    <d v="2024-06-29T00:00:00"/>
    <x v="17"/>
    <x v="2"/>
    <d v="2024-07-26T00:00:00"/>
    <n v="27"/>
    <x v="0"/>
    <x v="11"/>
    <s v="Durban"/>
    <s v="Africa &gt; South Africa &gt; Durban"/>
    <s v="Enterprise"/>
    <x v="3"/>
    <x v="5"/>
    <x v="2"/>
    <x v="112"/>
    <n v="5.36"/>
    <n v="4.37"/>
    <s v="Low"/>
    <n v="0.11799999999999999"/>
    <n v="9"/>
    <n v="34.689059999999998"/>
    <n v="48.24"/>
    <n v="-13.550940000000004"/>
    <n v="-0.39064016148030545"/>
    <n v="202406"/>
    <n v="202301"/>
    <s v="Jun-2023"/>
    <x v="17"/>
  </r>
  <r>
    <x v="113"/>
    <d v="2025-01-17T00:00:00"/>
    <x v="10"/>
    <x v="0"/>
    <d v="2025-01-24T00:00:00"/>
    <n v="7"/>
    <x v="2"/>
    <x v="10"/>
    <s v="Austin"/>
    <s v="Americas &gt; USA &gt; Austin"/>
    <s v="Enterprise"/>
    <x v="1"/>
    <x v="3"/>
    <x v="6"/>
    <x v="113"/>
    <n v="142.09"/>
    <n v="218.5"/>
    <s v="Low"/>
    <n v="0.11899999999999999"/>
    <n v="11"/>
    <n v="2117.4834999999998"/>
    <n v="1562.99"/>
    <n v="554.49349999999981"/>
    <n v="0.26186437816398561"/>
    <n v="202501"/>
    <n v="202301"/>
    <s v="Jan-2023"/>
    <x v="24"/>
  </r>
  <r>
    <x v="114"/>
    <d v="2023-11-20T00:00:00"/>
    <x v="30"/>
    <x v="1"/>
    <d v="2023-12-05T00:00:00"/>
    <n v="15"/>
    <x v="1"/>
    <x v="2"/>
    <s v="Tokyo"/>
    <s v="Asia &gt; Japan &gt; Tokyo"/>
    <s v="Enterprise"/>
    <x v="0"/>
    <x v="4"/>
    <x v="2"/>
    <x v="114"/>
    <n v="354.24"/>
    <n v="249.87"/>
    <s v="Low"/>
    <n v="0"/>
    <n v="6"/>
    <n v="1499.22"/>
    <n v="2125.44"/>
    <n v="-626.22"/>
    <n v="-0.41769720254532355"/>
    <n v="202311"/>
    <n v="202303"/>
    <s v="Nov-2023"/>
    <x v="28"/>
  </r>
  <r>
    <x v="115"/>
    <d v="2023-03-02T00:00:00"/>
    <x v="22"/>
    <x v="0"/>
    <d v="2023-03-05T00:00:00"/>
    <n v="3"/>
    <x v="2"/>
    <x v="5"/>
    <s v="Brasília"/>
    <s v="Americas &gt; Brazil &gt; Brasília"/>
    <s v="Enterprise"/>
    <x v="4"/>
    <x v="3"/>
    <x v="5"/>
    <x v="115"/>
    <n v="1473.58"/>
    <n v="3436.52"/>
    <s v="High"/>
    <n v="0.108"/>
    <n v="8"/>
    <n v="24523.006720000001"/>
    <n v="11788.64"/>
    <n v="12734.366720000002"/>
    <n v="0.51928243813652564"/>
    <n v="202303"/>
    <n v="202301"/>
    <s v="Mar-2023"/>
    <x v="21"/>
  </r>
  <r>
    <x v="116"/>
    <d v="2025-06-03T00:00:00"/>
    <x v="16"/>
    <x v="2"/>
    <d v="2025-06-10T00:00:00"/>
    <n v="7"/>
    <x v="2"/>
    <x v="3"/>
    <s v="Toronto"/>
    <s v="Americas &gt; Canada &gt; Toronto"/>
    <s v="Consumer"/>
    <x v="3"/>
    <x v="7"/>
    <x v="1"/>
    <x v="116"/>
    <n v="75.180000000000007"/>
    <n v="53.45"/>
    <s v="Low"/>
    <n v="0.157"/>
    <n v="17"/>
    <n v="765.99195000000009"/>
    <n v="1278.0600000000002"/>
    <n v="-512.06805000000008"/>
    <n v="-0.66850317421743144"/>
    <n v="202506"/>
    <n v="202301"/>
    <s v="Jun-2023"/>
    <x v="16"/>
  </r>
  <r>
    <x v="117"/>
    <d v="2024-12-27T00:00:00"/>
    <x v="6"/>
    <x v="1"/>
    <d v="2025-01-02T00:00:00"/>
    <n v="6"/>
    <x v="3"/>
    <x v="6"/>
    <s v="Frankfurt"/>
    <s v="Europe &gt; Germany &gt; Frankfurt"/>
    <s v="Education"/>
    <x v="4"/>
    <x v="9"/>
    <x v="4"/>
    <x v="117"/>
    <n v="1391.99"/>
    <n v="3469.7"/>
    <s v="High"/>
    <n v="0.184"/>
    <n v="23"/>
    <n v="65119.329599999997"/>
    <n v="32015.77"/>
    <n v="33103.559599999993"/>
    <n v="0.50835227886006973"/>
    <n v="202412"/>
    <n v="202301"/>
    <s v="Dec-2023"/>
    <x v="6"/>
  </r>
  <r>
    <x v="118"/>
    <d v="2023-06-09T00:00:00"/>
    <x v="23"/>
    <x v="2"/>
    <d v="2023-06-19T00:00:00"/>
    <n v="10"/>
    <x v="1"/>
    <x v="9"/>
    <s v="Beijing"/>
    <s v="Asia &gt; China &gt; Beijing"/>
    <s v="Enterprise"/>
    <x v="0"/>
    <x v="9"/>
    <x v="5"/>
    <x v="118"/>
    <n v="339.61"/>
    <n v="621.02"/>
    <s v="Low"/>
    <n v="7.0999999999999994E-2"/>
    <n v="10"/>
    <n v="5769.2758000000003"/>
    <n v="3396.1000000000004"/>
    <n v="2373.1758"/>
    <n v="0.41134726129750981"/>
    <n v="202306"/>
    <n v="202301"/>
    <s v="Jun-2023"/>
    <x v="22"/>
  </r>
  <r>
    <x v="119"/>
    <d v="2025-07-09T00:00:00"/>
    <x v="13"/>
    <x v="3"/>
    <d v="2025-07-18T00:00:00"/>
    <n v="9"/>
    <x v="2"/>
    <x v="3"/>
    <s v="Vancouver"/>
    <s v="Americas &gt; Canada &gt; Vancouver"/>
    <s v="Education"/>
    <x v="3"/>
    <x v="2"/>
    <x v="4"/>
    <x v="119"/>
    <n v="57.96"/>
    <n v="88.51"/>
    <s v="Low"/>
    <n v="4.2999999999999997E-2"/>
    <n v="7"/>
    <n v="592.92849000000001"/>
    <n v="405.72"/>
    <n v="187.20848999999998"/>
    <n v="0.3157353595877978"/>
    <n v="202507"/>
    <n v="202301"/>
    <s v="Jul-2023"/>
    <x v="13"/>
  </r>
  <r>
    <x v="120"/>
    <d v="2025-06-19T00:00:00"/>
    <x v="16"/>
    <x v="2"/>
    <d v="2025-07-12T00:00:00"/>
    <n v="23"/>
    <x v="3"/>
    <x v="8"/>
    <s v="Not Provided"/>
    <s v="Europe &gt; United Kingdom &gt; Not Provided"/>
    <s v="Non-Profit"/>
    <x v="4"/>
    <x v="15"/>
    <x v="2"/>
    <x v="120"/>
    <n v="801.24"/>
    <n v="1959.09"/>
    <s v="Medium"/>
    <n v="0.123"/>
    <n v="23"/>
    <n v="39516.804389999998"/>
    <n v="18428.52"/>
    <n v="21088.284389999997"/>
    <n v="0.53365358650651762"/>
    <n v="202506"/>
    <n v="202301"/>
    <s v="Jun-2023"/>
    <x v="16"/>
  </r>
  <r>
    <x v="121"/>
    <d v="2023-11-19T00:00:00"/>
    <x v="30"/>
    <x v="1"/>
    <d v="2023-12-13T00:00:00"/>
    <n v="24"/>
    <x v="3"/>
    <x v="7"/>
    <s v="Lyon"/>
    <s v="Europe &gt; France &gt; Lyon"/>
    <s v="Non-Profit"/>
    <x v="4"/>
    <x v="10"/>
    <x v="5"/>
    <x v="121"/>
    <n v="1297.42"/>
    <n v="2742.97"/>
    <s v="High"/>
    <n v="6.9000000000000006E-2"/>
    <n v="9"/>
    <n v="22983.34563"/>
    <n v="11676.78"/>
    <n v="11306.565629999999"/>
    <n v="0.49194602961727291"/>
    <n v="202311"/>
    <n v="202301"/>
    <s v="Nov-2023"/>
    <x v="31"/>
  </r>
  <r>
    <x v="122"/>
    <d v="2023-12-29T00:00:00"/>
    <x v="4"/>
    <x v="1"/>
    <d v="2024-01-20T00:00:00"/>
    <n v="22"/>
    <x v="0"/>
    <x v="0"/>
    <s v="Kisumu"/>
    <s v="Africa &gt; Kenya &gt; Kisumu"/>
    <s v="Corporate"/>
    <x v="4"/>
    <x v="4"/>
    <x v="3"/>
    <x v="122"/>
    <n v="1395.49"/>
    <n v="1679.42"/>
    <s v="High"/>
    <n v="0.20300000000000001"/>
    <n v="12"/>
    <n v="16061.972879999999"/>
    <n v="16745.88"/>
    <n v="-683.90712000000167"/>
    <n v="-4.2579272490964493E-2"/>
    <n v="202312"/>
    <n v="202301"/>
    <s v="Dec-2023"/>
    <x v="27"/>
  </r>
  <r>
    <x v="123"/>
    <d v="2024-11-02T00:00:00"/>
    <x v="18"/>
    <x v="1"/>
    <d v="2024-11-29T00:00:00"/>
    <n v="27"/>
    <x v="2"/>
    <x v="5"/>
    <s v="Brasília"/>
    <s v="Americas &gt; Brazil &gt; Brasília"/>
    <s v="Small Business"/>
    <x v="4"/>
    <x v="2"/>
    <x v="2"/>
    <x v="123"/>
    <n v="1363.51"/>
    <n v="1433.9"/>
    <s v="High"/>
    <n v="5.7000000000000002E-2"/>
    <n v="8"/>
    <n v="10817.3416"/>
    <n v="10908.08"/>
    <n v="-90.738400000000183"/>
    <n v="-8.3882346842037592E-3"/>
    <n v="202411"/>
    <n v="202301"/>
    <s v="Nov-2023"/>
    <x v="10"/>
  </r>
  <r>
    <x v="124"/>
    <d v="2023-08-21T00:00:00"/>
    <x v="25"/>
    <x v="3"/>
    <d v="2023-09-04T00:00:00"/>
    <n v="14"/>
    <x v="2"/>
    <x v="3"/>
    <s v="Montreal"/>
    <s v="Americas &gt; Canada &gt; Montreal"/>
    <s v="Education"/>
    <x v="3"/>
    <x v="9"/>
    <x v="0"/>
    <x v="124"/>
    <n v="178.19"/>
    <n v="284.43"/>
    <s v="Low"/>
    <n v="8.8999999999999996E-2"/>
    <n v="8"/>
    <n v="2072.9258400000003"/>
    <n v="1425.52"/>
    <n v="647.40584000000035"/>
    <n v="0.31231500302972742"/>
    <n v="202308"/>
    <n v="202301"/>
    <s v="Aug-2023"/>
    <x v="25"/>
  </r>
  <r>
    <x v="125"/>
    <d v="2023-08-12T00:00:00"/>
    <x v="25"/>
    <x v="3"/>
    <d v="2023-09-06T00:00:00"/>
    <n v="25"/>
    <x v="1"/>
    <x v="9"/>
    <s v="Shanghai"/>
    <s v="Asia &gt; China &gt; Shanghai"/>
    <s v="Small Business"/>
    <x v="0"/>
    <x v="5"/>
    <x v="0"/>
    <x v="125"/>
    <n v="950.77"/>
    <n v="694.78"/>
    <s v="Medium"/>
    <n v="8.4000000000000005E-2"/>
    <n v="14"/>
    <n v="8909.8587200000002"/>
    <n v="13310.779999999999"/>
    <n v="-4400.9212799999987"/>
    <n v="-0.49393839097821279"/>
    <n v="202308"/>
    <n v="202301"/>
    <s v="Aug-2023"/>
    <x v="25"/>
  </r>
  <r>
    <x v="126"/>
    <d v="2024-06-07T00:00:00"/>
    <x v="17"/>
    <x v="2"/>
    <d v="2024-06-26T00:00:00"/>
    <n v="19"/>
    <x v="3"/>
    <x v="6"/>
    <s v="Berlin"/>
    <s v="Europe &gt; Germany &gt; Berlin"/>
    <s v="Non-Profit"/>
    <x v="2"/>
    <x v="12"/>
    <x v="0"/>
    <x v="126"/>
    <n v="1064.32"/>
    <n v="1848.39"/>
    <s v="High"/>
    <n v="7.2999999999999995E-2"/>
    <n v="38"/>
    <n v="65111.38614000001"/>
    <n v="40444.159999999996"/>
    <n v="24667.226140000013"/>
    <n v="0.3788465827921631"/>
    <n v="202406"/>
    <n v="202301"/>
    <s v="Jun-2023"/>
    <x v="17"/>
  </r>
  <r>
    <x v="127"/>
    <d v="2025-08-05T00:00:00"/>
    <x v="28"/>
    <x v="3"/>
    <d v="2025-08-14T00:00:00"/>
    <n v="9"/>
    <x v="3"/>
    <x v="8"/>
    <s v="London"/>
    <s v="Europe &gt; United Kingdom &gt; London"/>
    <s v="Non-Profit"/>
    <x v="4"/>
    <x v="6"/>
    <x v="0"/>
    <x v="127"/>
    <n v="41.76"/>
    <n v="45.19"/>
    <s v="Low"/>
    <n v="0.17899999999999999"/>
    <n v="23"/>
    <n v="853.32276999999988"/>
    <n v="960.4799999999999"/>
    <n v="-107.15723000000003"/>
    <n v="-0.12557643340514638"/>
    <n v="202508"/>
    <n v="202301"/>
    <s v="Aug-2023"/>
    <x v="29"/>
  </r>
  <r>
    <x v="128"/>
    <d v="2024-05-30T00:00:00"/>
    <x v="7"/>
    <x v="2"/>
    <d v="2024-06-13T00:00:00"/>
    <n v="14"/>
    <x v="2"/>
    <x v="10"/>
    <s v="San Francisco"/>
    <s v="Americas &gt; USA &gt; San Francisco"/>
    <s v="Small Business"/>
    <x v="0"/>
    <x v="9"/>
    <x v="3"/>
    <x v="128"/>
    <n v="157.78"/>
    <n v="361.1"/>
    <s v="Low"/>
    <n v="0.187"/>
    <n v="9"/>
    <n v="2642.1686999999997"/>
    <n v="1420.02"/>
    <n v="1222.1486999999997"/>
    <n v="0.46255513510549112"/>
    <n v="202405"/>
    <n v="202301"/>
    <s v="May-2023"/>
    <x v="7"/>
  </r>
  <r>
    <x v="129"/>
    <d v="2023-01-22T00:00:00"/>
    <x v="5"/>
    <x v="0"/>
    <d v="2023-01-30T00:00:00"/>
    <n v="8"/>
    <x v="2"/>
    <x v="10"/>
    <s v="San Francisco"/>
    <s v="Americas &gt; USA &gt; San Francisco"/>
    <s v="Small Business"/>
    <x v="1"/>
    <x v="8"/>
    <x v="2"/>
    <x v="129"/>
    <n v="413.52"/>
    <n v="1004.34"/>
    <s v="Low"/>
    <n v="0.111"/>
    <n v="18"/>
    <n v="16071.44868"/>
    <n v="7443.36"/>
    <n v="8628.0886800000007"/>
    <n v="0.53685817948304593"/>
    <n v="202301"/>
    <n v="202301"/>
    <s v="Jan-2023"/>
    <x v="5"/>
  </r>
  <r>
    <x v="130"/>
    <d v="2025-02-12T00:00:00"/>
    <x v="26"/>
    <x v="0"/>
    <d v="2025-02-28T00:00:00"/>
    <n v="16"/>
    <x v="2"/>
    <x v="5"/>
    <s v="São Paulo"/>
    <s v="Americas &gt; Brazil &gt; São Paulo"/>
    <s v="Non-Profit"/>
    <x v="4"/>
    <x v="5"/>
    <x v="5"/>
    <x v="130"/>
    <n v="414.95"/>
    <n v="1027.73"/>
    <s v="Low"/>
    <n v="6.3E-2"/>
    <n v="8"/>
    <n v="7703.8640800000003"/>
    <n v="3319.6"/>
    <n v="4384.2640800000008"/>
    <n v="0.56909935513815568"/>
    <n v="202502"/>
    <n v="202301"/>
    <s v="Feb-2023"/>
    <x v="26"/>
  </r>
  <r>
    <x v="131"/>
    <d v="2025-03-03T00:00:00"/>
    <x v="3"/>
    <x v="0"/>
    <d v="2025-03-24T00:00:00"/>
    <n v="21"/>
    <x v="0"/>
    <x v="1"/>
    <s v="Abuja"/>
    <s v="Africa &gt; Nigeria &gt; Abuja"/>
    <s v="Enterprise"/>
    <x v="4"/>
    <x v="10"/>
    <x v="6"/>
    <x v="131"/>
    <n v="555.95000000000005"/>
    <n v="468.09"/>
    <s v="Medium"/>
    <n v="0.14199999999999999"/>
    <n v="11"/>
    <n v="4417.8334199999999"/>
    <n v="6115.4500000000007"/>
    <n v="-1697.6165800000008"/>
    <n v="-0.38426450674095375"/>
    <n v="202503"/>
    <n v="202301"/>
    <s v="Mar-2023"/>
    <x v="3"/>
  </r>
  <r>
    <x v="132"/>
    <d v="2023-01-27T00:00:00"/>
    <x v="5"/>
    <x v="0"/>
    <d v="2023-01-31T00:00:00"/>
    <n v="4"/>
    <x v="3"/>
    <x v="8"/>
    <s v="Manchester"/>
    <s v="Europe &gt; United Kingdom &gt; Manchester"/>
    <s v="Enterprise"/>
    <x v="1"/>
    <x v="13"/>
    <x v="4"/>
    <x v="132"/>
    <n v="941.2"/>
    <n v="668.02"/>
    <s v="Medium"/>
    <n v="0.22"/>
    <n v="16"/>
    <n v="8336.8896000000004"/>
    <n v="15059.2"/>
    <n v="-6722.3104000000003"/>
    <n v="-0.80633314371825193"/>
    <n v="202301"/>
    <n v="202301"/>
    <s v="Jan-2023"/>
    <x v="5"/>
  </r>
  <r>
    <x v="133"/>
    <d v="2025-01-09T00:00:00"/>
    <x v="10"/>
    <x v="0"/>
    <d v="2025-01-15T00:00:00"/>
    <n v="6"/>
    <x v="1"/>
    <x v="9"/>
    <s v="Beijing"/>
    <s v="Asia &gt; China &gt; Beijing"/>
    <s v="Education"/>
    <x v="1"/>
    <x v="0"/>
    <x v="3"/>
    <x v="133"/>
    <n v="304.77999999999997"/>
    <n v="537.27"/>
    <s v="Low"/>
    <n v="0.187"/>
    <n v="8"/>
    <n v="3494.4040799999998"/>
    <n v="2438.2399999999998"/>
    <n v="1056.16408"/>
    <n v="0.3022444044307549"/>
    <n v="202501"/>
    <n v="202301"/>
    <s v="Jan-2023"/>
    <x v="24"/>
  </r>
  <r>
    <x v="134"/>
    <d v="2024-12-21T00:00:00"/>
    <x v="6"/>
    <x v="1"/>
    <d v="2024-12-26T00:00:00"/>
    <n v="5"/>
    <x v="2"/>
    <x v="10"/>
    <s v="San Francisco"/>
    <s v="Americas &gt; USA &gt; San Francisco"/>
    <s v="Consumer"/>
    <x v="2"/>
    <x v="12"/>
    <x v="1"/>
    <x v="134"/>
    <n v="699.57"/>
    <n v="572.71"/>
    <s v="Medium"/>
    <n v="0.192"/>
    <n v="26"/>
    <n v="12031.491680000001"/>
    <n v="18188.82"/>
    <n v="-6157.3283199999987"/>
    <n v="-0.51176765805651114"/>
    <n v="202412"/>
    <n v="202301"/>
    <s v="Dec-2023"/>
    <x v="6"/>
  </r>
  <r>
    <x v="135"/>
    <d v="2023-04-12T00:00:00"/>
    <x v="12"/>
    <x v="2"/>
    <d v="2023-04-17T00:00:00"/>
    <n v="5"/>
    <x v="3"/>
    <x v="7"/>
    <s v="Lyon"/>
    <s v="Europe &gt; France &gt; Lyon"/>
    <s v="Enterprise"/>
    <x v="4"/>
    <x v="6"/>
    <x v="5"/>
    <x v="135"/>
    <n v="1087.81"/>
    <n v="2323.87"/>
    <s v="High"/>
    <n v="9.4E-2"/>
    <n v="13"/>
    <n v="27370.540859999997"/>
    <n v="14141.529999999999"/>
    <n v="13229.010859999999"/>
    <n v="0.48333026839572651"/>
    <n v="202304"/>
    <n v="202301"/>
    <s v="Apr-2023"/>
    <x v="12"/>
  </r>
  <r>
    <x v="136"/>
    <d v="2024-12-14T00:00:00"/>
    <x v="6"/>
    <x v="1"/>
    <d v="2025-01-12T00:00:00"/>
    <n v="29"/>
    <x v="1"/>
    <x v="9"/>
    <s v="Shenzhen"/>
    <s v="Asia &gt; China &gt; Shenzhen"/>
    <s v="Education"/>
    <x v="1"/>
    <x v="1"/>
    <x v="0"/>
    <x v="136"/>
    <n v="1412.15"/>
    <n v="1631.04"/>
    <s v="High"/>
    <n v="8.9999999999999993E-3"/>
    <n v="6"/>
    <n v="9698.1638399999993"/>
    <n v="8472.9000000000015"/>
    <n v="1225.2638399999978"/>
    <n v="0.12633977526203535"/>
    <n v="202412"/>
    <n v="202301"/>
    <s v="Dec-2023"/>
    <x v="6"/>
  </r>
  <r>
    <x v="137"/>
    <d v="2023-03-31T00:00:00"/>
    <x v="22"/>
    <x v="0"/>
    <d v="2023-04-12T00:00:00"/>
    <n v="12"/>
    <x v="0"/>
    <x v="0"/>
    <s v="Mombasa"/>
    <s v="Africa &gt; Kenya &gt; Mombasa"/>
    <s v="Small Business"/>
    <x v="1"/>
    <x v="0"/>
    <x v="3"/>
    <x v="137"/>
    <n v="304.22000000000003"/>
    <n v="393.31"/>
    <s v="Low"/>
    <n v="0.26500000000000001"/>
    <n v="15"/>
    <n v="4336.2427499999994"/>
    <n v="4563.3"/>
    <n v="-227.05725000000075"/>
    <n v="-5.2362670424759034E-2"/>
    <n v="202303"/>
    <n v="202301"/>
    <s v="Mar-2023"/>
    <x v="21"/>
  </r>
  <r>
    <x v="138"/>
    <d v="2024-11-20T00:00:00"/>
    <x v="18"/>
    <x v="1"/>
    <d v="2024-12-15T00:00:00"/>
    <n v="25"/>
    <x v="3"/>
    <x v="7"/>
    <s v="Paris"/>
    <s v="Europe &gt; France &gt; Paris"/>
    <s v="Corporate"/>
    <x v="1"/>
    <x v="3"/>
    <x v="1"/>
    <x v="138"/>
    <n v="1203.58"/>
    <n v="1856.16"/>
    <s v="High"/>
    <n v="0.129"/>
    <n v="22"/>
    <n v="35567.737920000007"/>
    <n v="26478.76"/>
    <n v="9088.9779200000085"/>
    <n v="0.25553994860295032"/>
    <n v="202411"/>
    <n v="202301"/>
    <s v="Nov-2023"/>
    <x v="10"/>
  </r>
  <r>
    <x v="139"/>
    <d v="2024-02-14T00:00:00"/>
    <x v="31"/>
    <x v="0"/>
    <d v="2024-02-14T00:00:00"/>
    <n v="0"/>
    <x v="1"/>
    <x v="9"/>
    <s v="Beijing"/>
    <s v="Asia &gt; China &gt; Beijing"/>
    <s v="Corporate"/>
    <x v="3"/>
    <x v="4"/>
    <x v="6"/>
    <x v="139"/>
    <n v="65.930000000000007"/>
    <n v="84.9"/>
    <s v="Low"/>
    <n v="0.25900000000000001"/>
    <n v="23"/>
    <n v="1446.9507000000001"/>
    <n v="1516.39"/>
    <n v="-69.439300000000003"/>
    <n v="-4.7990093926489688E-2"/>
    <n v="202402"/>
    <n v="202301"/>
    <s v="Feb-2023"/>
    <x v="32"/>
  </r>
  <r>
    <x v="140"/>
    <d v="2023-05-02T00:00:00"/>
    <x v="15"/>
    <x v="2"/>
    <d v="2023-05-18T00:00:00"/>
    <n v="16"/>
    <x v="1"/>
    <x v="4"/>
    <s v="Delhi"/>
    <s v="Asia &gt; India &gt; Delhi"/>
    <s v="Small Business"/>
    <x v="2"/>
    <x v="11"/>
    <x v="5"/>
    <x v="140"/>
    <n v="1463.92"/>
    <n v="2252.2399999999998"/>
    <s v="High"/>
    <n v="0.11799999999999999"/>
    <n v="44"/>
    <n v="87404.929919999995"/>
    <n v="64412.480000000003"/>
    <n v="22992.449919999992"/>
    <n v="0.26305667130040061"/>
    <n v="202305"/>
    <n v="202301"/>
    <s v="May-2023"/>
    <x v="15"/>
  </r>
  <r>
    <x v="141"/>
    <d v="2024-12-23T00:00:00"/>
    <x v="6"/>
    <x v="1"/>
    <d v="2025-01-11T00:00:00"/>
    <n v="19"/>
    <x v="3"/>
    <x v="6"/>
    <s v="Berlin"/>
    <s v="Europe &gt; Germany &gt; Berlin"/>
    <s v="Education"/>
    <x v="0"/>
    <x v="11"/>
    <x v="3"/>
    <x v="141"/>
    <n v="501.81"/>
    <n v="921.62"/>
    <s v="Medium"/>
    <n v="0.01"/>
    <n v="9"/>
    <n v="8211.6342000000004"/>
    <n v="4516.29"/>
    <n v="3695.3442000000005"/>
    <n v="0.45001325071202031"/>
    <n v="202412"/>
    <n v="202301"/>
    <s v="Dec-2023"/>
    <x v="6"/>
  </r>
  <r>
    <x v="142"/>
    <d v="2023-07-26T00:00:00"/>
    <x v="24"/>
    <x v="3"/>
    <d v="2023-08-25T00:00:00"/>
    <n v="30"/>
    <x v="2"/>
    <x v="10"/>
    <s v="New York"/>
    <s v="Americas &gt; USA &gt; New York"/>
    <s v="Consumer"/>
    <x v="0"/>
    <x v="12"/>
    <x v="6"/>
    <x v="142"/>
    <n v="1261.48"/>
    <n v="1643.18"/>
    <s v="High"/>
    <n v="0.151"/>
    <n v="23"/>
    <n v="32086.37586"/>
    <n v="29014.04"/>
    <n v="3072.3358599999992"/>
    <n v="9.5752037357079045E-2"/>
    <n v="202307"/>
    <n v="202301"/>
    <s v="Jul-2023"/>
    <x v="23"/>
  </r>
  <r>
    <x v="143"/>
    <d v="2024-06-15T00:00:00"/>
    <x v="17"/>
    <x v="2"/>
    <d v="2024-07-06T00:00:00"/>
    <n v="21"/>
    <x v="2"/>
    <x v="3"/>
    <s v="Toronto"/>
    <s v="Americas &gt; Canada &gt; Toronto"/>
    <s v="Enterprise"/>
    <x v="3"/>
    <x v="4"/>
    <x v="1"/>
    <x v="143"/>
    <n v="817.23"/>
    <n v="1467.17"/>
    <s v="Medium"/>
    <n v="0.245"/>
    <n v="9"/>
    <n v="9969.4201499999999"/>
    <n v="7355.07"/>
    <n v="2614.3501500000002"/>
    <n v="0.26223693160328893"/>
    <n v="202406"/>
    <n v="202301"/>
    <s v="Jun-2023"/>
    <x v="17"/>
  </r>
  <r>
    <x v="144"/>
    <d v="2023-07-05T00:00:00"/>
    <x v="24"/>
    <x v="3"/>
    <d v="2023-07-14T00:00:00"/>
    <n v="9"/>
    <x v="2"/>
    <x v="5"/>
    <s v="Brasília"/>
    <s v="Americas &gt; Brazil &gt; Brasília"/>
    <s v="Enterprise"/>
    <x v="4"/>
    <x v="5"/>
    <x v="2"/>
    <x v="144"/>
    <n v="578.85"/>
    <n v="998.76"/>
    <s v="Medium"/>
    <n v="8.2000000000000003E-2"/>
    <n v="28"/>
    <n v="25672.127039999999"/>
    <n v="16207.800000000001"/>
    <n v="9464.3270399999983"/>
    <n v="0.36866158480960831"/>
    <n v="202307"/>
    <n v="202301"/>
    <s v="Jul-2023"/>
    <x v="23"/>
  </r>
  <r>
    <x v="145"/>
    <d v="2023-11-30T00:00:00"/>
    <x v="30"/>
    <x v="1"/>
    <d v="2023-12-01T00:00:00"/>
    <n v="1"/>
    <x v="0"/>
    <x v="11"/>
    <s v="Durban"/>
    <s v="Africa &gt; South Africa &gt; Durban"/>
    <s v="Small Business"/>
    <x v="2"/>
    <x v="6"/>
    <x v="4"/>
    <x v="145"/>
    <n v="275.56"/>
    <n v="630.72"/>
    <s v="Low"/>
    <n v="0.107"/>
    <n v="23"/>
    <n v="12954.358080000002"/>
    <n v="6337.88"/>
    <n v="6616.4780800000017"/>
    <n v="0.5107530638831933"/>
    <n v="202311"/>
    <n v="202301"/>
    <s v="Nov-2023"/>
    <x v="31"/>
  </r>
  <r>
    <x v="146"/>
    <d v="2025-09-11T00:00:00"/>
    <x v="11"/>
    <x v="3"/>
    <d v="2025-09-28T00:00:00"/>
    <n v="17"/>
    <x v="0"/>
    <x v="0"/>
    <s v="Nairobi"/>
    <s v="Africa &gt; Kenya &gt; Nairobi"/>
    <s v="Non-Profit"/>
    <x v="3"/>
    <x v="1"/>
    <x v="4"/>
    <x v="146"/>
    <n v="891.46"/>
    <n v="728.61"/>
    <s v="Medium"/>
    <n v="0.185"/>
    <n v="6"/>
    <n v="3562.9028999999996"/>
    <n v="5348.76"/>
    <n v="-1785.8571000000006"/>
    <n v="-0.50123653383874167"/>
    <n v="202509"/>
    <n v="202301"/>
    <s v="Sept-2023"/>
    <x v="11"/>
  </r>
  <r>
    <x v="147"/>
    <d v="2024-04-04T00:00:00"/>
    <x v="20"/>
    <x v="2"/>
    <d v="2024-04-24T00:00:00"/>
    <n v="20"/>
    <x v="3"/>
    <x v="6"/>
    <s v="Frankfurt"/>
    <s v="Europe &gt; Germany &gt; Frankfurt"/>
    <s v="Non-Profit"/>
    <x v="4"/>
    <x v="7"/>
    <x v="6"/>
    <x v="147"/>
    <n v="683.42"/>
    <n v="951.51"/>
    <s v="Medium"/>
    <n v="0"/>
    <n v="14"/>
    <n v="13321.14"/>
    <n v="9567.8799999999992"/>
    <n v="3753.26"/>
    <n v="0.28175216235247136"/>
    <n v="202404"/>
    <n v="202301"/>
    <s v="Apr-2023"/>
    <x v="19"/>
  </r>
  <r>
    <x v="148"/>
    <d v="2023-09-14T00:00:00"/>
    <x v="27"/>
    <x v="3"/>
    <d v="2023-09-16T00:00:00"/>
    <n v="2"/>
    <x v="3"/>
    <x v="7"/>
    <s v="Lyon"/>
    <s v="Europe &gt; France &gt; Lyon"/>
    <s v="Non-Profit"/>
    <x v="4"/>
    <x v="5"/>
    <x v="1"/>
    <x v="148"/>
    <n v="376.83"/>
    <n v="732.88"/>
    <s v="Low"/>
    <n v="0.188"/>
    <n v="25"/>
    <n v="14877.464000000002"/>
    <n v="9420.75"/>
    <n v="5456.7140000000018"/>
    <n v="0.36677716040852132"/>
    <n v="202309"/>
    <n v="202301"/>
    <s v="Sept-2023"/>
    <x v="28"/>
  </r>
  <r>
    <x v="149"/>
    <d v="2024-09-23T00:00:00"/>
    <x v="29"/>
    <x v="3"/>
    <d v="2024-10-18T00:00:00"/>
    <n v="25"/>
    <x v="2"/>
    <x v="3"/>
    <s v="Vancouver"/>
    <s v="Americas &gt; Canada &gt; Vancouver"/>
    <s v="Small Business"/>
    <x v="1"/>
    <x v="13"/>
    <x v="3"/>
    <x v="149"/>
    <n v="1297"/>
    <n v="2411.52"/>
    <s v="High"/>
    <n v="2.1000000000000001E-2"/>
    <n v="18"/>
    <n v="42495.805439999996"/>
    <n v="23346"/>
    <n v="19149.805439999996"/>
    <n v="0.45062813239385913"/>
    <n v="202409"/>
    <n v="202301"/>
    <s v="Sept-2023"/>
    <x v="30"/>
  </r>
  <r>
    <x v="150"/>
    <d v="2025-04-16T00:00:00"/>
    <x v="19"/>
    <x v="2"/>
    <d v="2025-05-16T00:00:00"/>
    <n v="30"/>
    <x v="2"/>
    <x v="3"/>
    <s v="Montreal"/>
    <s v="Americas &gt; Canada &gt; Montreal"/>
    <s v="Enterprise"/>
    <x v="3"/>
    <x v="11"/>
    <x v="1"/>
    <x v="150"/>
    <n v="763.32"/>
    <n v="568.29"/>
    <s v="Medium"/>
    <n v="0.13100000000000001"/>
    <n v="16"/>
    <n v="7901.5041599999995"/>
    <n v="12213.12"/>
    <n v="-4311.6158400000013"/>
    <n v="-0.54567026134426555"/>
    <n v="202504"/>
    <n v="202301"/>
    <s v="Apr-2023"/>
    <x v="18"/>
  </r>
  <r>
    <x v="151"/>
    <d v="2023-07-03T00:00:00"/>
    <x v="24"/>
    <x v="3"/>
    <d v="2023-07-23T00:00:00"/>
    <n v="20"/>
    <x v="0"/>
    <x v="11"/>
    <s v="Johannesburg"/>
    <s v="Africa &gt; South Africa &gt; Johannesburg"/>
    <s v="Small Business"/>
    <x v="3"/>
    <x v="9"/>
    <x v="4"/>
    <x v="151"/>
    <n v="1001.96"/>
    <n v="1254.95"/>
    <s v="High"/>
    <n v="4.4999999999999998E-2"/>
    <n v="18"/>
    <n v="21572.590500000002"/>
    <n v="18035.28"/>
    <n v="3537.3105000000032"/>
    <n v="0.16397244920585699"/>
    <n v="202307"/>
    <n v="202301"/>
    <s v="Jul-2023"/>
    <x v="23"/>
  </r>
  <r>
    <x v="152"/>
    <d v="2023-12-07T00:00:00"/>
    <x v="4"/>
    <x v="1"/>
    <d v="2023-12-09T00:00:00"/>
    <n v="2"/>
    <x v="1"/>
    <x v="2"/>
    <s v="Tokyo"/>
    <s v="Asia &gt; Japan &gt; Tokyo"/>
    <s v="Non-Profit"/>
    <x v="2"/>
    <x v="10"/>
    <x v="1"/>
    <x v="152"/>
    <n v="1097.5899999999999"/>
    <n v="845.55"/>
    <s v="High"/>
    <n v="0.184"/>
    <n v="6"/>
    <n v="4139.8127999999997"/>
    <n v="6585.5399999999991"/>
    <n v="-2445.7271999999994"/>
    <n v="-0.59078207594314402"/>
    <n v="202312"/>
    <n v="202303"/>
    <s v="Dec-2023"/>
    <x v="4"/>
  </r>
  <r>
    <x v="153"/>
    <d v="2024-02-18T00:00:00"/>
    <x v="31"/>
    <x v="0"/>
    <d v="2024-03-04T00:00:00"/>
    <n v="15"/>
    <x v="0"/>
    <x v="0"/>
    <s v="Kisumu"/>
    <s v="Africa &gt; Kenya &gt; Kisumu"/>
    <s v="Education"/>
    <x v="4"/>
    <x v="11"/>
    <x v="1"/>
    <x v="153"/>
    <n v="928.68"/>
    <n v="2145.17"/>
    <s v="Medium"/>
    <n v="0.13600000000000001"/>
    <n v="16"/>
    <n v="29654.83008"/>
    <n v="14858.88"/>
    <n v="14795.950080000001"/>
    <n v="0.49893896003062177"/>
    <n v="202402"/>
    <n v="202301"/>
    <s v="Feb-2023"/>
    <x v="32"/>
  </r>
  <r>
    <x v="154"/>
    <d v="2023-10-31T00:00:00"/>
    <x v="32"/>
    <x v="1"/>
    <d v="2023-11-02T00:00:00"/>
    <n v="2"/>
    <x v="0"/>
    <x v="0"/>
    <s v="Kisumu"/>
    <s v="Africa &gt; Kenya &gt; Kisumu"/>
    <s v="Education"/>
    <x v="0"/>
    <x v="7"/>
    <x v="6"/>
    <x v="154"/>
    <n v="867.89"/>
    <n v="1349.94"/>
    <s v="Medium"/>
    <n v="0.184"/>
    <n v="10"/>
    <n v="11015.510400000003"/>
    <n v="8678.9"/>
    <n v="2336.6104000000032"/>
    <n v="0.21212003031652557"/>
    <n v="202310"/>
    <n v="202301"/>
    <s v="Oct-2023"/>
    <x v="4"/>
  </r>
  <r>
    <x v="155"/>
    <d v="2024-08-07T00:00:00"/>
    <x v="21"/>
    <x v="3"/>
    <d v="2024-08-17T00:00:00"/>
    <n v="10"/>
    <x v="1"/>
    <x v="2"/>
    <s v="Osaka"/>
    <s v="Asia &gt; Japan &gt; Osaka"/>
    <s v="Consumer"/>
    <x v="1"/>
    <x v="11"/>
    <x v="2"/>
    <x v="155"/>
    <n v="436.58"/>
    <n v="527.48"/>
    <s v="Low"/>
    <n v="0.111"/>
    <n v="19"/>
    <n v="8909.6646800000017"/>
    <n v="8295.02"/>
    <n v="614.64468000000124"/>
    <n v="6.8986286473802644E-2"/>
    <n v="202408"/>
    <n v="202303"/>
    <s v="Aug-2023"/>
    <x v="17"/>
  </r>
  <r>
    <x v="156"/>
    <d v="2024-02-01T00:00:00"/>
    <x v="31"/>
    <x v="0"/>
    <d v="2024-02-21T00:00:00"/>
    <n v="20"/>
    <x v="3"/>
    <x v="7"/>
    <s v="Paris"/>
    <s v="Europe &gt; France &gt; Paris"/>
    <s v="Small Business"/>
    <x v="2"/>
    <x v="8"/>
    <x v="2"/>
    <x v="156"/>
    <n v="656.2"/>
    <n v="1467.17"/>
    <s v="Medium"/>
    <n v="1.7999999999999999E-2"/>
    <n v="5"/>
    <n v="7203.8047000000006"/>
    <n v="3281"/>
    <n v="3922.8047000000006"/>
    <n v="0.54454623124360946"/>
    <n v="202402"/>
    <n v="202301"/>
    <s v="Feb-2023"/>
    <x v="32"/>
  </r>
  <r>
    <x v="157"/>
    <d v="2024-08-27T00:00:00"/>
    <x v="21"/>
    <x v="3"/>
    <d v="2024-09-18T00:00:00"/>
    <n v="22"/>
    <x v="1"/>
    <x v="4"/>
    <s v="Delhi"/>
    <s v="Asia &gt; India &gt; Delhi"/>
    <s v="Consumer"/>
    <x v="4"/>
    <x v="5"/>
    <x v="0"/>
    <x v="157"/>
    <n v="896.75"/>
    <n v="1651.14"/>
    <s v="Medium"/>
    <n v="2.5000000000000001E-2"/>
    <n v="15"/>
    <n v="24147.922500000001"/>
    <n v="13451.25"/>
    <n v="10696.672500000001"/>
    <n v="0.44296450346815552"/>
    <n v="202408"/>
    <n v="202301"/>
    <s v="Aug-2023"/>
    <x v="20"/>
  </r>
  <r>
    <x v="158"/>
    <d v="2025-02-15T00:00:00"/>
    <x v="26"/>
    <x v="0"/>
    <d v="2025-02-15T00:00:00"/>
    <n v="0"/>
    <x v="3"/>
    <x v="6"/>
    <s v="Frankfurt"/>
    <s v="Europe &gt; Germany &gt; Frankfurt"/>
    <s v="Small Business"/>
    <x v="2"/>
    <x v="4"/>
    <x v="6"/>
    <x v="158"/>
    <n v="815.83"/>
    <n v="1982.18"/>
    <s v="Medium"/>
    <n v="0.127"/>
    <n v="6"/>
    <n v="10382.65884"/>
    <n v="4894.9800000000005"/>
    <n v="5487.6788399999996"/>
    <n v="0.52854272923408507"/>
    <n v="202502"/>
    <n v="202301"/>
    <s v="Feb-2023"/>
    <x v="26"/>
  </r>
  <r>
    <x v="159"/>
    <d v="2025-08-01T00:00:00"/>
    <x v="28"/>
    <x v="3"/>
    <d v="2025-08-21T00:00:00"/>
    <n v="20"/>
    <x v="1"/>
    <x v="9"/>
    <s v="Shanghai"/>
    <s v="Asia &gt; China &gt; Shanghai"/>
    <s v="Corporate"/>
    <x v="4"/>
    <x v="2"/>
    <x v="3"/>
    <x v="159"/>
    <n v="1220.4100000000001"/>
    <n v="2552.2199999999998"/>
    <s v="High"/>
    <n v="0.18099999999999999"/>
    <n v="14"/>
    <n v="29263.754519999995"/>
    <n v="17085.740000000002"/>
    <n v="12178.014519999993"/>
    <n v="0.41614668793360271"/>
    <n v="202508"/>
    <n v="202301"/>
    <s v="Aug-2023"/>
    <x v="29"/>
  </r>
  <r>
    <x v="160"/>
    <d v="2023-02-20T00:00:00"/>
    <x v="2"/>
    <x v="0"/>
    <d v="2023-03-04T00:00:00"/>
    <n v="12"/>
    <x v="1"/>
    <x v="4"/>
    <s v="Delhi"/>
    <s v="Asia &gt; India &gt; Delhi"/>
    <s v="Consumer"/>
    <x v="3"/>
    <x v="12"/>
    <x v="5"/>
    <x v="160"/>
    <n v="299.75"/>
    <n v="523.01"/>
    <s v="Low"/>
    <n v="0.157"/>
    <n v="50"/>
    <n v="22044.871499999997"/>
    <n v="14987.5"/>
    <n v="7057.3714999999975"/>
    <n v="0.32013665854210122"/>
    <n v="202302"/>
    <n v="202301"/>
    <s v="Feb-2023"/>
    <x v="2"/>
  </r>
  <r>
    <x v="161"/>
    <d v="2024-10-30T00:00:00"/>
    <x v="1"/>
    <x v="1"/>
    <d v="2024-11-24T00:00:00"/>
    <n v="25"/>
    <x v="1"/>
    <x v="9"/>
    <s v="Shenzhen"/>
    <s v="Asia &gt; China &gt; Shenzhen"/>
    <s v="Small Business"/>
    <x v="1"/>
    <x v="6"/>
    <x v="0"/>
    <x v="161"/>
    <n v="811.05"/>
    <n v="1217.71"/>
    <s v="Medium"/>
    <n v="7.1999999999999995E-2"/>
    <n v="5"/>
    <n v="5650.1744000000008"/>
    <n v="4055.25"/>
    <n v="1594.9244000000008"/>
    <n v="0.28227879125288602"/>
    <n v="202410"/>
    <n v="202301"/>
    <s v="Oct-2023"/>
    <x v="1"/>
  </r>
  <r>
    <x v="162"/>
    <d v="2024-04-03T00:00:00"/>
    <x v="20"/>
    <x v="2"/>
    <d v="2024-04-07T00:00:00"/>
    <n v="4"/>
    <x v="2"/>
    <x v="5"/>
    <s v="Brasília"/>
    <s v="Americas &gt; Brazil &gt; Brasília"/>
    <s v="Non-Profit"/>
    <x v="4"/>
    <x v="13"/>
    <x v="3"/>
    <x v="162"/>
    <n v="1023.27"/>
    <n v="1343.64"/>
    <s v="High"/>
    <n v="0.13300000000000001"/>
    <n v="7"/>
    <n v="8154.5511600000009"/>
    <n v="7162.8899999999994"/>
    <n v="991.66116000000147"/>
    <n v="0.12160830688810116"/>
    <n v="202404"/>
    <n v="202301"/>
    <s v="Apr-2023"/>
    <x v="19"/>
  </r>
  <r>
    <x v="163"/>
    <d v="2023-03-25T00:00:00"/>
    <x v="22"/>
    <x v="0"/>
    <d v="2023-03-26T00:00:00"/>
    <n v="1"/>
    <x v="1"/>
    <x v="2"/>
    <s v="Osaka"/>
    <s v="Asia &gt; Japan &gt; Osaka"/>
    <s v="Small Business"/>
    <x v="3"/>
    <x v="2"/>
    <x v="5"/>
    <x v="163"/>
    <n v="135.12"/>
    <n v="301.7"/>
    <s v="Low"/>
    <n v="0.14000000000000001"/>
    <n v="47"/>
    <n v="12194.714"/>
    <n v="6350.64"/>
    <n v="5844.0739999999996"/>
    <n v="0.47923009920527859"/>
    <n v="202303"/>
    <n v="202303"/>
    <s v="Mar-2023"/>
    <x v="5"/>
  </r>
  <r>
    <x v="164"/>
    <d v="2024-06-04T00:00:00"/>
    <x v="17"/>
    <x v="2"/>
    <d v="2024-06-16T00:00:00"/>
    <n v="12"/>
    <x v="1"/>
    <x v="9"/>
    <s v="Shanghai"/>
    <s v="Asia &gt; China &gt; Shanghai"/>
    <s v="Corporate"/>
    <x v="0"/>
    <x v="1"/>
    <x v="1"/>
    <x v="164"/>
    <n v="918.42"/>
    <n v="1511.71"/>
    <s v="Medium"/>
    <n v="0.02"/>
    <n v="8"/>
    <n v="11851.806399999999"/>
    <n v="7347.36"/>
    <n v="4504.4463999999998"/>
    <n v="0.38006412254590999"/>
    <n v="202406"/>
    <n v="202301"/>
    <s v="Jun-2023"/>
    <x v="17"/>
  </r>
  <r>
    <x v="165"/>
    <d v="2023-02-19T00:00:00"/>
    <x v="2"/>
    <x v="0"/>
    <d v="2023-03-12T00:00:00"/>
    <n v="21"/>
    <x v="3"/>
    <x v="6"/>
    <s v="Berlin"/>
    <s v="Europe &gt; Germany &gt; Berlin"/>
    <s v="Small Business"/>
    <x v="4"/>
    <x v="4"/>
    <x v="5"/>
    <x v="165"/>
    <n v="1234.81"/>
    <n v="2055.2399999999998"/>
    <s v="High"/>
    <n v="5.2999999999999999E-2"/>
    <n v="44"/>
    <n v="85637.740319999997"/>
    <n v="54331.64"/>
    <n v="31306.100319999998"/>
    <n v="0.36556429680441616"/>
    <n v="202302"/>
    <n v="202301"/>
    <s v="Feb-2023"/>
    <x v="2"/>
  </r>
  <r>
    <x v="166"/>
    <d v="2023-04-18T00:00:00"/>
    <x v="12"/>
    <x v="2"/>
    <d v="2023-05-18T00:00:00"/>
    <n v="30"/>
    <x v="1"/>
    <x v="9"/>
    <s v="Shenzhen"/>
    <s v="Asia &gt; China &gt; Shenzhen"/>
    <s v="Non-Profit"/>
    <x v="0"/>
    <x v="10"/>
    <x v="4"/>
    <x v="166"/>
    <n v="329.03"/>
    <n v="391.15"/>
    <s v="Low"/>
    <n v="0.19700000000000001"/>
    <n v="46"/>
    <n v="14448.298699999998"/>
    <n v="15135.38"/>
    <n v="-687.08130000000165"/>
    <n v="-4.7554477815440081E-2"/>
    <n v="202304"/>
    <n v="202301"/>
    <s v="Apr-2023"/>
    <x v="12"/>
  </r>
  <r>
    <x v="167"/>
    <d v="2024-05-23T00:00:00"/>
    <x v="7"/>
    <x v="2"/>
    <d v="2024-06-14T00:00:00"/>
    <n v="22"/>
    <x v="3"/>
    <x v="7"/>
    <s v="Marseille"/>
    <s v="Europe &gt; France &gt; Marseille"/>
    <s v="Small Business"/>
    <x v="1"/>
    <x v="13"/>
    <x v="5"/>
    <x v="167"/>
    <n v="1481.74"/>
    <n v="1848.97"/>
    <s v="High"/>
    <n v="0.254"/>
    <n v="9"/>
    <n v="12413.98458"/>
    <n v="13335.66"/>
    <n v="-921.67541999999958"/>
    <n v="-7.4244930309072407E-2"/>
    <n v="202405"/>
    <n v="202301"/>
    <s v="May-2023"/>
    <x v="7"/>
  </r>
  <r>
    <x v="168"/>
    <d v="2023-10-07T00:00:00"/>
    <x v="32"/>
    <x v="1"/>
    <d v="2023-10-23T00:00:00"/>
    <n v="16"/>
    <x v="1"/>
    <x v="4"/>
    <s v="Hyderabad"/>
    <s v="Asia &gt; India &gt; Hyderabad"/>
    <s v="Consumer"/>
    <x v="0"/>
    <x v="3"/>
    <x v="5"/>
    <x v="168"/>
    <n v="906.81"/>
    <n v="1395.56"/>
    <s v="Medium"/>
    <n v="0.185"/>
    <n v="6"/>
    <n v="6824.2884000000004"/>
    <n v="5440.86"/>
    <n v="1383.4284000000007"/>
    <n v="0.20272126834498974"/>
    <n v="202310"/>
    <n v="202301"/>
    <s v="Oct-2023"/>
    <x v="4"/>
  </r>
  <r>
    <x v="169"/>
    <d v="2024-10-09T00:00:00"/>
    <x v="1"/>
    <x v="1"/>
    <d v="2024-11-08T00:00:00"/>
    <n v="30"/>
    <x v="3"/>
    <x v="8"/>
    <s v="Manchester"/>
    <s v="Europe &gt; United Kingdom &gt; Manchester"/>
    <s v="Small Business"/>
    <x v="3"/>
    <x v="1"/>
    <x v="0"/>
    <x v="169"/>
    <n v="343.85"/>
    <n v="538.04"/>
    <s v="Low"/>
    <n v="0.13900000000000001"/>
    <n v="5"/>
    <n v="2316.2621999999997"/>
    <n v="1719.25"/>
    <n v="597.01219999999967"/>
    <n v="0.25774810813732563"/>
    <n v="202410"/>
    <n v="202301"/>
    <s v="Oct-2023"/>
    <x v="1"/>
  </r>
  <r>
    <x v="170"/>
    <d v="2024-07-15T00:00:00"/>
    <x v="14"/>
    <x v="3"/>
    <d v="2024-07-15T00:00:00"/>
    <n v="0"/>
    <x v="1"/>
    <x v="2"/>
    <s v="Tokyo"/>
    <s v="Asia &gt; Japan &gt; Tokyo"/>
    <s v="Small Business"/>
    <x v="2"/>
    <x v="3"/>
    <x v="6"/>
    <x v="170"/>
    <n v="801.77"/>
    <n v="1218.92"/>
    <s v="Medium"/>
    <n v="0.254"/>
    <n v="16"/>
    <n v="14549.029120000001"/>
    <n v="12828.32"/>
    <n v="1720.7091200000013"/>
    <n v="0.11826968698788344"/>
    <n v="202407"/>
    <n v="202303"/>
    <s v="Jul-2023"/>
    <x v="7"/>
  </r>
  <r>
    <x v="171"/>
    <d v="2023-09-21T00:00:00"/>
    <x v="27"/>
    <x v="3"/>
    <d v="2023-10-10T00:00:00"/>
    <n v="19"/>
    <x v="1"/>
    <x v="2"/>
    <s v="Tokyo"/>
    <s v="Asia &gt; Japan &gt; Tokyo"/>
    <s v="Education"/>
    <x v="1"/>
    <x v="14"/>
    <x v="0"/>
    <x v="171"/>
    <n v="845.63"/>
    <n v="2062.12"/>
    <s v="Medium"/>
    <n v="0.13400000000000001"/>
    <n v="5"/>
    <n v="8928.9795999999988"/>
    <n v="4228.1499999999996"/>
    <n v="4700.8295999999991"/>
    <n v="0.52646884757133949"/>
    <n v="202309"/>
    <n v="202303"/>
    <s v="Sept-2023"/>
    <x v="23"/>
  </r>
  <r>
    <x v="172"/>
    <d v="2023-02-24T00:00:00"/>
    <x v="2"/>
    <x v="0"/>
    <d v="2023-03-09T00:00:00"/>
    <n v="13"/>
    <x v="2"/>
    <x v="10"/>
    <s v="New York"/>
    <s v="Americas &gt; USA &gt; New York"/>
    <s v="Enterprise"/>
    <x v="1"/>
    <x v="12"/>
    <x v="0"/>
    <x v="172"/>
    <n v="6.85"/>
    <n v="10.18"/>
    <s v="Low"/>
    <n v="4.7E-2"/>
    <n v="10"/>
    <n v="97.0154"/>
    <n v="68.5"/>
    <n v="28.5154"/>
    <n v="0.2939265312517394"/>
    <n v="202302"/>
    <n v="202301"/>
    <s v="Feb-2023"/>
    <x v="2"/>
  </r>
  <r>
    <x v="173"/>
    <d v="2025-05-21T00:00:00"/>
    <x v="8"/>
    <x v="2"/>
    <d v="2025-05-23T00:00:00"/>
    <n v="2"/>
    <x v="0"/>
    <x v="11"/>
    <s v="Johannesburg"/>
    <s v="Africa &gt; South Africa &gt; Johannesburg"/>
    <s v="Non-Profit"/>
    <x v="3"/>
    <x v="7"/>
    <x v="4"/>
    <x v="173"/>
    <n v="1263.8399999999999"/>
    <n v="2281.7199999999998"/>
    <s v="High"/>
    <n v="7.8E-2"/>
    <n v="15"/>
    <n v="31556.187599999997"/>
    <n v="18957.599999999999"/>
    <n v="12598.587599999999"/>
    <n v="0.39924301882398494"/>
    <n v="202505"/>
    <n v="202301"/>
    <s v="May-2023"/>
    <x v="8"/>
  </r>
  <r>
    <x v="174"/>
    <d v="2024-05-23T00:00:00"/>
    <x v="7"/>
    <x v="2"/>
    <d v="2024-06-03T00:00:00"/>
    <n v="11"/>
    <x v="0"/>
    <x v="11"/>
    <s v="Johannesburg"/>
    <s v="Africa &gt; South Africa &gt; Johannesburg"/>
    <s v="Small Business"/>
    <x v="3"/>
    <x v="9"/>
    <x v="1"/>
    <x v="174"/>
    <n v="180.89"/>
    <n v="249.57"/>
    <s v="Low"/>
    <n v="2.1999999999999999E-2"/>
    <n v="8"/>
    <n v="1952.6356799999999"/>
    <n v="1447.12"/>
    <n v="505.51567999999997"/>
    <n v="0.25888888806948362"/>
    <n v="202405"/>
    <n v="202301"/>
    <s v="May-2023"/>
    <x v="7"/>
  </r>
  <r>
    <x v="175"/>
    <d v="2025-04-14T00:00:00"/>
    <x v="19"/>
    <x v="2"/>
    <d v="2025-05-04T00:00:00"/>
    <n v="20"/>
    <x v="3"/>
    <x v="8"/>
    <s v="Birmingham"/>
    <s v="Europe &gt; United Kingdom &gt; Birmingham"/>
    <s v="Enterprise"/>
    <x v="2"/>
    <x v="11"/>
    <x v="5"/>
    <x v="175"/>
    <n v="1413.87"/>
    <n v="3275"/>
    <s v="High"/>
    <n v="0.255"/>
    <n v="38"/>
    <n v="92715.25"/>
    <n v="53727.06"/>
    <n v="38988.19"/>
    <n v="0.42051539525590453"/>
    <n v="202504"/>
    <n v="202301"/>
    <s v="Apr-2023"/>
    <x v="18"/>
  </r>
  <r>
    <x v="176"/>
    <d v="2023-08-27T00:00:00"/>
    <x v="25"/>
    <x v="3"/>
    <d v="2023-09-11T00:00:00"/>
    <n v="15"/>
    <x v="3"/>
    <x v="8"/>
    <s v="London"/>
    <s v="Europe &gt; United Kingdom &gt; London"/>
    <s v="Consumer"/>
    <x v="2"/>
    <x v="13"/>
    <x v="1"/>
    <x v="176"/>
    <n v="943.79"/>
    <n v="1913.76"/>
    <s v="Medium"/>
    <n v="9.0999999999999998E-2"/>
    <n v="9"/>
    <n v="15656.47056"/>
    <n v="8494.11"/>
    <n v="7162.3605599999992"/>
    <n v="0.45746967891338081"/>
    <n v="202308"/>
    <n v="202301"/>
    <s v="Aug-2023"/>
    <x v="25"/>
  </r>
  <r>
    <x v="177"/>
    <d v="2024-02-03T00:00:00"/>
    <x v="31"/>
    <x v="0"/>
    <d v="2024-02-21T00:00:00"/>
    <n v="18"/>
    <x v="3"/>
    <x v="6"/>
    <s v="Frankfurt"/>
    <s v="Europe &gt; Germany &gt; Frankfurt"/>
    <s v="Corporate"/>
    <x v="0"/>
    <x v="10"/>
    <x v="0"/>
    <x v="177"/>
    <n v="39.229999999999997"/>
    <n v="30.09"/>
    <s v="Low"/>
    <n v="0.17699999999999999"/>
    <n v="13"/>
    <n v="321.93290999999999"/>
    <n v="509.98999999999995"/>
    <n v="-188.05708999999996"/>
    <n v="-0.58414993981199359"/>
    <n v="202402"/>
    <n v="202301"/>
    <s v="Feb-2023"/>
    <x v="32"/>
  </r>
  <r>
    <x v="178"/>
    <d v="2023-04-05T00:00:00"/>
    <x v="12"/>
    <x v="2"/>
    <d v="2023-04-16T00:00:00"/>
    <n v="11"/>
    <x v="2"/>
    <x v="3"/>
    <s v="Vancouver"/>
    <s v="Americas &gt; Canada &gt; Vancouver"/>
    <s v="Non-Profit"/>
    <x v="1"/>
    <x v="7"/>
    <x v="5"/>
    <x v="178"/>
    <n v="213.1"/>
    <n v="501.31"/>
    <s v="Low"/>
    <n v="5.6000000000000001E-2"/>
    <n v="15"/>
    <n v="7098.5495999999994"/>
    <n v="3196.5"/>
    <n v="3902.0495999999994"/>
    <n v="0.54969674368409005"/>
    <n v="202304"/>
    <n v="202301"/>
    <s v="Apr-2023"/>
    <x v="12"/>
  </r>
  <r>
    <x v="179"/>
    <d v="2025-08-21T00:00:00"/>
    <x v="28"/>
    <x v="3"/>
    <d v="2025-09-12T00:00:00"/>
    <n v="22"/>
    <x v="1"/>
    <x v="9"/>
    <s v="Shenzhen"/>
    <s v="Asia &gt; China &gt; Shenzhen"/>
    <s v="Education"/>
    <x v="0"/>
    <x v="5"/>
    <x v="1"/>
    <x v="179"/>
    <n v="352.66"/>
    <n v="411.18"/>
    <s v="Low"/>
    <n v="0.17299999999999999"/>
    <n v="13"/>
    <n v="4420.5961799999995"/>
    <n v="4584.58"/>
    <n v="-163.98382000000038"/>
    <n v="-3.7095408248758066E-2"/>
    <n v="202508"/>
    <n v="202301"/>
    <s v="Aug-2023"/>
    <x v="29"/>
  </r>
  <r>
    <x v="180"/>
    <d v="2025-09-15T00:00:00"/>
    <x v="11"/>
    <x v="3"/>
    <d v="2025-09-18T00:00:00"/>
    <n v="3"/>
    <x v="2"/>
    <x v="5"/>
    <s v="Rio de Janeiro"/>
    <s v="Americas &gt; Brazil &gt; Rio de Janeiro"/>
    <s v="Non-Profit"/>
    <x v="4"/>
    <x v="4"/>
    <x v="6"/>
    <x v="180"/>
    <n v="5.5"/>
    <n v="5.92"/>
    <s v="Low"/>
    <n v="0.21199999999999999"/>
    <n v="4"/>
    <n v="18.659839999999999"/>
    <n v="22"/>
    <n v="-3.3401600000000009"/>
    <n v="-0.17900260666758133"/>
    <n v="202509"/>
    <n v="202301"/>
    <s v="Sept-2023"/>
    <x v="11"/>
  </r>
  <r>
    <x v="181"/>
    <d v="2024-10-03T00:00:00"/>
    <x v="1"/>
    <x v="1"/>
    <d v="2024-10-11T00:00:00"/>
    <n v="8"/>
    <x v="1"/>
    <x v="9"/>
    <s v="Beijing"/>
    <s v="Asia &gt; China &gt; Beijing"/>
    <s v="Enterprise"/>
    <x v="4"/>
    <x v="5"/>
    <x v="3"/>
    <x v="181"/>
    <n v="1132.6099999999999"/>
    <n v="2206.63"/>
    <s v="High"/>
    <n v="6.3E-2"/>
    <n v="20"/>
    <n v="41352.246200000009"/>
    <n v="22652.199999999997"/>
    <n v="18700.046200000012"/>
    <n v="0.45221355351671338"/>
    <n v="202410"/>
    <n v="202301"/>
    <s v="Oct-2023"/>
    <x v="1"/>
  </r>
  <r>
    <x v="182"/>
    <d v="2025-02-02T00:00:00"/>
    <x v="26"/>
    <x v="0"/>
    <d v="2025-03-04T00:00:00"/>
    <n v="30"/>
    <x v="1"/>
    <x v="2"/>
    <s v="Osaka"/>
    <s v="Asia &gt; Japan &gt; Osaka"/>
    <s v="Education"/>
    <x v="3"/>
    <x v="4"/>
    <x v="6"/>
    <x v="182"/>
    <n v="766.59"/>
    <n v="1912.8"/>
    <s v="Medium"/>
    <n v="0.19600000000000001"/>
    <n v="5"/>
    <n v="7689.4560000000001"/>
    <n v="3832.9500000000003"/>
    <n v="3856.5059999999999"/>
    <n v="0.50153170783472845"/>
    <n v="202502"/>
    <n v="202303"/>
    <s v="Feb-2023"/>
    <x v="6"/>
  </r>
  <r>
    <x v="183"/>
    <d v="2023-08-19T00:00:00"/>
    <x v="25"/>
    <x v="3"/>
    <d v="2023-08-23T00:00:00"/>
    <n v="4"/>
    <x v="0"/>
    <x v="1"/>
    <s v="Abuja"/>
    <s v="Africa &gt; Nigeria &gt; Abuja"/>
    <s v="Small Business"/>
    <x v="1"/>
    <x v="1"/>
    <x v="5"/>
    <x v="183"/>
    <n v="790.63"/>
    <n v="1382.31"/>
    <s v="Medium"/>
    <n v="0.10100000000000001"/>
    <n v="7"/>
    <n v="8698.8768300000011"/>
    <n v="5534.41"/>
    <n v="3164.4668300000012"/>
    <n v="0.36377878338116448"/>
    <n v="202308"/>
    <n v="202301"/>
    <s v="Aug-2023"/>
    <x v="25"/>
  </r>
  <r>
    <x v="184"/>
    <d v="2024-10-22T00:00:00"/>
    <x v="1"/>
    <x v="1"/>
    <d v="2024-10-29T00:00:00"/>
    <n v="7"/>
    <x v="0"/>
    <x v="1"/>
    <s v="Port Harcourt"/>
    <s v="Africa &gt; Nigeria &gt; Port Harcourt"/>
    <s v="Enterprise"/>
    <x v="3"/>
    <x v="12"/>
    <x v="5"/>
    <x v="184"/>
    <n v="1023.06"/>
    <n v="1355.61"/>
    <s v="High"/>
    <n v="0.153"/>
    <n v="23"/>
    <n v="26408.63841"/>
    <n v="23530.379999999997"/>
    <n v="2878.2584100000022"/>
    <n v="0.10898927711888809"/>
    <n v="202410"/>
    <n v="202301"/>
    <s v="Oct-2023"/>
    <x v="1"/>
  </r>
  <r>
    <x v="185"/>
    <d v="2023-06-22T00:00:00"/>
    <x v="23"/>
    <x v="2"/>
    <d v="2023-07-21T00:00:00"/>
    <n v="29"/>
    <x v="3"/>
    <x v="7"/>
    <s v="Lyon"/>
    <s v="Europe &gt; France &gt; Lyon"/>
    <s v="Corporate"/>
    <x v="0"/>
    <x v="1"/>
    <x v="6"/>
    <x v="185"/>
    <n v="734.34"/>
    <n v="887.9"/>
    <s v="Medium"/>
    <n v="2.5000000000000001E-2"/>
    <n v="12"/>
    <n v="10388.429999999998"/>
    <n v="8812.08"/>
    <n v="1576.3499999999985"/>
    <n v="0.15174092716608753"/>
    <n v="202306"/>
    <n v="202301"/>
    <s v="Jun-2023"/>
    <x v="22"/>
  </r>
  <r>
    <x v="186"/>
    <d v="2025-01-13T00:00:00"/>
    <x v="10"/>
    <x v="0"/>
    <d v="2025-02-08T00:00:00"/>
    <n v="26"/>
    <x v="3"/>
    <x v="7"/>
    <s v="Paris"/>
    <s v="Europe &gt; France &gt; Paris"/>
    <s v="Non-Profit"/>
    <x v="5"/>
    <x v="6"/>
    <x v="5"/>
    <x v="186"/>
    <n v="594.74"/>
    <n v="1020.69"/>
    <s v="Medium"/>
    <n v="0.21099999999999999"/>
    <n v="6"/>
    <n v="4831.9464600000001"/>
    <n v="3568.44"/>
    <n v="1263.5064600000001"/>
    <n v="0.26149016146176424"/>
    <n v="202501"/>
    <n v="202301"/>
    <s v="Jan-2023"/>
    <x v="24"/>
  </r>
  <r>
    <x v="129"/>
    <d v="2023-01-29T00:00:00"/>
    <x v="5"/>
    <x v="0"/>
    <d v="2023-02-28T00:00:00"/>
    <n v="30"/>
    <x v="1"/>
    <x v="4"/>
    <s v="Bengaluru"/>
    <s v="Asia &gt; India &gt; Bengaluru"/>
    <s v="Non-Profit"/>
    <x v="0"/>
    <x v="5"/>
    <x v="6"/>
    <x v="187"/>
    <n v="1262.0999999999999"/>
    <n v="1395.53"/>
    <s v="High"/>
    <n v="0.23300000000000001"/>
    <n v="25"/>
    <n v="26759.28775"/>
    <n v="31552.499999999996"/>
    <n v="-4793.2122499999969"/>
    <n v="-0.17912331205452198"/>
    <n v="202301"/>
    <n v="202301"/>
    <s v="Jan-2023"/>
    <x v="5"/>
  </r>
  <r>
    <x v="187"/>
    <d v="2023-07-19T00:00:00"/>
    <x v="24"/>
    <x v="3"/>
    <d v="2023-07-31T00:00:00"/>
    <n v="12"/>
    <x v="2"/>
    <x v="5"/>
    <s v="Rio de Janeiro"/>
    <s v="Americas &gt; Brazil &gt; Rio de Janeiro"/>
    <s v="Corporate"/>
    <x v="0"/>
    <x v="0"/>
    <x v="5"/>
    <x v="188"/>
    <n v="1334.64"/>
    <n v="2273.42"/>
    <s v="High"/>
    <n v="0.11799999999999999"/>
    <n v="14"/>
    <n v="28072.190160000002"/>
    <n v="18684.960000000003"/>
    <n v="9387.2301599999992"/>
    <n v="0.33439607335575267"/>
    <n v="202307"/>
    <n v="202301"/>
    <s v="Jul-2023"/>
    <x v="23"/>
  </r>
  <r>
    <x v="188"/>
    <d v="2024-05-19T00:00:00"/>
    <x v="7"/>
    <x v="2"/>
    <d v="2024-06-08T00:00:00"/>
    <n v="20"/>
    <x v="2"/>
    <x v="5"/>
    <s v="Brasília"/>
    <s v="Americas &gt; Brazil &gt; Brasília"/>
    <s v="Small Business"/>
    <x v="0"/>
    <x v="6"/>
    <x v="5"/>
    <x v="189"/>
    <n v="1075.9000000000001"/>
    <n v="1242.1500000000001"/>
    <s v="High"/>
    <n v="1.2E-2"/>
    <n v="7"/>
    <n v="8590.7094000000016"/>
    <n v="7531.3000000000011"/>
    <n v="1059.4094000000005"/>
    <n v="0.12332036280961853"/>
    <n v="202405"/>
    <n v="202301"/>
    <s v="May-2023"/>
    <x v="7"/>
  </r>
  <r>
    <x v="189"/>
    <d v="2024-02-03T00:00:00"/>
    <x v="31"/>
    <x v="0"/>
    <d v="2024-02-19T00:00:00"/>
    <n v="16"/>
    <x v="1"/>
    <x v="9"/>
    <s v="Shenzhen"/>
    <s v="Asia &gt; China &gt; Shenzhen"/>
    <s v="Small Business"/>
    <x v="1"/>
    <x v="10"/>
    <x v="4"/>
    <x v="190"/>
    <n v="993.75"/>
    <n v="1310.29"/>
    <s v="Medium"/>
    <n v="0.215"/>
    <n v="19"/>
    <n v="19542.975350000001"/>
    <n v="18881.25"/>
    <n v="661.72535000000062"/>
    <n v="3.3860010471742245E-2"/>
    <n v="202402"/>
    <n v="202301"/>
    <s v="Feb-2023"/>
    <x v="32"/>
  </r>
  <r>
    <x v="190"/>
    <d v="2023-08-08T00:00:00"/>
    <x v="25"/>
    <x v="3"/>
    <d v="2023-08-22T00:00:00"/>
    <n v="14"/>
    <x v="3"/>
    <x v="8"/>
    <s v="Birmingham"/>
    <s v="Europe &gt; United Kingdom &gt; Birmingham"/>
    <s v="Non-Profit"/>
    <x v="4"/>
    <x v="13"/>
    <x v="5"/>
    <x v="191"/>
    <n v="446.69"/>
    <n v="967.25"/>
    <s v="Low"/>
    <n v="9.4E-2"/>
    <n v="10"/>
    <n v="8763.2849999999999"/>
    <n v="4466.8999999999996"/>
    <n v="4296.3850000000002"/>
    <n v="0.49027105702941309"/>
    <n v="202308"/>
    <n v="202301"/>
    <s v="Aug-2023"/>
    <x v="25"/>
  </r>
  <r>
    <x v="191"/>
    <d v="2024-08-12T00:00:00"/>
    <x v="21"/>
    <x v="3"/>
    <d v="2024-09-03T00:00:00"/>
    <n v="22"/>
    <x v="2"/>
    <x v="10"/>
    <s v="Austin"/>
    <s v="Americas &gt; USA &gt; Austin"/>
    <s v="Consumer"/>
    <x v="3"/>
    <x v="2"/>
    <x v="4"/>
    <x v="192"/>
    <n v="797.8"/>
    <n v="886.22"/>
    <s v="Medium"/>
    <n v="0.23599999999999999"/>
    <n v="36"/>
    <n v="24374.594880000001"/>
    <n v="28720.799999999999"/>
    <n v="-4346.2051199999987"/>
    <n v="-0.17830881462428633"/>
    <n v="202408"/>
    <n v="202301"/>
    <s v="Aug-2023"/>
    <x v="20"/>
  </r>
  <r>
    <x v="192"/>
    <d v="2023-10-15T00:00:00"/>
    <x v="32"/>
    <x v="1"/>
    <d v="2023-11-13T00:00:00"/>
    <n v="29"/>
    <x v="1"/>
    <x v="9"/>
    <s v="Shenzhen"/>
    <s v="Asia &gt; China &gt; Shenzhen"/>
    <s v="Non-Profit"/>
    <x v="3"/>
    <x v="1"/>
    <x v="1"/>
    <x v="193"/>
    <n v="986.44"/>
    <n v="790.61"/>
    <s v="Medium"/>
    <n v="7.1999999999999995E-2"/>
    <n v="6"/>
    <n v="4402.1164799999997"/>
    <n v="5918.64"/>
    <n v="-1516.5235200000006"/>
    <n v="-0.34449872621271499"/>
    <n v="202310"/>
    <n v="202301"/>
    <s v="Oct-2023"/>
    <x v="4"/>
  </r>
  <r>
    <x v="193"/>
    <d v="2023-05-04T00:00:00"/>
    <x v="15"/>
    <x v="2"/>
    <d v="2023-05-26T00:00:00"/>
    <n v="22"/>
    <x v="2"/>
    <x v="10"/>
    <s v="San Francisco"/>
    <s v="Americas &gt; USA &gt; San Francisco"/>
    <s v="Enterprise"/>
    <x v="1"/>
    <x v="1"/>
    <x v="2"/>
    <x v="194"/>
    <n v="249.71"/>
    <n v="361.33"/>
    <s v="Low"/>
    <n v="9.4E-2"/>
    <n v="12"/>
    <n v="3928.3797600000003"/>
    <n v="2996.52"/>
    <n v="931.85976000000028"/>
    <n v="0.23721223937881206"/>
    <n v="202305"/>
    <n v="202301"/>
    <s v="May-2023"/>
    <x v="15"/>
  </r>
  <r>
    <x v="194"/>
    <d v="2024-09-22T00:00:00"/>
    <x v="29"/>
    <x v="3"/>
    <d v="2024-10-01T00:00:00"/>
    <n v="9"/>
    <x v="2"/>
    <x v="5"/>
    <s v="São Paulo"/>
    <s v="Americas &gt; Brazil &gt; São Paulo"/>
    <s v="Non-Profit"/>
    <x v="1"/>
    <x v="11"/>
    <x v="5"/>
    <x v="195"/>
    <n v="1378.8"/>
    <n v="1952.04"/>
    <s v="High"/>
    <n v="0.159"/>
    <n v="19"/>
    <n v="31191.64716"/>
    <n v="26197.200000000001"/>
    <n v="4994.4471599999997"/>
    <n v="0.16012130216723058"/>
    <n v="202409"/>
    <n v="202301"/>
    <s v="Sept-2023"/>
    <x v="30"/>
  </r>
  <r>
    <x v="195"/>
    <d v="2024-10-23T00:00:00"/>
    <x v="1"/>
    <x v="1"/>
    <d v="2024-11-14T00:00:00"/>
    <n v="22"/>
    <x v="1"/>
    <x v="2"/>
    <s v="Osaka"/>
    <s v="Asia &gt; Japan &gt; Osaka"/>
    <s v="Non-Profit"/>
    <x v="4"/>
    <x v="5"/>
    <x v="3"/>
    <x v="196"/>
    <n v="1406.4"/>
    <n v="1564.76"/>
    <s v="High"/>
    <n v="0.185"/>
    <n v="17"/>
    <n v="21679.749799999998"/>
    <n v="23908.800000000003"/>
    <n v="-2229.0502000000051"/>
    <n v="-0.10281715520536151"/>
    <n v="202410"/>
    <n v="202303"/>
    <s v="Oct-2023"/>
    <x v="20"/>
  </r>
  <r>
    <x v="196"/>
    <d v="2024-02-11T00:00:00"/>
    <x v="31"/>
    <x v="0"/>
    <d v="2024-03-03T00:00:00"/>
    <n v="21"/>
    <x v="0"/>
    <x v="0"/>
    <s v="Kisumu"/>
    <s v="Africa &gt; Kenya &gt; Kisumu"/>
    <s v="Enterprise"/>
    <x v="1"/>
    <x v="5"/>
    <x v="3"/>
    <x v="197"/>
    <n v="516.86"/>
    <n v="852.54"/>
    <s v="Medium"/>
    <n v="5.0999999999999997E-2"/>
    <n v="14"/>
    <n v="11326.846439999999"/>
    <n v="7236.04"/>
    <n v="4090.8064399999994"/>
    <n v="0.36116022775355994"/>
    <n v="202402"/>
    <n v="202301"/>
    <s v="Feb-2023"/>
    <x v="32"/>
  </r>
  <r>
    <x v="197"/>
    <d v="2023-01-30T00:00:00"/>
    <x v="5"/>
    <x v="0"/>
    <d v="2023-02-21T00:00:00"/>
    <n v="22"/>
    <x v="3"/>
    <x v="6"/>
    <s v="Munich"/>
    <s v="Europe &gt; Germany &gt; Munich"/>
    <s v="Small Business"/>
    <x v="2"/>
    <x v="3"/>
    <x v="2"/>
    <x v="198"/>
    <n v="1142.8800000000001"/>
    <n v="1465.29"/>
    <s v="High"/>
    <n v="0.186"/>
    <n v="7"/>
    <n v="8349.2224200000001"/>
    <n v="8000.1600000000008"/>
    <n v="349.06241999999929"/>
    <n v="4.1807775915017401E-2"/>
    <n v="202301"/>
    <n v="202301"/>
    <s v="Jan-2023"/>
    <x v="5"/>
  </r>
  <r>
    <x v="198"/>
    <d v="2023-04-14T00:00:00"/>
    <x v="12"/>
    <x v="2"/>
    <d v="2023-05-13T00:00:00"/>
    <n v="29"/>
    <x v="3"/>
    <x v="6"/>
    <s v="Frankfurt"/>
    <s v="Europe &gt; Germany &gt; Frankfurt"/>
    <s v="Consumer"/>
    <x v="4"/>
    <x v="1"/>
    <x v="1"/>
    <x v="199"/>
    <n v="1320.33"/>
    <n v="2645.23"/>
    <s v="High"/>
    <n v="0.155"/>
    <n v="25"/>
    <n v="55880.483749999999"/>
    <n v="33008.25"/>
    <n v="22872.233749999999"/>
    <n v="0.40930629470436536"/>
    <n v="202304"/>
    <n v="202301"/>
    <s v="Apr-2023"/>
    <x v="12"/>
  </r>
  <r>
    <x v="199"/>
    <d v="2023-01-13T00:00:00"/>
    <x v="5"/>
    <x v="0"/>
    <d v="2023-01-19T00:00:00"/>
    <n v="6"/>
    <x v="2"/>
    <x v="10"/>
    <s v="Chicago"/>
    <s v="Americas &gt; USA &gt; Chicago"/>
    <s v="Corporate"/>
    <x v="4"/>
    <x v="10"/>
    <x v="3"/>
    <x v="200"/>
    <n v="833.57"/>
    <n v="881.57"/>
    <s v="Medium"/>
    <n v="5.7000000000000002E-2"/>
    <n v="18"/>
    <n v="14963.769179999999"/>
    <n v="15004.26"/>
    <n v="-40.490820000000895"/>
    <n v="-2.7059238560107821E-3"/>
    <n v="202301"/>
    <n v="202301"/>
    <s v="Jan-2023"/>
    <x v="5"/>
  </r>
  <r>
    <x v="200"/>
    <d v="2024-01-12T00:00:00"/>
    <x v="9"/>
    <x v="0"/>
    <d v="2024-01-29T00:00:00"/>
    <n v="17"/>
    <x v="2"/>
    <x v="10"/>
    <s v="Chicago"/>
    <s v="Americas &gt; USA &gt; Chicago"/>
    <s v="Education"/>
    <x v="3"/>
    <x v="8"/>
    <x v="1"/>
    <x v="201"/>
    <n v="493.76"/>
    <n v="625.04"/>
    <s v="Low"/>
    <n v="0.25800000000000001"/>
    <n v="10"/>
    <n v="4637.7968000000001"/>
    <n v="4937.6000000000004"/>
    <n v="-299.80320000000029"/>
    <n v="-6.464345311549663E-2"/>
    <n v="202401"/>
    <n v="202301"/>
    <s v="Jan-2023"/>
    <x v="9"/>
  </r>
  <r>
    <x v="201"/>
    <d v="2023-08-15T00:00:00"/>
    <x v="25"/>
    <x v="3"/>
    <d v="2023-09-07T00:00:00"/>
    <n v="23"/>
    <x v="2"/>
    <x v="10"/>
    <s v="New York"/>
    <s v="Americas &gt; USA &gt; New York"/>
    <s v="Enterprise"/>
    <x v="1"/>
    <x v="11"/>
    <x v="3"/>
    <x v="202"/>
    <n v="590.33000000000004"/>
    <n v="973.04"/>
    <s v="Medium"/>
    <n v="0"/>
    <n v="26"/>
    <n v="25299.040000000001"/>
    <n v="15348.580000000002"/>
    <n v="9950.4599999999991"/>
    <n v="0.39331373838691108"/>
    <n v="202308"/>
    <n v="202301"/>
    <s v="Aug-2023"/>
    <x v="25"/>
  </r>
  <r>
    <x v="202"/>
    <d v="2023-01-20T00:00:00"/>
    <x v="5"/>
    <x v="0"/>
    <d v="2023-02-03T00:00:00"/>
    <n v="14"/>
    <x v="0"/>
    <x v="0"/>
    <s v="Kisumu"/>
    <s v="Africa &gt; Kenya &gt; Kisumu"/>
    <s v="Corporate"/>
    <x v="0"/>
    <x v="12"/>
    <x v="2"/>
    <x v="203"/>
    <n v="884.36"/>
    <n v="1545.34"/>
    <s v="Medium"/>
    <n v="0.24299999999999999"/>
    <n v="41"/>
    <n v="47962.717579999997"/>
    <n v="36258.76"/>
    <n v="11703.957579999995"/>
    <n v="0.24402198562827965"/>
    <n v="202301"/>
    <n v="202301"/>
    <s v="Jan-2023"/>
    <x v="5"/>
  </r>
  <r>
    <x v="203"/>
    <d v="2025-02-04T00:00:00"/>
    <x v="26"/>
    <x v="0"/>
    <d v="2025-02-25T00:00:00"/>
    <n v="21"/>
    <x v="3"/>
    <x v="8"/>
    <s v="Birmingham"/>
    <s v="Europe &gt; United Kingdom &gt; Birmingham"/>
    <s v="Corporate"/>
    <x v="2"/>
    <x v="14"/>
    <x v="5"/>
    <x v="204"/>
    <n v="1016.32"/>
    <n v="2253.42"/>
    <s v="High"/>
    <n v="5.5E-2"/>
    <n v="12"/>
    <n v="25553.782800000001"/>
    <n v="12195.84"/>
    <n v="13357.942800000001"/>
    <n v="0.52273837124419797"/>
    <n v="202502"/>
    <n v="202301"/>
    <s v="Feb-2023"/>
    <x v="26"/>
  </r>
  <r>
    <x v="204"/>
    <d v="2023-04-19T00:00:00"/>
    <x v="12"/>
    <x v="2"/>
    <d v="2023-04-28T00:00:00"/>
    <n v="9"/>
    <x v="3"/>
    <x v="6"/>
    <s v="Berlin"/>
    <s v="Europe &gt; Germany &gt; Berlin"/>
    <s v="Education"/>
    <x v="1"/>
    <x v="6"/>
    <x v="5"/>
    <x v="205"/>
    <n v="1178.42"/>
    <n v="2446.56"/>
    <s v="High"/>
    <n v="2.9000000000000001E-2"/>
    <n v="11"/>
    <n v="26131.70736"/>
    <n v="12962.62"/>
    <n v="13169.08736"/>
    <n v="0.5039505141618883"/>
    <n v="202304"/>
    <n v="202301"/>
    <s v="Apr-2023"/>
    <x v="12"/>
  </r>
  <r>
    <x v="205"/>
    <d v="2023-07-02T00:00:00"/>
    <x v="24"/>
    <x v="3"/>
    <d v="2023-08-01T00:00:00"/>
    <n v="30"/>
    <x v="3"/>
    <x v="8"/>
    <s v="Birmingham"/>
    <s v="Europe &gt; United Kingdom &gt; Birmingham"/>
    <s v="Small Business"/>
    <x v="0"/>
    <x v="5"/>
    <x v="0"/>
    <x v="206"/>
    <n v="137.46"/>
    <n v="188.3"/>
    <s v="Low"/>
    <n v="3.7999999999999999E-2"/>
    <n v="37"/>
    <n v="6702.3501999999999"/>
    <n v="5086.0200000000004"/>
    <n v="1616.3301999999994"/>
    <n v="0.24115872071262398"/>
    <n v="202307"/>
    <n v="202301"/>
    <s v="Jul-2023"/>
    <x v="23"/>
  </r>
  <r>
    <x v="206"/>
    <d v="2025-01-21T00:00:00"/>
    <x v="10"/>
    <x v="0"/>
    <d v="2025-02-14T00:00:00"/>
    <n v="24"/>
    <x v="0"/>
    <x v="0"/>
    <s v="Nairobi"/>
    <s v="Africa &gt; Kenya &gt; Nairobi"/>
    <s v="Small Business"/>
    <x v="0"/>
    <x v="1"/>
    <x v="6"/>
    <x v="207"/>
    <n v="1030.44"/>
    <n v="2562.84"/>
    <s v="High"/>
    <n v="0.14799999999999999"/>
    <n v="13"/>
    <n v="28386.015839999996"/>
    <n v="13395.720000000001"/>
    <n v="14990.295839999995"/>
    <n v="0.52808734852027039"/>
    <n v="202501"/>
    <n v="202301"/>
    <s v="Jan-2023"/>
    <x v="24"/>
  </r>
  <r>
    <x v="207"/>
    <d v="2024-09-10T00:00:00"/>
    <x v="29"/>
    <x v="3"/>
    <d v="2024-10-07T00:00:00"/>
    <n v="27"/>
    <x v="0"/>
    <x v="0"/>
    <s v="Kisumu"/>
    <s v="Africa &gt; Kenya &gt; Kisumu"/>
    <s v="Consumer"/>
    <x v="0"/>
    <x v="4"/>
    <x v="1"/>
    <x v="208"/>
    <n v="1248.3900000000001"/>
    <n v="1805.11"/>
    <s v="High"/>
    <n v="0.20300000000000001"/>
    <n v="11"/>
    <n v="15825.399369999997"/>
    <n v="13732.29"/>
    <n v="2093.1093699999965"/>
    <n v="0.13226265707820786"/>
    <n v="202409"/>
    <n v="202301"/>
    <s v="Sept-2023"/>
    <x v="30"/>
  </r>
  <r>
    <x v="208"/>
    <d v="2025-07-21T00:00:00"/>
    <x v="13"/>
    <x v="3"/>
    <d v="2025-08-07T00:00:00"/>
    <n v="17"/>
    <x v="0"/>
    <x v="1"/>
    <s v="Lagos"/>
    <s v="Africa &gt; Nigeria &gt; Lagos"/>
    <s v="Enterprise"/>
    <x v="4"/>
    <x v="12"/>
    <x v="6"/>
    <x v="209"/>
    <n v="1204.95"/>
    <n v="2065.73"/>
    <s v="High"/>
    <n v="0.13600000000000001"/>
    <n v="10"/>
    <n v="17847.907199999998"/>
    <n v="12049.5"/>
    <n v="5798.4071999999978"/>
    <n v="0.32487882949100039"/>
    <n v="202507"/>
    <n v="202301"/>
    <s v="Jul-2023"/>
    <x v="13"/>
  </r>
  <r>
    <x v="209"/>
    <d v="2024-10-02T00:00:00"/>
    <x v="1"/>
    <x v="1"/>
    <d v="2024-10-23T00:00:00"/>
    <n v="21"/>
    <x v="0"/>
    <x v="11"/>
    <s v="Durban"/>
    <s v="Africa &gt; South Africa &gt; Durban"/>
    <s v="Corporate"/>
    <x v="2"/>
    <x v="8"/>
    <x v="0"/>
    <x v="210"/>
    <n v="1095.6099999999999"/>
    <n v="2366.5100000000002"/>
    <s v="High"/>
    <n v="0.152"/>
    <n v="9"/>
    <n v="18061.204320000004"/>
    <n v="9860.49"/>
    <n v="8200.7143200000046"/>
    <n v="0.4540513564158607"/>
    <n v="202410"/>
    <n v="202301"/>
    <s v="Oct-2023"/>
    <x v="1"/>
  </r>
  <r>
    <x v="210"/>
    <d v="2025-07-14T00:00:00"/>
    <x v="13"/>
    <x v="3"/>
    <d v="2025-08-04T00:00:00"/>
    <n v="21"/>
    <x v="2"/>
    <x v="3"/>
    <s v="Montreal"/>
    <s v="Americas &gt; Canada &gt; Montreal"/>
    <s v="Consumer"/>
    <x v="1"/>
    <x v="10"/>
    <x v="5"/>
    <x v="211"/>
    <n v="90.3"/>
    <n v="131.76"/>
    <s v="Low"/>
    <n v="0.10199999999999999"/>
    <n v="15"/>
    <n v="1774.8072"/>
    <n v="1354.5"/>
    <n v="420.30719999999997"/>
    <n v="0.23681851189244668"/>
    <n v="202507"/>
    <n v="202301"/>
    <s v="Jul-2023"/>
    <x v="13"/>
  </r>
  <r>
    <x v="211"/>
    <d v="2024-09-09T00:00:00"/>
    <x v="29"/>
    <x v="3"/>
    <d v="2024-10-01T00:00:00"/>
    <n v="22"/>
    <x v="1"/>
    <x v="9"/>
    <s v="Shenzhen"/>
    <s v="Asia &gt; China &gt; Shenzhen"/>
    <s v="Consumer"/>
    <x v="4"/>
    <x v="4"/>
    <x v="1"/>
    <x v="212"/>
    <n v="1166.18"/>
    <n v="1335.02"/>
    <s v="High"/>
    <n v="0.128"/>
    <n v="6"/>
    <n v="6984.8246399999998"/>
    <n v="6997.08"/>
    <n v="-12.25536000000011"/>
    <n v="-1.7545694604582242E-3"/>
    <n v="202409"/>
    <n v="202301"/>
    <s v="Sept-2023"/>
    <x v="30"/>
  </r>
  <r>
    <x v="212"/>
    <d v="2025-01-29T00:00:00"/>
    <x v="10"/>
    <x v="0"/>
    <d v="2025-02-06T00:00:00"/>
    <n v="8"/>
    <x v="0"/>
    <x v="0"/>
    <s v="Kisumu"/>
    <s v="Africa &gt; Kenya &gt; Kisumu"/>
    <s v="Education"/>
    <x v="0"/>
    <x v="5"/>
    <x v="3"/>
    <x v="213"/>
    <n v="1445.27"/>
    <n v="2691.45"/>
    <s v="High"/>
    <n v="0"/>
    <n v="9"/>
    <n v="24223.05"/>
    <n v="13007.43"/>
    <n v="11215.619999999999"/>
    <n v="0.46301436028906351"/>
    <n v="202501"/>
    <n v="202301"/>
    <s v="Jan-2023"/>
    <x v="24"/>
  </r>
  <r>
    <x v="213"/>
    <d v="2023-11-10T00:00:00"/>
    <x v="30"/>
    <x v="1"/>
    <d v="2023-11-28T00:00:00"/>
    <n v="18"/>
    <x v="2"/>
    <x v="5"/>
    <s v="Brasília"/>
    <s v="Americas &gt; Brazil &gt; Brasília"/>
    <s v="Education"/>
    <x v="2"/>
    <x v="4"/>
    <x v="6"/>
    <x v="214"/>
    <n v="388.51"/>
    <n v="776.46"/>
    <s v="Low"/>
    <n v="0.157"/>
    <n v="12"/>
    <n v="7854.6693599999999"/>
    <n v="4662.12"/>
    <n v="3192.54936"/>
    <n v="0.40645241876864946"/>
    <n v="202311"/>
    <n v="202301"/>
    <s v="Nov-2023"/>
    <x v="31"/>
  </r>
  <r>
    <x v="214"/>
    <d v="2024-02-29T00:00:00"/>
    <x v="31"/>
    <x v="0"/>
    <d v="2024-03-30T00:00:00"/>
    <n v="30"/>
    <x v="1"/>
    <x v="2"/>
    <s v="Nagoya"/>
    <s v="Asia &gt; Japan &gt; Nagoya"/>
    <s v="Small Business"/>
    <x v="4"/>
    <x v="2"/>
    <x v="2"/>
    <x v="215"/>
    <n v="231.11"/>
    <n v="318.17"/>
    <s v="Low"/>
    <n v="0.20100000000000001"/>
    <n v="60"/>
    <n v="15253.069799999999"/>
    <n v="13866.6"/>
    <n v="1386.4697999999989"/>
    <n v="9.0897754889969692E-2"/>
    <n v="202402"/>
    <n v="202303"/>
    <s v="Feb-2023"/>
    <x v="27"/>
  </r>
  <r>
    <x v="215"/>
    <d v="2023-12-20T00:00:00"/>
    <x v="4"/>
    <x v="1"/>
    <d v="2024-01-14T00:00:00"/>
    <n v="25"/>
    <x v="1"/>
    <x v="4"/>
    <s v="Mumbai"/>
    <s v="Asia &gt; India &gt; Mumbai"/>
    <s v="Non-Profit"/>
    <x v="2"/>
    <x v="4"/>
    <x v="5"/>
    <x v="216"/>
    <n v="1085.6099999999999"/>
    <n v="1246.4100000000001"/>
    <s v="High"/>
    <n v="0.113"/>
    <n v="7"/>
    <n v="7738.9596900000006"/>
    <n v="7599.2699999999995"/>
    <n v="139.68969000000106"/>
    <n v="1.8050189637310417E-2"/>
    <n v="202312"/>
    <n v="202301"/>
    <s v="Dec-2023"/>
    <x v="27"/>
  </r>
  <r>
    <x v="216"/>
    <d v="2023-01-22T00:00:00"/>
    <x v="5"/>
    <x v="0"/>
    <d v="2023-01-23T00:00:00"/>
    <n v="1"/>
    <x v="3"/>
    <x v="6"/>
    <s v="Munich"/>
    <s v="Europe &gt; Germany &gt; Munich"/>
    <s v="Corporate"/>
    <x v="4"/>
    <x v="9"/>
    <x v="5"/>
    <x v="217"/>
    <n v="150.86000000000001"/>
    <n v="346.96"/>
    <s v="Low"/>
    <n v="0.19600000000000001"/>
    <n v="8"/>
    <n v="2231.6467200000002"/>
    <n v="1206.8800000000001"/>
    <n v="1024.7667200000001"/>
    <n v="0.45919755614365343"/>
    <n v="202301"/>
    <n v="202301"/>
    <s v="Jan-2023"/>
    <x v="5"/>
  </r>
  <r>
    <x v="217"/>
    <d v="2024-10-11T00:00:00"/>
    <x v="1"/>
    <x v="1"/>
    <d v="2024-11-09T00:00:00"/>
    <n v="29"/>
    <x v="1"/>
    <x v="9"/>
    <s v="Shanghai"/>
    <s v="Asia &gt; China &gt; Shanghai"/>
    <s v="Non-Profit"/>
    <x v="1"/>
    <x v="9"/>
    <x v="1"/>
    <x v="218"/>
    <n v="391.64"/>
    <n v="504.76"/>
    <s v="Low"/>
    <n v="4.0000000000000001E-3"/>
    <n v="13"/>
    <n v="6535.6324800000002"/>
    <n v="5091.32"/>
    <n v="1444.3124800000005"/>
    <n v="0.22099046793402319"/>
    <n v="202410"/>
    <n v="202301"/>
    <s v="Oct-2023"/>
    <x v="1"/>
  </r>
  <r>
    <x v="218"/>
    <d v="2024-09-19T00:00:00"/>
    <x v="29"/>
    <x v="3"/>
    <d v="2024-10-14T00:00:00"/>
    <n v="25"/>
    <x v="2"/>
    <x v="5"/>
    <s v="Rio de Janeiro"/>
    <s v="Americas &gt; Brazil &gt; Rio de Janeiro"/>
    <s v="Small Business"/>
    <x v="0"/>
    <x v="11"/>
    <x v="1"/>
    <x v="219"/>
    <n v="386.96"/>
    <n v="937.46"/>
    <s v="Low"/>
    <n v="0.26600000000000001"/>
    <n v="41"/>
    <n v="28211.92124"/>
    <n v="15865.359999999999"/>
    <n v="12346.561240000001"/>
    <n v="0.43763631462626335"/>
    <n v="202409"/>
    <n v="202301"/>
    <s v="Sept-2023"/>
    <x v="30"/>
  </r>
  <r>
    <x v="219"/>
    <d v="2025-08-25T00:00:00"/>
    <x v="28"/>
    <x v="3"/>
    <d v="2025-09-24T00:00:00"/>
    <n v="30"/>
    <x v="0"/>
    <x v="0"/>
    <s v="Nairobi"/>
    <s v="Africa &gt; Kenya &gt; Nairobi"/>
    <s v="Consumer"/>
    <x v="4"/>
    <x v="5"/>
    <x v="0"/>
    <x v="220"/>
    <n v="589.14"/>
    <n v="1300.58"/>
    <s v="Medium"/>
    <n v="5.5E-2"/>
    <n v="11"/>
    <n v="13519.529099999998"/>
    <n v="6480.54"/>
    <n v="7038.989099999998"/>
    <n v="0.52065342275863724"/>
    <n v="202508"/>
    <n v="202301"/>
    <s v="Aug-2023"/>
    <x v="29"/>
  </r>
  <r>
    <x v="220"/>
    <d v="2023-09-25T00:00:00"/>
    <x v="27"/>
    <x v="3"/>
    <d v="2023-10-02T00:00:00"/>
    <n v="7"/>
    <x v="2"/>
    <x v="10"/>
    <s v="New York"/>
    <s v="Americas &gt; USA &gt; New York"/>
    <s v="Education"/>
    <x v="2"/>
    <x v="2"/>
    <x v="6"/>
    <x v="221"/>
    <n v="145.58000000000001"/>
    <n v="228.15"/>
    <s v="Low"/>
    <n v="0.20399999999999999"/>
    <n v="5"/>
    <n v="908.03700000000003"/>
    <n v="727.90000000000009"/>
    <n v="180.13699999999994"/>
    <n v="0.19838068272548359"/>
    <n v="202309"/>
    <n v="202301"/>
    <s v="Sept-2023"/>
    <x v="28"/>
  </r>
  <r>
    <x v="221"/>
    <d v="2023-08-26T00:00:00"/>
    <x v="25"/>
    <x v="3"/>
    <d v="2023-09-10T00:00:00"/>
    <n v="15"/>
    <x v="0"/>
    <x v="11"/>
    <s v="Cape Town"/>
    <s v="Africa &gt; South Africa &gt; Cape Town"/>
    <s v="Non-Profit"/>
    <x v="4"/>
    <x v="13"/>
    <x v="0"/>
    <x v="222"/>
    <n v="241.14"/>
    <n v="496.52"/>
    <s v="Low"/>
    <n v="9.2999999999999999E-2"/>
    <n v="10"/>
    <n v="4503.4363999999996"/>
    <n v="2411.3999999999996"/>
    <n v="2092.0364"/>
    <n v="0.46454223268257994"/>
    <n v="202308"/>
    <n v="202301"/>
    <s v="Aug-2023"/>
    <x v="25"/>
  </r>
  <r>
    <x v="222"/>
    <d v="2025-07-16T00:00:00"/>
    <x v="13"/>
    <x v="3"/>
    <d v="2025-07-17T00:00:00"/>
    <n v="1"/>
    <x v="0"/>
    <x v="11"/>
    <s v="Durban"/>
    <s v="Africa &gt; South Africa &gt; Durban"/>
    <s v="Small Business"/>
    <x v="3"/>
    <x v="5"/>
    <x v="2"/>
    <x v="223"/>
    <n v="1198.9000000000001"/>
    <n v="2941.2"/>
    <s v="High"/>
    <n v="5.0999999999999997E-2"/>
    <n v="24"/>
    <n v="66988.771199999988"/>
    <n v="28773.600000000002"/>
    <n v="38215.171199999982"/>
    <n v="0.57047129713583977"/>
    <n v="202507"/>
    <n v="202301"/>
    <s v="Jul-2023"/>
    <x v="13"/>
  </r>
  <r>
    <x v="223"/>
    <d v="2023-04-19T00:00:00"/>
    <x v="12"/>
    <x v="2"/>
    <d v="2023-05-07T00:00:00"/>
    <n v="18"/>
    <x v="3"/>
    <x v="8"/>
    <s v="Birmingham"/>
    <s v="Europe &gt; United Kingdom &gt; Birmingham"/>
    <s v="Enterprise"/>
    <x v="0"/>
    <x v="13"/>
    <x v="4"/>
    <x v="224"/>
    <n v="1089.1500000000001"/>
    <n v="1088.2"/>
    <s v="High"/>
    <n v="5.0999999999999997E-2"/>
    <n v="15"/>
    <n v="15490.527"/>
    <n v="16337.250000000002"/>
    <n v="-846.72300000000178"/>
    <n v="-5.4660696824582002E-2"/>
    <n v="202304"/>
    <n v="202301"/>
    <s v="Apr-2023"/>
    <x v="12"/>
  </r>
  <r>
    <x v="224"/>
    <d v="2023-12-19T00:00:00"/>
    <x v="4"/>
    <x v="1"/>
    <d v="2023-12-20T00:00:00"/>
    <n v="1"/>
    <x v="2"/>
    <x v="5"/>
    <s v="Rio de Janeiro"/>
    <s v="Americas &gt; Brazil &gt; Rio de Janeiro"/>
    <s v="Consumer"/>
    <x v="3"/>
    <x v="1"/>
    <x v="3"/>
    <x v="225"/>
    <n v="1080.43"/>
    <n v="2529.15"/>
    <s v="High"/>
    <n v="0.14699999999999999"/>
    <n v="10"/>
    <n v="21573.6495"/>
    <n v="10804.300000000001"/>
    <n v="10769.349499999998"/>
    <n v="0.49918997247081437"/>
    <n v="202312"/>
    <n v="202301"/>
    <s v="Dec-2023"/>
    <x v="27"/>
  </r>
  <r>
    <x v="225"/>
    <d v="2023-07-30T00:00:00"/>
    <x v="24"/>
    <x v="3"/>
    <d v="2023-08-07T00:00:00"/>
    <n v="8"/>
    <x v="1"/>
    <x v="2"/>
    <s v="Nagoya"/>
    <s v="Asia &gt; Japan &gt; Nagoya"/>
    <s v="Education"/>
    <x v="2"/>
    <x v="8"/>
    <x v="2"/>
    <x v="226"/>
    <n v="1352.44"/>
    <n v="2698.01"/>
    <s v="High"/>
    <n v="0.13100000000000001"/>
    <n v="13"/>
    <n v="30479.418970000002"/>
    <n v="17581.72"/>
    <n v="12897.698970000001"/>
    <n v="0.42316091992090887"/>
    <n v="202307"/>
    <n v="202303"/>
    <s v="Jul-2023"/>
    <x v="15"/>
  </r>
  <r>
    <x v="226"/>
    <d v="2023-10-04T00:00:00"/>
    <x v="32"/>
    <x v="1"/>
    <d v="2023-10-29T00:00:00"/>
    <n v="25"/>
    <x v="2"/>
    <x v="10"/>
    <s v="San Francisco"/>
    <s v="Americas &gt; USA &gt; San Francisco"/>
    <s v="Small Business"/>
    <x v="3"/>
    <x v="7"/>
    <x v="6"/>
    <x v="227"/>
    <n v="1239.8399999999999"/>
    <n v="1482.75"/>
    <s v="High"/>
    <n v="6.7000000000000004E-2"/>
    <n v="4"/>
    <n v="5533.6230000000005"/>
    <n v="4959.3599999999997"/>
    <n v="574.26300000000083"/>
    <n v="0.10377703721413634"/>
    <n v="202310"/>
    <n v="202301"/>
    <s v="Oct-2023"/>
    <x v="4"/>
  </r>
  <r>
    <x v="227"/>
    <d v="2025-08-10T00:00:00"/>
    <x v="28"/>
    <x v="3"/>
    <d v="2025-08-30T00:00:00"/>
    <n v="20"/>
    <x v="2"/>
    <x v="10"/>
    <s v="San Francisco"/>
    <s v="Americas &gt; USA &gt; San Francisco"/>
    <s v="Corporate"/>
    <x v="2"/>
    <x v="11"/>
    <x v="1"/>
    <x v="228"/>
    <n v="933.29"/>
    <n v="1456.81"/>
    <s v="Medium"/>
    <n v="0.123"/>
    <n v="13"/>
    <n v="16609.090809999998"/>
    <n v="12132.77"/>
    <n v="4476.3208099999974"/>
    <n v="0.26951028573489977"/>
    <n v="202508"/>
    <n v="202301"/>
    <s v="Aug-2023"/>
    <x v="29"/>
  </r>
  <r>
    <x v="228"/>
    <d v="2023-03-07T00:00:00"/>
    <x v="22"/>
    <x v="0"/>
    <d v="2023-04-01T00:00:00"/>
    <n v="25"/>
    <x v="0"/>
    <x v="0"/>
    <s v="Nairobi"/>
    <s v="Africa &gt; Kenya &gt; Nairobi"/>
    <s v="Consumer"/>
    <x v="2"/>
    <x v="14"/>
    <x v="1"/>
    <x v="229"/>
    <n v="1024.0999999999999"/>
    <n v="918.19"/>
    <s v="High"/>
    <n v="0.189"/>
    <n v="10"/>
    <n v="7446.5209000000004"/>
    <n v="10241"/>
    <n v="-2794.4790999999996"/>
    <n v="-0.37527311579827827"/>
    <n v="202303"/>
    <n v="202301"/>
    <s v="Mar-2023"/>
    <x v="21"/>
  </r>
  <r>
    <x v="229"/>
    <d v="2023-05-23T00:00:00"/>
    <x v="15"/>
    <x v="2"/>
    <d v="2023-06-10T00:00:00"/>
    <n v="18"/>
    <x v="1"/>
    <x v="9"/>
    <s v="Shanghai"/>
    <s v="Asia &gt; China &gt; Shanghai"/>
    <s v="Corporate"/>
    <x v="3"/>
    <x v="6"/>
    <x v="0"/>
    <x v="230"/>
    <n v="54.62"/>
    <n v="48.94"/>
    <s v="Low"/>
    <n v="0.14799999999999999"/>
    <n v="16"/>
    <n v="667.15008"/>
    <n v="873.92"/>
    <n v="-206.76991999999996"/>
    <n v="-0.3099301434543783"/>
    <n v="202305"/>
    <n v="202301"/>
    <s v="May-2023"/>
    <x v="15"/>
  </r>
  <r>
    <x v="230"/>
    <d v="2025-04-24T00:00:00"/>
    <x v="19"/>
    <x v="2"/>
    <d v="2025-05-06T00:00:00"/>
    <n v="12"/>
    <x v="2"/>
    <x v="5"/>
    <s v="Brasília"/>
    <s v="Americas &gt; Brazil &gt; Brasília"/>
    <s v="Consumer"/>
    <x v="1"/>
    <x v="0"/>
    <x v="3"/>
    <x v="231"/>
    <n v="394.13"/>
    <n v="932.29"/>
    <s v="Low"/>
    <n v="0.109"/>
    <n v="7"/>
    <n v="5814.6927299999998"/>
    <n v="2758.91"/>
    <n v="3055.7827299999999"/>
    <n v="0.5255278089303268"/>
    <n v="202504"/>
    <n v="202301"/>
    <s v="Apr-2023"/>
    <x v="18"/>
  </r>
  <r>
    <x v="231"/>
    <d v="2024-09-03T00:00:00"/>
    <x v="29"/>
    <x v="3"/>
    <d v="2024-09-08T00:00:00"/>
    <n v="5"/>
    <x v="0"/>
    <x v="1"/>
    <s v="Lagos"/>
    <s v="Africa &gt; Nigeria &gt; Lagos"/>
    <s v="Small Business"/>
    <x v="4"/>
    <x v="11"/>
    <x v="1"/>
    <x v="232"/>
    <n v="197.63"/>
    <n v="325.79000000000002"/>
    <s v="Low"/>
    <n v="0.11600000000000001"/>
    <n v="10"/>
    <n v="2879.9836"/>
    <n v="1976.3"/>
    <n v="903.68360000000007"/>
    <n v="0.31378081458519419"/>
    <n v="202409"/>
    <n v="202301"/>
    <s v="Sept-2023"/>
    <x v="30"/>
  </r>
  <r>
    <x v="232"/>
    <d v="2024-09-05T00:00:00"/>
    <x v="29"/>
    <x v="3"/>
    <d v="2024-09-25T00:00:00"/>
    <n v="20"/>
    <x v="1"/>
    <x v="2"/>
    <s v="Osaka"/>
    <s v="Asia &gt; Japan &gt; Osaka"/>
    <s v="Enterprise"/>
    <x v="3"/>
    <x v="14"/>
    <x v="5"/>
    <x v="233"/>
    <n v="195.54"/>
    <n v="405.97"/>
    <s v="Low"/>
    <n v="0.187"/>
    <n v="16"/>
    <n v="5280.8577599999999"/>
    <n v="3128.64"/>
    <n v="2152.21776"/>
    <n v="0.40755079152141377"/>
    <n v="202409"/>
    <n v="202303"/>
    <s v="Sept-2023"/>
    <x v="14"/>
  </r>
  <r>
    <x v="233"/>
    <d v="2023-03-14T00:00:00"/>
    <x v="22"/>
    <x v="0"/>
    <d v="2023-03-30T00:00:00"/>
    <n v="16"/>
    <x v="0"/>
    <x v="11"/>
    <s v="Cape Town"/>
    <s v="Africa &gt; South Africa &gt; Cape Town"/>
    <s v="Consumer"/>
    <x v="3"/>
    <x v="11"/>
    <x v="0"/>
    <x v="234"/>
    <n v="1309.77"/>
    <n v="1589.07"/>
    <s v="High"/>
    <n v="0.10199999999999999"/>
    <n v="10"/>
    <n v="14269.848599999999"/>
    <n v="13097.7"/>
    <n v="1172.1485999999986"/>
    <n v="8.2141628328137886E-2"/>
    <n v="202303"/>
    <n v="202301"/>
    <s v="Mar-2023"/>
    <x v="21"/>
  </r>
  <r>
    <x v="234"/>
    <d v="2024-01-11T00:00:00"/>
    <x v="9"/>
    <x v="0"/>
    <d v="2024-02-02T00:00:00"/>
    <n v="22"/>
    <x v="1"/>
    <x v="2"/>
    <s v="Nagoya"/>
    <s v="Asia &gt; Japan &gt; Nagoya"/>
    <s v="Small Business"/>
    <x v="1"/>
    <x v="15"/>
    <x v="1"/>
    <x v="235"/>
    <n v="1237.68"/>
    <n v="1432.8"/>
    <s v="High"/>
    <n v="6.8000000000000005E-2"/>
    <n v="13"/>
    <n v="17359.804799999998"/>
    <n v="16089.84"/>
    <n v="1269.9647999999979"/>
    <n v="7.315547695559331E-2"/>
    <n v="202401"/>
    <n v="202303"/>
    <s v="Jan-2023"/>
    <x v="31"/>
  </r>
  <r>
    <x v="235"/>
    <d v="2024-09-13T00:00:00"/>
    <x v="29"/>
    <x v="3"/>
    <d v="2024-10-02T00:00:00"/>
    <n v="19"/>
    <x v="0"/>
    <x v="0"/>
    <s v="Mombasa"/>
    <s v="Africa &gt; Kenya &gt; Mombasa"/>
    <s v="Small Business"/>
    <x v="0"/>
    <x v="12"/>
    <x v="3"/>
    <x v="236"/>
    <n v="1338.99"/>
    <n v="1765.76"/>
    <s v="High"/>
    <n v="0.126"/>
    <n v="24"/>
    <n v="37038.581760000001"/>
    <n v="32135.760000000002"/>
    <n v="4902.8217599999989"/>
    <n v="0.1323706666677725"/>
    <n v="202409"/>
    <n v="202301"/>
    <s v="Sept-2023"/>
    <x v="30"/>
  </r>
  <r>
    <x v="236"/>
    <d v="2025-07-17T00:00:00"/>
    <x v="13"/>
    <x v="3"/>
    <d v="2025-07-23T00:00:00"/>
    <n v="6"/>
    <x v="2"/>
    <x v="3"/>
    <s v="Vancouver"/>
    <s v="Americas &gt; Canada &gt; Vancouver"/>
    <s v="Consumer"/>
    <x v="1"/>
    <x v="10"/>
    <x v="0"/>
    <x v="237"/>
    <n v="1364.89"/>
    <n v="2757.54"/>
    <s v="High"/>
    <n v="0.17199999999999999"/>
    <n v="61"/>
    <n v="139277.83032000001"/>
    <n v="83258.290000000008"/>
    <n v="56019.54032"/>
    <n v="0.4022143379983118"/>
    <n v="202507"/>
    <n v="202301"/>
    <s v="Jul-2023"/>
    <x v="13"/>
  </r>
  <r>
    <x v="237"/>
    <d v="2023-11-28T00:00:00"/>
    <x v="30"/>
    <x v="1"/>
    <d v="2023-12-07T00:00:00"/>
    <n v="9"/>
    <x v="1"/>
    <x v="4"/>
    <s v="Delhi"/>
    <s v="Asia &gt; India &gt; Delhi"/>
    <s v="Enterprise"/>
    <x v="2"/>
    <x v="4"/>
    <x v="3"/>
    <x v="238"/>
    <n v="699.33"/>
    <n v="873.75"/>
    <s v="Medium"/>
    <n v="0.23499999999999999"/>
    <n v="10"/>
    <n v="6684.1875"/>
    <n v="6993.3"/>
    <n v="-309.11250000000018"/>
    <n v="-4.6245336475076469E-2"/>
    <n v="202311"/>
    <n v="202301"/>
    <s v="Nov-2023"/>
    <x v="31"/>
  </r>
  <r>
    <x v="238"/>
    <d v="2024-03-30T00:00:00"/>
    <x v="0"/>
    <x v="0"/>
    <d v="2024-04-24T00:00:00"/>
    <n v="25"/>
    <x v="2"/>
    <x v="10"/>
    <s v="Austin"/>
    <s v="Americas &gt; USA &gt; Austin"/>
    <s v="Non-Profit"/>
    <x v="1"/>
    <x v="3"/>
    <x v="4"/>
    <x v="239"/>
    <n v="160.82"/>
    <n v="258.52"/>
    <s v="Low"/>
    <n v="0.13"/>
    <n v="17"/>
    <n v="3823.5108"/>
    <n v="2733.94"/>
    <n v="1089.5708"/>
    <n v="0.28496605789631874"/>
    <n v="202403"/>
    <n v="202301"/>
    <s v="Mar-2023"/>
    <x v="0"/>
  </r>
  <r>
    <x v="239"/>
    <d v="2023-09-19T00:00:00"/>
    <x v="27"/>
    <x v="3"/>
    <d v="2023-10-08T00:00:00"/>
    <n v="19"/>
    <x v="1"/>
    <x v="4"/>
    <s v="Bengaluru"/>
    <s v="Asia &gt; India &gt; Bengaluru"/>
    <s v="Education"/>
    <x v="4"/>
    <x v="1"/>
    <x v="1"/>
    <x v="240"/>
    <n v="385.32"/>
    <n v="606.76"/>
    <s v="Low"/>
    <n v="8.5999999999999993E-2"/>
    <n v="8"/>
    <n v="4436.6291200000005"/>
    <n v="3082.56"/>
    <n v="1354.0691200000006"/>
    <n v="0.30520223425842735"/>
    <n v="202309"/>
    <n v="202301"/>
    <s v="Sept-2023"/>
    <x v="28"/>
  </r>
  <r>
    <x v="240"/>
    <d v="2025-05-16T00:00:00"/>
    <x v="8"/>
    <x v="2"/>
    <d v="2025-05-27T00:00:00"/>
    <n v="11"/>
    <x v="1"/>
    <x v="9"/>
    <s v="Beijing"/>
    <s v="Asia &gt; China &gt; Beijing"/>
    <s v="Enterprise"/>
    <x v="1"/>
    <x v="9"/>
    <x v="3"/>
    <x v="241"/>
    <n v="918.12"/>
    <n v="1337.69"/>
    <s v="Medium"/>
    <n v="9.5000000000000001E-2"/>
    <n v="8"/>
    <n v="9684.8756000000012"/>
    <n v="7344.96"/>
    <n v="2339.9156000000012"/>
    <n v="0.24160512707050164"/>
    <n v="202505"/>
    <n v="202301"/>
    <s v="May-2023"/>
    <x v="8"/>
  </r>
  <r>
    <x v="241"/>
    <d v="2025-08-02T00:00:00"/>
    <x v="28"/>
    <x v="3"/>
    <d v="2025-08-08T00:00:00"/>
    <n v="6"/>
    <x v="1"/>
    <x v="2"/>
    <s v="Osaka"/>
    <s v="Asia &gt; Japan &gt; Osaka"/>
    <s v="Consumer"/>
    <x v="4"/>
    <x v="13"/>
    <x v="4"/>
    <x v="242"/>
    <n v="1225.94"/>
    <n v="1793.08"/>
    <s v="High"/>
    <n v="0.13600000000000001"/>
    <n v="22"/>
    <n v="34082.864639999993"/>
    <n v="26970.68"/>
    <n v="7112.1846399999922"/>
    <n v="0.20867332353434462"/>
    <n v="202508"/>
    <n v="202303"/>
    <s v="Aug-2023"/>
    <x v="16"/>
  </r>
  <r>
    <x v="242"/>
    <d v="2024-12-04T00:00:00"/>
    <x v="6"/>
    <x v="1"/>
    <d v="2024-12-12T00:00:00"/>
    <n v="8"/>
    <x v="3"/>
    <x v="6"/>
    <s v="Frankfurt"/>
    <s v="Europe &gt; Germany &gt; Frankfurt"/>
    <s v="Enterprise"/>
    <x v="2"/>
    <x v="5"/>
    <x v="1"/>
    <x v="243"/>
    <n v="72.06"/>
    <n v="122.74"/>
    <s v="Low"/>
    <n v="0.23799999999999999"/>
    <n v="8"/>
    <n v="748.22303999999997"/>
    <n v="576.48"/>
    <n v="171.74303999999995"/>
    <n v="0.22953455162246802"/>
    <n v="202412"/>
    <n v="202301"/>
    <s v="Dec-2023"/>
    <x v="6"/>
  </r>
  <r>
    <x v="243"/>
    <d v="2023-04-19T00:00:00"/>
    <x v="12"/>
    <x v="2"/>
    <d v="2023-04-28T00:00:00"/>
    <n v="9"/>
    <x v="2"/>
    <x v="5"/>
    <s v="Rio de Janeiro"/>
    <s v="Americas &gt; Brazil &gt; Rio de Janeiro"/>
    <s v="Corporate"/>
    <x v="3"/>
    <x v="12"/>
    <x v="3"/>
    <x v="244"/>
    <n v="1013.54"/>
    <n v="927.93"/>
    <s v="High"/>
    <n v="0.17499999999999999"/>
    <n v="16"/>
    <n v="12248.675999999999"/>
    <n v="16216.64"/>
    <n v="-3967.9639999999999"/>
    <n v="-0.32395044166406234"/>
    <n v="202304"/>
    <n v="202301"/>
    <s v="Apr-2023"/>
    <x v="12"/>
  </r>
  <r>
    <x v="244"/>
    <d v="2024-03-06T00:00:00"/>
    <x v="0"/>
    <x v="0"/>
    <d v="2024-03-26T00:00:00"/>
    <n v="20"/>
    <x v="0"/>
    <x v="1"/>
    <s v="Port Harcourt"/>
    <s v="Africa &gt; Nigeria &gt; Port Harcourt"/>
    <s v="Consumer"/>
    <x v="2"/>
    <x v="2"/>
    <x v="3"/>
    <x v="245"/>
    <n v="65.64"/>
    <n v="151.88"/>
    <s v="Low"/>
    <n v="0.16700000000000001"/>
    <n v="23"/>
    <n v="2909.8689199999999"/>
    <n v="1509.72"/>
    <n v="1400.1489199999999"/>
    <n v="0.48117250587356353"/>
    <n v="202403"/>
    <n v="202301"/>
    <s v="Mar-2023"/>
    <x v="0"/>
  </r>
  <r>
    <x v="245"/>
    <d v="2024-02-16T00:00:00"/>
    <x v="31"/>
    <x v="0"/>
    <d v="2024-03-04T00:00:00"/>
    <n v="17"/>
    <x v="2"/>
    <x v="3"/>
    <s v="Montreal"/>
    <s v="Americas &gt; Canada &gt; Montreal"/>
    <s v="Non-Profit"/>
    <x v="0"/>
    <x v="14"/>
    <x v="4"/>
    <x v="246"/>
    <n v="1350.98"/>
    <n v="2210.4"/>
    <s v="High"/>
    <n v="0.26300000000000001"/>
    <n v="6"/>
    <n v="9774.3888000000006"/>
    <n v="8105.88"/>
    <n v="1668.5088000000005"/>
    <n v="0.17070211080615091"/>
    <n v="202402"/>
    <n v="202301"/>
    <s v="Feb-2023"/>
    <x v="32"/>
  </r>
  <r>
    <x v="246"/>
    <d v="2025-04-22T00:00:00"/>
    <x v="19"/>
    <x v="2"/>
    <d v="2025-05-02T00:00:00"/>
    <n v="10"/>
    <x v="3"/>
    <x v="6"/>
    <s v="Berlin"/>
    <s v="Europe &gt; Germany &gt; Berlin"/>
    <s v="Corporate"/>
    <x v="2"/>
    <x v="0"/>
    <x v="5"/>
    <x v="247"/>
    <n v="20.149999999999999"/>
    <n v="39.74"/>
    <s v="Low"/>
    <n v="0.151"/>
    <n v="18"/>
    <n v="607.30668000000003"/>
    <n v="362.7"/>
    <n v="244.60668000000004"/>
    <n v="0.4027729120318585"/>
    <n v="202504"/>
    <n v="202301"/>
    <s v="Apr-2023"/>
    <x v="18"/>
  </r>
  <r>
    <x v="247"/>
    <d v="2024-11-08T00:00:00"/>
    <x v="18"/>
    <x v="1"/>
    <d v="2024-11-08T00:00:00"/>
    <n v="0"/>
    <x v="0"/>
    <x v="0"/>
    <s v="Nakuru"/>
    <s v="Africa &gt; Kenya &gt; Nakuru"/>
    <s v="Enterprise"/>
    <x v="2"/>
    <x v="12"/>
    <x v="2"/>
    <x v="248"/>
    <n v="803.28"/>
    <n v="1009"/>
    <s v="Medium"/>
    <n v="0.11"/>
    <n v="4"/>
    <n v="3592.04"/>
    <n v="3213.12"/>
    <n v="378.92000000000007"/>
    <n v="0.10548880302001093"/>
    <n v="202411"/>
    <n v="202301"/>
    <s v="Nov-2023"/>
    <x v="10"/>
  </r>
  <r>
    <x v="248"/>
    <d v="2025-09-12T00:00:00"/>
    <x v="11"/>
    <x v="3"/>
    <d v="2025-09-30T00:00:00"/>
    <n v="18"/>
    <x v="1"/>
    <x v="2"/>
    <s v="Nagoya"/>
    <s v="Asia &gt; Japan &gt; Nagoya"/>
    <s v="Non-Profit"/>
    <x v="2"/>
    <x v="9"/>
    <x v="5"/>
    <x v="249"/>
    <n v="1212.99"/>
    <n v="1653.64"/>
    <s v="High"/>
    <n v="0.107"/>
    <n v="8"/>
    <n v="11813.604160000001"/>
    <n v="9703.92"/>
    <n v="2109.6841600000007"/>
    <n v="0.17858090819931455"/>
    <n v="202509"/>
    <n v="202303"/>
    <s v="Sept-2023"/>
    <x v="13"/>
  </r>
  <r>
    <x v="249"/>
    <d v="2024-09-02T00:00:00"/>
    <x v="29"/>
    <x v="3"/>
    <d v="2024-09-08T00:00:00"/>
    <n v="6"/>
    <x v="2"/>
    <x v="10"/>
    <s v="Austin"/>
    <s v="Americas &gt; USA &gt; Austin"/>
    <s v="Consumer"/>
    <x v="4"/>
    <x v="10"/>
    <x v="0"/>
    <x v="250"/>
    <n v="462.94"/>
    <n v="1015.7"/>
    <s v="Low"/>
    <n v="0.14299999999999999"/>
    <n v="14"/>
    <n v="12186.368600000002"/>
    <n v="6481.16"/>
    <n v="5705.2086000000018"/>
    <n v="0.46816314090483041"/>
    <n v="202409"/>
    <n v="202301"/>
    <s v="Sept-2023"/>
    <x v="30"/>
  </r>
  <r>
    <x v="250"/>
    <d v="2023-03-04T00:00:00"/>
    <x v="22"/>
    <x v="0"/>
    <d v="2023-03-24T00:00:00"/>
    <n v="20"/>
    <x v="2"/>
    <x v="3"/>
    <s v="Montreal"/>
    <s v="Americas &gt; Canada &gt; Montreal"/>
    <s v="Consumer"/>
    <x v="3"/>
    <x v="2"/>
    <x v="4"/>
    <x v="251"/>
    <n v="481.71"/>
    <n v="912.45"/>
    <s v="Low"/>
    <n v="0.20300000000000001"/>
    <n v="24"/>
    <n v="17453.3436"/>
    <n v="11561.039999999999"/>
    <n v="5892.3036000000011"/>
    <n v="0.33760313983619739"/>
    <n v="202303"/>
    <n v="202301"/>
    <s v="Mar-2023"/>
    <x v="21"/>
  </r>
  <r>
    <x v="251"/>
    <d v="2024-03-15T00:00:00"/>
    <x v="0"/>
    <x v="0"/>
    <d v="2024-04-09T00:00:00"/>
    <n v="25"/>
    <x v="2"/>
    <x v="3"/>
    <s v="Vancouver"/>
    <s v="Americas &gt; Canada &gt; Vancouver"/>
    <s v="Consumer"/>
    <x v="1"/>
    <x v="9"/>
    <x v="5"/>
    <x v="252"/>
    <n v="648.64"/>
    <n v="815.19"/>
    <s v="Medium"/>
    <n v="0.22500000000000001"/>
    <n v="28"/>
    <n v="17689.623"/>
    <n v="18161.919999999998"/>
    <n v="-472.29699999999866"/>
    <n v="-2.6699099240272032E-2"/>
    <n v="202403"/>
    <n v="202301"/>
    <s v="Mar-2023"/>
    <x v="0"/>
  </r>
  <r>
    <x v="252"/>
    <d v="2024-07-29T00:00:00"/>
    <x v="14"/>
    <x v="3"/>
    <d v="2024-07-31T00:00:00"/>
    <n v="2"/>
    <x v="2"/>
    <x v="10"/>
    <s v="New York"/>
    <s v="Americas &gt; USA &gt; New York"/>
    <s v="Education"/>
    <x v="2"/>
    <x v="2"/>
    <x v="1"/>
    <x v="253"/>
    <n v="798.97"/>
    <n v="1814.06"/>
    <s v="Medium"/>
    <n v="0.122"/>
    <n v="16"/>
    <n v="25483.91488"/>
    <n v="12783.52"/>
    <n v="12700.39488"/>
    <n v="0.49836906691159061"/>
    <n v="202407"/>
    <n v="202301"/>
    <s v="Jul-2023"/>
    <x v="14"/>
  </r>
  <r>
    <x v="253"/>
    <d v="2024-10-27T00:00:00"/>
    <x v="1"/>
    <x v="1"/>
    <d v="2024-11-20T00:00:00"/>
    <n v="24"/>
    <x v="1"/>
    <x v="2"/>
    <s v="Nagoya"/>
    <s v="Asia &gt; Japan &gt; Nagoya"/>
    <s v="Non-Profit"/>
    <x v="1"/>
    <x v="10"/>
    <x v="5"/>
    <x v="254"/>
    <n v="317.25"/>
    <n v="758.92"/>
    <s v="Low"/>
    <n v="5.2999999999999999E-2"/>
    <n v="9"/>
    <n v="6468.2751599999992"/>
    <n v="2855.25"/>
    <n v="3613.0251599999992"/>
    <n v="0.5585762928489888"/>
    <n v="202410"/>
    <n v="202303"/>
    <s v="Oct-2023"/>
    <x v="20"/>
  </r>
  <r>
    <x v="254"/>
    <d v="2024-04-29T00:00:00"/>
    <x v="20"/>
    <x v="2"/>
    <d v="2024-05-19T00:00:00"/>
    <n v="20"/>
    <x v="3"/>
    <x v="6"/>
    <s v="Frankfurt"/>
    <s v="Europe &gt; Germany &gt; Frankfurt"/>
    <s v="Enterprise"/>
    <x v="2"/>
    <x v="0"/>
    <x v="4"/>
    <x v="255"/>
    <n v="668.97"/>
    <n v="1667.44"/>
    <s v="Medium"/>
    <n v="3.4000000000000002E-2"/>
    <n v="15"/>
    <n v="24161.205600000001"/>
    <n v="10034.550000000001"/>
    <n v="14126.6556"/>
    <n v="0.58468339013679016"/>
    <n v="202404"/>
    <n v="202301"/>
    <s v="Apr-2023"/>
    <x v="19"/>
  </r>
  <r>
    <x v="255"/>
    <d v="2023-10-05T00:00:00"/>
    <x v="32"/>
    <x v="1"/>
    <d v="2023-10-06T00:00:00"/>
    <n v="1"/>
    <x v="1"/>
    <x v="4"/>
    <s v="Bengaluru"/>
    <s v="Asia &gt; India &gt; Bengaluru"/>
    <s v="Non-Profit"/>
    <x v="1"/>
    <x v="2"/>
    <x v="0"/>
    <x v="256"/>
    <n v="1470.26"/>
    <n v="2562.5500000000002"/>
    <s v="High"/>
    <n v="0.17299999999999999"/>
    <n v="9"/>
    <n v="19073.059649999999"/>
    <n v="13232.34"/>
    <n v="5840.7196499999991"/>
    <n v="0.30622877279157462"/>
    <n v="202310"/>
    <n v="202301"/>
    <s v="Oct-2023"/>
    <x v="4"/>
  </r>
  <r>
    <x v="256"/>
    <d v="2023-04-19T00:00:00"/>
    <x v="12"/>
    <x v="2"/>
    <d v="2023-05-07T00:00:00"/>
    <n v="18"/>
    <x v="3"/>
    <x v="8"/>
    <s v="London"/>
    <s v="Europe &gt; United Kingdom &gt; London"/>
    <s v="Non-Profit"/>
    <x v="4"/>
    <x v="10"/>
    <x v="2"/>
    <x v="257"/>
    <n v="516.96"/>
    <n v="745.38"/>
    <s v="Medium"/>
    <n v="0.19700000000000001"/>
    <n v="4"/>
    <n v="2394.1605599999998"/>
    <n v="2067.84"/>
    <n v="326.32055999999966"/>
    <n v="0.13629852794835101"/>
    <n v="202304"/>
    <n v="202301"/>
    <s v="Apr-2023"/>
    <x v="12"/>
  </r>
  <r>
    <x v="257"/>
    <d v="2025-06-27T00:00:00"/>
    <x v="16"/>
    <x v="2"/>
    <d v="2025-07-05T00:00:00"/>
    <n v="8"/>
    <x v="3"/>
    <x v="6"/>
    <s v="Munich"/>
    <s v="Europe &gt; Germany &gt; Munich"/>
    <s v="Small Business"/>
    <x v="4"/>
    <x v="3"/>
    <x v="5"/>
    <x v="258"/>
    <n v="314.93"/>
    <n v="687.95"/>
    <s v="Low"/>
    <n v="0.20499999999999999"/>
    <n v="8"/>
    <n v="4375.3620000000001"/>
    <n v="2519.44"/>
    <n v="1855.922"/>
    <n v="0.424175645352316"/>
    <n v="202506"/>
    <n v="202301"/>
    <s v="Jun-2023"/>
    <x v="16"/>
  </r>
  <r>
    <x v="258"/>
    <d v="2023-10-11T00:00:00"/>
    <x v="32"/>
    <x v="1"/>
    <d v="2023-10-13T00:00:00"/>
    <n v="2"/>
    <x v="2"/>
    <x v="5"/>
    <s v="Brasília"/>
    <s v="Americas &gt; Brazil &gt; Brasília"/>
    <s v="Consumer"/>
    <x v="3"/>
    <x v="15"/>
    <x v="6"/>
    <x v="259"/>
    <n v="715.94"/>
    <n v="550.07000000000005"/>
    <s v="Medium"/>
    <n v="0.14000000000000001"/>
    <n v="16"/>
    <n v="7568.9632000000001"/>
    <n v="11455.04"/>
    <n v="-3886.0768000000007"/>
    <n v="-0.51342260456491595"/>
    <n v="202310"/>
    <n v="202301"/>
    <s v="Oct-2023"/>
    <x v="4"/>
  </r>
  <r>
    <x v="259"/>
    <d v="2023-05-20T00:00:00"/>
    <x v="15"/>
    <x v="2"/>
    <d v="2023-06-07T00:00:00"/>
    <n v="18"/>
    <x v="0"/>
    <x v="1"/>
    <s v="Port Harcourt"/>
    <s v="Africa &gt; Nigeria &gt; Port Harcourt"/>
    <s v="Enterprise"/>
    <x v="3"/>
    <x v="6"/>
    <x v="0"/>
    <x v="260"/>
    <n v="1120.06"/>
    <n v="2068.21"/>
    <s v="High"/>
    <n v="7.8E-2"/>
    <n v="12"/>
    <n v="22882.675440000003"/>
    <n v="13440.72"/>
    <n v="9441.9554400000034"/>
    <n v="0.41262462795303284"/>
    <n v="202305"/>
    <n v="202301"/>
    <s v="May-2023"/>
    <x v="15"/>
  </r>
  <r>
    <x v="260"/>
    <d v="2023-05-27T00:00:00"/>
    <x v="15"/>
    <x v="2"/>
    <d v="2023-06-19T00:00:00"/>
    <n v="23"/>
    <x v="3"/>
    <x v="6"/>
    <s v="Berlin"/>
    <s v="Europe &gt; Germany &gt; Berlin"/>
    <s v="Education"/>
    <x v="0"/>
    <x v="7"/>
    <x v="6"/>
    <x v="261"/>
    <n v="1471.58"/>
    <n v="2576.65"/>
    <s v="High"/>
    <n v="4.0000000000000001E-3"/>
    <n v="7"/>
    <n v="17964.4038"/>
    <n v="10301.06"/>
    <n v="7663.3438000000006"/>
    <n v="0.4265849223451546"/>
    <n v="202305"/>
    <n v="202301"/>
    <s v="May-2023"/>
    <x v="15"/>
  </r>
  <r>
    <x v="261"/>
    <d v="2023-08-04T00:00:00"/>
    <x v="25"/>
    <x v="3"/>
    <d v="2023-08-24T00:00:00"/>
    <n v="20"/>
    <x v="2"/>
    <x v="5"/>
    <s v="Brasília"/>
    <s v="Americas &gt; Brazil &gt; Brasília"/>
    <s v="Non-Profit"/>
    <x v="4"/>
    <x v="15"/>
    <x v="2"/>
    <x v="262"/>
    <n v="582.88"/>
    <n v="1044.1400000000001"/>
    <s v="Medium"/>
    <n v="0.216"/>
    <n v="10"/>
    <n v="8186.057600000001"/>
    <n v="5828.8"/>
    <n v="2357.2576000000008"/>
    <n v="0.28796005539956138"/>
    <n v="202308"/>
    <n v="202301"/>
    <s v="Aug-2023"/>
    <x v="25"/>
  </r>
  <r>
    <x v="262"/>
    <d v="2025-06-21T00:00:00"/>
    <x v="16"/>
    <x v="2"/>
    <d v="2025-06-27T00:00:00"/>
    <n v="6"/>
    <x v="0"/>
    <x v="11"/>
    <s v="Durban"/>
    <s v="Africa &gt; South Africa &gt; Durban"/>
    <s v="Enterprise"/>
    <x v="3"/>
    <x v="13"/>
    <x v="3"/>
    <x v="263"/>
    <n v="93.91"/>
    <n v="99.04"/>
    <s v="Low"/>
    <n v="5.7000000000000002E-2"/>
    <n v="6"/>
    <n v="560.36831999999993"/>
    <n v="563.46"/>
    <n v="-3.0916800000001103"/>
    <n v="-5.5172283829323376E-3"/>
    <n v="202506"/>
    <n v="202301"/>
    <s v="Jun-2023"/>
    <x v="16"/>
  </r>
  <r>
    <x v="263"/>
    <d v="2025-04-16T00:00:00"/>
    <x v="19"/>
    <x v="2"/>
    <d v="2025-04-26T00:00:00"/>
    <n v="10"/>
    <x v="0"/>
    <x v="1"/>
    <s v="Port Harcourt"/>
    <s v="Africa &gt; Nigeria &gt; Port Harcourt"/>
    <s v="Enterprise"/>
    <x v="2"/>
    <x v="9"/>
    <x v="4"/>
    <x v="264"/>
    <n v="1457.44"/>
    <n v="1996.81"/>
    <s v="High"/>
    <n v="0.126"/>
    <n v="23"/>
    <n v="40139.874619999995"/>
    <n v="33521.120000000003"/>
    <n v="6618.7546199999924"/>
    <n v="0.16489225944672353"/>
    <n v="202504"/>
    <n v="202301"/>
    <s v="Apr-2023"/>
    <x v="18"/>
  </r>
  <r>
    <x v="264"/>
    <d v="2025-09-02T00:00:00"/>
    <x v="11"/>
    <x v="3"/>
    <d v="2025-09-11T00:00:00"/>
    <n v="9"/>
    <x v="2"/>
    <x v="3"/>
    <s v="Toronto"/>
    <s v="Americas &gt; Canada &gt; Toronto"/>
    <s v="Corporate"/>
    <x v="3"/>
    <x v="12"/>
    <x v="1"/>
    <x v="265"/>
    <n v="1207.6300000000001"/>
    <n v="921.68"/>
    <s v="High"/>
    <n v="0.19600000000000001"/>
    <n v="17"/>
    <n v="12597.52224"/>
    <n v="20529.710000000003"/>
    <n v="-7932.1877600000025"/>
    <n v="-0.62966253274897988"/>
    <n v="202509"/>
    <n v="202301"/>
    <s v="Sept-2023"/>
    <x v="11"/>
  </r>
  <r>
    <x v="265"/>
    <d v="2024-10-08T00:00:00"/>
    <x v="1"/>
    <x v="1"/>
    <d v="2024-10-08T00:00:00"/>
    <n v="0"/>
    <x v="3"/>
    <x v="8"/>
    <s v="London"/>
    <s v="Europe &gt; United Kingdom &gt; London"/>
    <s v="Corporate"/>
    <x v="1"/>
    <x v="6"/>
    <x v="5"/>
    <x v="266"/>
    <n v="1108.1099999999999"/>
    <n v="2503.79"/>
    <s v="High"/>
    <n v="0.184"/>
    <n v="19"/>
    <n v="38818.760160000005"/>
    <n v="21054.089999999997"/>
    <n v="17764.670160000009"/>
    <n v="0.45763105485025896"/>
    <n v="202410"/>
    <n v="202301"/>
    <s v="Oct-2023"/>
    <x v="1"/>
  </r>
  <r>
    <x v="266"/>
    <d v="2023-05-07T00:00:00"/>
    <x v="15"/>
    <x v="2"/>
    <d v="2023-05-09T00:00:00"/>
    <n v="2"/>
    <x v="0"/>
    <x v="1"/>
    <s v="Port Harcourt"/>
    <s v="Africa &gt; Nigeria &gt; Port Harcourt"/>
    <s v="Non-Profit"/>
    <x v="2"/>
    <x v="8"/>
    <x v="0"/>
    <x v="267"/>
    <n v="1269.6500000000001"/>
    <n v="2462.77"/>
    <s v="High"/>
    <n v="0.107"/>
    <n v="8"/>
    <n v="17594.028880000002"/>
    <n v="10157.200000000001"/>
    <n v="7436.8288800000009"/>
    <n v="0.42269050089225502"/>
    <n v="202305"/>
    <n v="202301"/>
    <s v="May-2023"/>
    <x v="15"/>
  </r>
  <r>
    <x v="267"/>
    <d v="2023-12-24T00:00:00"/>
    <x v="4"/>
    <x v="1"/>
    <d v="2024-01-01T00:00:00"/>
    <n v="8"/>
    <x v="2"/>
    <x v="5"/>
    <s v="São Paulo"/>
    <s v="Americas &gt; Brazil &gt; São Paulo"/>
    <s v="Education"/>
    <x v="4"/>
    <x v="0"/>
    <x v="3"/>
    <x v="268"/>
    <n v="526.49"/>
    <n v="496.2"/>
    <s v="Medium"/>
    <n v="0"/>
    <n v="14"/>
    <n v="6946.8"/>
    <n v="7370.8600000000006"/>
    <n v="-424.0600000000004"/>
    <n v="-6.1043933897621985E-2"/>
    <n v="202312"/>
    <n v="202301"/>
    <s v="Dec-2023"/>
    <x v="27"/>
  </r>
  <r>
    <x v="268"/>
    <d v="2024-01-10T00:00:00"/>
    <x v="9"/>
    <x v="0"/>
    <d v="2024-01-23T00:00:00"/>
    <n v="13"/>
    <x v="3"/>
    <x v="7"/>
    <s v="Marseille"/>
    <s v="Europe &gt; France &gt; Marseille"/>
    <s v="Corporate"/>
    <x v="4"/>
    <x v="8"/>
    <x v="1"/>
    <x v="269"/>
    <n v="720"/>
    <n v="907.59"/>
    <s v="Medium"/>
    <n v="0.154"/>
    <n v="10"/>
    <n v="7678.2113999999992"/>
    <n v="7200"/>
    <n v="478.21139999999923"/>
    <n v="6.2281614179052078E-2"/>
    <n v="202401"/>
    <n v="202301"/>
    <s v="Jan-2023"/>
    <x v="9"/>
  </r>
  <r>
    <x v="269"/>
    <d v="2023-08-03T00:00:00"/>
    <x v="25"/>
    <x v="3"/>
    <d v="2023-08-14T00:00:00"/>
    <n v="11"/>
    <x v="2"/>
    <x v="5"/>
    <s v="Brasília"/>
    <s v="Americas &gt; Brazil &gt; Brasília"/>
    <s v="Corporate"/>
    <x v="4"/>
    <x v="1"/>
    <x v="6"/>
    <x v="270"/>
    <n v="232.73"/>
    <n v="334.19"/>
    <s v="Low"/>
    <n v="0.13400000000000001"/>
    <n v="25"/>
    <n v="7235.2134999999998"/>
    <n v="5818.25"/>
    <n v="1416.9634999999998"/>
    <n v="0.1958426658729559"/>
    <n v="202308"/>
    <n v="202301"/>
    <s v="Aug-2023"/>
    <x v="25"/>
  </r>
  <r>
    <x v="270"/>
    <d v="2025-02-19T00:00:00"/>
    <x v="26"/>
    <x v="0"/>
    <d v="2025-03-09T00:00:00"/>
    <n v="18"/>
    <x v="1"/>
    <x v="4"/>
    <s v="Delhi"/>
    <s v="Asia &gt; India &gt; Delhi"/>
    <s v="Small Business"/>
    <x v="4"/>
    <x v="7"/>
    <x v="5"/>
    <x v="271"/>
    <n v="325.87"/>
    <n v="538.79"/>
    <s v="Low"/>
    <n v="0.17399999999999999"/>
    <n v="16"/>
    <n v="7120.6486400000003"/>
    <n v="5213.92"/>
    <n v="1906.7286400000003"/>
    <n v="0.26777457172778013"/>
    <n v="202502"/>
    <n v="202301"/>
    <s v="Feb-2023"/>
    <x v="26"/>
  </r>
  <r>
    <x v="271"/>
    <d v="2024-03-31T00:00:00"/>
    <x v="0"/>
    <x v="0"/>
    <d v="2024-04-17T00:00:00"/>
    <n v="17"/>
    <x v="3"/>
    <x v="6"/>
    <s v="Frankfurt"/>
    <s v="Europe &gt; Germany &gt; Frankfurt"/>
    <s v="Education"/>
    <x v="4"/>
    <x v="10"/>
    <x v="5"/>
    <x v="272"/>
    <n v="1025.51"/>
    <n v="1436.54"/>
    <s v="High"/>
    <n v="0.13900000000000001"/>
    <n v="28"/>
    <n v="34632.106319999999"/>
    <n v="28714.28"/>
    <n v="5917.8263200000001"/>
    <n v="0.17087688127656453"/>
    <n v="202403"/>
    <n v="202301"/>
    <s v="Mar-2023"/>
    <x v="0"/>
  </r>
  <r>
    <x v="272"/>
    <d v="2023-07-24T00:00:00"/>
    <x v="24"/>
    <x v="3"/>
    <d v="2023-08-13T00:00:00"/>
    <n v="20"/>
    <x v="2"/>
    <x v="3"/>
    <s v="Montreal"/>
    <s v="Americas &gt; Canada &gt; Montreal"/>
    <s v="Education"/>
    <x v="4"/>
    <x v="0"/>
    <x v="5"/>
    <x v="273"/>
    <n v="1082.3800000000001"/>
    <n v="1766.55"/>
    <s v="High"/>
    <n v="0.16400000000000001"/>
    <n v="20"/>
    <n v="29536.716"/>
    <n v="21647.600000000002"/>
    <n v="7889.1159999999982"/>
    <n v="0.26709523157550752"/>
    <n v="202307"/>
    <n v="202301"/>
    <s v="Jul-2023"/>
    <x v="23"/>
  </r>
  <r>
    <x v="273"/>
    <d v="2024-03-16T00:00:00"/>
    <x v="0"/>
    <x v="0"/>
    <d v="2024-04-13T00:00:00"/>
    <n v="28"/>
    <x v="3"/>
    <x v="7"/>
    <s v="Paris"/>
    <s v="Europe &gt; France &gt; Paris"/>
    <s v="Small Business"/>
    <x v="1"/>
    <x v="11"/>
    <x v="1"/>
    <x v="274"/>
    <n v="287.61"/>
    <n v="628.54"/>
    <s v="Low"/>
    <n v="0.13500000000000001"/>
    <n v="21"/>
    <n v="11417.429099999999"/>
    <n v="6039.81"/>
    <n v="5377.619099999999"/>
    <n v="0.47100087531964613"/>
    <n v="202403"/>
    <n v="202301"/>
    <s v="Mar-2023"/>
    <x v="0"/>
  </r>
  <r>
    <x v="274"/>
    <d v="2024-01-25T00:00:00"/>
    <x v="9"/>
    <x v="0"/>
    <d v="2024-01-27T00:00:00"/>
    <n v="2"/>
    <x v="2"/>
    <x v="5"/>
    <s v="São Paulo"/>
    <s v="Americas &gt; Brazil &gt; São Paulo"/>
    <s v="Non-Profit"/>
    <x v="2"/>
    <x v="13"/>
    <x v="4"/>
    <x v="275"/>
    <n v="1410.97"/>
    <n v="1650.75"/>
    <s v="High"/>
    <n v="0.13500000000000001"/>
    <n v="6"/>
    <n v="8567.3924999999999"/>
    <n v="8465.82"/>
    <n v="101.57250000000022"/>
    <n v="1.1855707556295596E-2"/>
    <n v="202401"/>
    <n v="202301"/>
    <s v="Jan-2023"/>
    <x v="9"/>
  </r>
  <r>
    <x v="275"/>
    <d v="2024-03-27T00:00:00"/>
    <x v="0"/>
    <x v="0"/>
    <d v="2024-04-11T00:00:00"/>
    <n v="15"/>
    <x v="2"/>
    <x v="10"/>
    <s v="San Francisco"/>
    <s v="Americas &gt; USA &gt; San Francisco"/>
    <s v="Small Business"/>
    <x v="4"/>
    <x v="7"/>
    <x v="2"/>
    <x v="276"/>
    <n v="1338.35"/>
    <n v="2247.14"/>
    <s v="High"/>
    <n v="0.115"/>
    <n v="40"/>
    <n v="79548.755999999994"/>
    <n v="53534"/>
    <n v="26014.755999999994"/>
    <n v="0.32702907384246205"/>
    <n v="202403"/>
    <n v="202301"/>
    <s v="Mar-2023"/>
    <x v="0"/>
  </r>
  <r>
    <x v="276"/>
    <d v="2025-06-24T00:00:00"/>
    <x v="16"/>
    <x v="2"/>
    <d v="2025-07-14T00:00:00"/>
    <n v="20"/>
    <x v="3"/>
    <x v="6"/>
    <s v="Berlin"/>
    <s v="Europe &gt; Germany &gt; Berlin"/>
    <s v="Corporate"/>
    <x v="4"/>
    <x v="7"/>
    <x v="6"/>
    <x v="277"/>
    <n v="385.08"/>
    <n v="893.19"/>
    <s v="Low"/>
    <n v="0.151"/>
    <n v="8"/>
    <n v="6066.54648"/>
    <n v="3080.64"/>
    <n v="2985.9064800000001"/>
    <n v="0.49219213762621666"/>
    <n v="202506"/>
    <n v="202301"/>
    <s v="Jun-2023"/>
    <x v="16"/>
  </r>
  <r>
    <x v="277"/>
    <d v="2024-06-16T00:00:00"/>
    <x v="17"/>
    <x v="2"/>
    <d v="2024-07-03T00:00:00"/>
    <n v="17"/>
    <x v="0"/>
    <x v="11"/>
    <s v="Johannesburg"/>
    <s v="Africa &gt; South Africa &gt; Johannesburg"/>
    <s v="Enterprise"/>
    <x v="2"/>
    <x v="9"/>
    <x v="3"/>
    <x v="278"/>
    <n v="1173.83"/>
    <n v="2328.9"/>
    <s v="High"/>
    <n v="0.12"/>
    <n v="17"/>
    <n v="34840.344000000005"/>
    <n v="19955.11"/>
    <n v="14885.234000000004"/>
    <n v="0.42724130393201637"/>
    <n v="202406"/>
    <n v="202301"/>
    <s v="Jun-2023"/>
    <x v="17"/>
  </r>
  <r>
    <x v="278"/>
    <d v="2023-10-30T00:00:00"/>
    <x v="32"/>
    <x v="1"/>
    <d v="2023-11-14T00:00:00"/>
    <n v="15"/>
    <x v="1"/>
    <x v="4"/>
    <s v="Bengaluru"/>
    <s v="Asia &gt; India &gt; Bengaluru"/>
    <s v="Corporate"/>
    <x v="1"/>
    <x v="9"/>
    <x v="4"/>
    <x v="279"/>
    <n v="953.46"/>
    <n v="2066.75"/>
    <s v="Medium"/>
    <n v="0.13800000000000001"/>
    <n v="5"/>
    <n v="8907.6924999999992"/>
    <n v="4767.3"/>
    <n v="4140.392499999999"/>
    <n v="0.46481089238318446"/>
    <n v="202310"/>
    <n v="202301"/>
    <s v="Oct-2023"/>
    <x v="4"/>
  </r>
  <r>
    <x v="279"/>
    <d v="2023-06-15T00:00:00"/>
    <x v="23"/>
    <x v="2"/>
    <d v="2023-06-23T00:00:00"/>
    <n v="8"/>
    <x v="2"/>
    <x v="10"/>
    <s v="San Francisco"/>
    <s v="Americas &gt; USA &gt; San Francisco"/>
    <s v="Consumer"/>
    <x v="3"/>
    <x v="7"/>
    <x v="5"/>
    <x v="280"/>
    <n v="1097.0899999999999"/>
    <n v="2182.31"/>
    <s v="High"/>
    <n v="0.112"/>
    <n v="9"/>
    <n v="17441.021520000002"/>
    <n v="9873.81"/>
    <n v="7567.2115200000026"/>
    <n v="0.43387432962699546"/>
    <n v="202306"/>
    <n v="202301"/>
    <s v="Jun-2023"/>
    <x v="22"/>
  </r>
  <r>
    <x v="280"/>
    <d v="2025-03-14T00:00:00"/>
    <x v="3"/>
    <x v="0"/>
    <d v="2025-03-29T00:00:00"/>
    <n v="15"/>
    <x v="1"/>
    <x v="2"/>
    <s v="Tokyo"/>
    <s v="Asia &gt; Japan &gt; Tokyo"/>
    <s v="Non-Profit"/>
    <x v="4"/>
    <x v="10"/>
    <x v="2"/>
    <x v="281"/>
    <n v="1106.96"/>
    <n v="2726.62"/>
    <s v="High"/>
    <n v="0.317"/>
    <n v="7"/>
    <n v="13035.970220000001"/>
    <n v="7748.72"/>
    <n v="5287.2502200000008"/>
    <n v="0.40558931408789306"/>
    <n v="202503"/>
    <n v="202303"/>
    <s v="Mar-2023"/>
    <x v="24"/>
  </r>
  <r>
    <x v="281"/>
    <d v="2023-08-15T00:00:00"/>
    <x v="25"/>
    <x v="3"/>
    <d v="2023-08-25T00:00:00"/>
    <n v="10"/>
    <x v="0"/>
    <x v="0"/>
    <s v="Nairobi"/>
    <s v="Africa &gt; Kenya &gt; Nairobi"/>
    <s v="Small Business"/>
    <x v="0"/>
    <x v="13"/>
    <x v="3"/>
    <x v="282"/>
    <n v="91.85"/>
    <n v="111.29"/>
    <s v="Low"/>
    <n v="0"/>
    <n v="6"/>
    <n v="667.74"/>
    <n v="551.09999999999991"/>
    <n v="116.6400000000001"/>
    <n v="0.17467876718483258"/>
    <n v="202308"/>
    <n v="202301"/>
    <s v="Aug-2023"/>
    <x v="25"/>
  </r>
  <r>
    <x v="282"/>
    <d v="2025-05-17T00:00:00"/>
    <x v="8"/>
    <x v="2"/>
    <d v="2025-05-28T00:00:00"/>
    <n v="11"/>
    <x v="1"/>
    <x v="4"/>
    <s v="Bengaluru"/>
    <s v="Asia &gt; India &gt; Bengaluru"/>
    <s v="Corporate"/>
    <x v="3"/>
    <x v="5"/>
    <x v="4"/>
    <x v="283"/>
    <n v="623.4"/>
    <n v="1100.0899999999999"/>
    <s v="Medium"/>
    <n v="0.114"/>
    <n v="12"/>
    <n v="11696.156879999999"/>
    <n v="7480.7999999999993"/>
    <n v="4215.3568799999994"/>
    <n v="0.36040529579490388"/>
    <n v="202505"/>
    <n v="202301"/>
    <s v="May-2023"/>
    <x v="8"/>
  </r>
  <r>
    <x v="283"/>
    <d v="2024-01-13T00:00:00"/>
    <x v="9"/>
    <x v="0"/>
    <d v="2024-02-05T00:00:00"/>
    <n v="23"/>
    <x v="3"/>
    <x v="6"/>
    <s v="Frankfurt"/>
    <s v="Europe &gt; Germany &gt; Frankfurt"/>
    <s v="Education"/>
    <x v="4"/>
    <x v="5"/>
    <x v="4"/>
    <x v="284"/>
    <n v="1017.93"/>
    <n v="1529.14"/>
    <s v="High"/>
    <n v="0.155"/>
    <n v="12"/>
    <n v="15505.479600000001"/>
    <n v="12215.16"/>
    <n v="3290.3196000000007"/>
    <n v="0.21220366508366503"/>
    <n v="202401"/>
    <n v="202301"/>
    <s v="Jan-2023"/>
    <x v="9"/>
  </r>
  <r>
    <x v="284"/>
    <d v="2023-06-24T00:00:00"/>
    <x v="23"/>
    <x v="2"/>
    <d v="2023-07-21T00:00:00"/>
    <n v="27"/>
    <x v="1"/>
    <x v="2"/>
    <s v="Nagoya"/>
    <s v="Asia &gt; Japan &gt; Nagoya"/>
    <s v="Consumer"/>
    <x v="2"/>
    <x v="1"/>
    <x v="3"/>
    <x v="285"/>
    <n v="554.76"/>
    <n v="728.69"/>
    <s v="Medium"/>
    <n v="0.22"/>
    <n v="7"/>
    <n v="3978.6474000000003"/>
    <n v="3883.3199999999997"/>
    <n v="95.32740000000058"/>
    <n v="2.395975074343119E-2"/>
    <n v="202306"/>
    <n v="202303"/>
    <s v="Jun-2023"/>
    <x v="12"/>
  </r>
  <r>
    <x v="285"/>
    <d v="2025-04-04T00:00:00"/>
    <x v="19"/>
    <x v="2"/>
    <d v="2025-04-13T00:00:00"/>
    <n v="9"/>
    <x v="3"/>
    <x v="6"/>
    <s v="Munich"/>
    <s v="Europe &gt; Germany &gt; Munich"/>
    <s v="Consumer"/>
    <x v="2"/>
    <x v="9"/>
    <x v="3"/>
    <x v="286"/>
    <n v="7.02"/>
    <n v="6.28"/>
    <s v="Low"/>
    <n v="0.13400000000000001"/>
    <n v="14"/>
    <n v="76.138720000000006"/>
    <n v="98.28"/>
    <n v="-22.141279999999995"/>
    <n v="-0.29080184169106066"/>
    <n v="202504"/>
    <n v="202301"/>
    <s v="Apr-2023"/>
    <x v="18"/>
  </r>
  <r>
    <x v="286"/>
    <d v="2024-09-07T00:00:00"/>
    <x v="29"/>
    <x v="3"/>
    <d v="2024-09-07T00:00:00"/>
    <n v="0"/>
    <x v="1"/>
    <x v="4"/>
    <s v="Mumbai"/>
    <s v="Asia &gt; India &gt; Mumbai"/>
    <s v="Education"/>
    <x v="3"/>
    <x v="5"/>
    <x v="2"/>
    <x v="287"/>
    <n v="1066.6500000000001"/>
    <n v="2569.77"/>
    <s v="High"/>
    <n v="0.13400000000000001"/>
    <n v="9"/>
    <n v="20028.787380000002"/>
    <n v="9599.85"/>
    <n v="10428.937380000001"/>
    <n v="0.52069739331368348"/>
    <n v="202409"/>
    <n v="202301"/>
    <s v="Sept-2023"/>
    <x v="30"/>
  </r>
  <r>
    <x v="287"/>
    <d v="2024-01-28T00:00:00"/>
    <x v="9"/>
    <x v="0"/>
    <d v="2024-01-30T00:00:00"/>
    <n v="2"/>
    <x v="0"/>
    <x v="11"/>
    <s v="Cape Town"/>
    <s v="Africa &gt; South Africa &gt; Cape Town"/>
    <s v="Consumer"/>
    <x v="4"/>
    <x v="9"/>
    <x v="6"/>
    <x v="288"/>
    <n v="798.45"/>
    <n v="1592.02"/>
    <s v="Medium"/>
    <n v="6.6000000000000003E-2"/>
    <n v="18"/>
    <n v="26765.040239999998"/>
    <n v="14372.1"/>
    <n v="12392.940239999998"/>
    <n v="0.46302714768494585"/>
    <n v="202401"/>
    <n v="202301"/>
    <s v="Jan-2023"/>
    <x v="9"/>
  </r>
  <r>
    <x v="288"/>
    <d v="2023-07-18T00:00:00"/>
    <x v="24"/>
    <x v="3"/>
    <d v="2023-08-10T00:00:00"/>
    <n v="23"/>
    <x v="0"/>
    <x v="11"/>
    <s v="Johannesburg"/>
    <s v="Africa &gt; South Africa &gt; Johannesburg"/>
    <s v="Small Business"/>
    <x v="0"/>
    <x v="4"/>
    <x v="0"/>
    <x v="289"/>
    <n v="1271.56"/>
    <n v="995.47"/>
    <s v="High"/>
    <n v="0.192"/>
    <n v="13"/>
    <n v="10456.416880000001"/>
    <n v="16530.28"/>
    <n v="-6073.8631199999982"/>
    <n v="-0.58087423155607754"/>
    <n v="202307"/>
    <n v="202301"/>
    <s v="Jul-2023"/>
    <x v="23"/>
  </r>
  <r>
    <x v="289"/>
    <d v="2025-08-28T00:00:00"/>
    <x v="28"/>
    <x v="3"/>
    <d v="2025-08-30T00:00:00"/>
    <n v="2"/>
    <x v="0"/>
    <x v="1"/>
    <s v="Port Harcourt"/>
    <s v="Africa &gt; Nigeria &gt; Port Harcourt"/>
    <s v="Small Business"/>
    <x v="0"/>
    <x v="8"/>
    <x v="6"/>
    <x v="290"/>
    <n v="521.05999999999995"/>
    <n v="1240.31"/>
    <s v="Medium"/>
    <n v="0.14599999999999999"/>
    <n v="18"/>
    <n v="19066.045319999997"/>
    <n v="9379.0799999999981"/>
    <n v="9686.9653199999993"/>
    <n v="0.50807417885650974"/>
    <n v="202508"/>
    <n v="202301"/>
    <s v="Aug-2023"/>
    <x v="29"/>
  </r>
  <r>
    <x v="290"/>
    <d v="2025-03-30T00:00:00"/>
    <x v="3"/>
    <x v="0"/>
    <d v="2025-04-07T00:00:00"/>
    <n v="8"/>
    <x v="2"/>
    <x v="5"/>
    <s v="São Paulo"/>
    <s v="Americas &gt; Brazil &gt; São Paulo"/>
    <s v="Non-Profit"/>
    <x v="4"/>
    <x v="4"/>
    <x v="1"/>
    <x v="291"/>
    <n v="71.62"/>
    <n v="118.37"/>
    <s v="Low"/>
    <n v="0.156"/>
    <n v="11"/>
    <n v="1098.9470800000001"/>
    <n v="787.82"/>
    <n v="311.12708000000009"/>
    <n v="0.28311379652603474"/>
    <n v="202503"/>
    <n v="202301"/>
    <s v="Mar-2023"/>
    <x v="3"/>
  </r>
  <r>
    <x v="291"/>
    <d v="2023-10-21T00:00:00"/>
    <x v="32"/>
    <x v="1"/>
    <d v="2023-11-09T00:00:00"/>
    <n v="19"/>
    <x v="3"/>
    <x v="8"/>
    <s v="London"/>
    <s v="Europe &gt; United Kingdom &gt; London"/>
    <s v="Non-Profit"/>
    <x v="4"/>
    <x v="8"/>
    <x v="6"/>
    <x v="292"/>
    <n v="1142.48"/>
    <n v="2105.5300000000002"/>
    <s v="High"/>
    <n v="0.20699999999999999"/>
    <n v="14"/>
    <n v="23375.594060000003"/>
    <n v="15994.720000000001"/>
    <n v="7380.8740600000019"/>
    <n v="0.31575129346680658"/>
    <n v="202310"/>
    <n v="202301"/>
    <s v="Oct-2023"/>
    <x v="4"/>
  </r>
  <r>
    <x v="292"/>
    <d v="2023-08-23T00:00:00"/>
    <x v="25"/>
    <x v="3"/>
    <d v="2023-09-22T00:00:00"/>
    <n v="30"/>
    <x v="3"/>
    <x v="8"/>
    <s v="London"/>
    <s v="Europe &gt; United Kingdom &gt; London"/>
    <s v="Consumer"/>
    <x v="3"/>
    <x v="7"/>
    <x v="6"/>
    <x v="293"/>
    <n v="209.81"/>
    <n v="523"/>
    <s v="Low"/>
    <n v="5.8999999999999997E-2"/>
    <n v="15"/>
    <n v="7382.1450000000004"/>
    <n v="3147.15"/>
    <n v="4234.9950000000008"/>
    <n v="0.57368082041195356"/>
    <n v="202308"/>
    <n v="202301"/>
    <s v="Aug-2023"/>
    <x v="25"/>
  </r>
  <r>
    <x v="293"/>
    <d v="2025-04-11T00:00:00"/>
    <x v="19"/>
    <x v="2"/>
    <d v="2025-05-04T00:00:00"/>
    <n v="23"/>
    <x v="1"/>
    <x v="2"/>
    <s v="Osaka"/>
    <s v="Asia &gt; Japan &gt; Osaka"/>
    <s v="Small Business"/>
    <x v="1"/>
    <x v="12"/>
    <x v="0"/>
    <x v="294"/>
    <n v="786.2"/>
    <n v="1075.3"/>
    <s v="Medium"/>
    <n v="0.08"/>
    <n v="9"/>
    <n v="8903.4839999999986"/>
    <n v="7075.8"/>
    <n v="1827.6839999999984"/>
    <n v="0.20527739478163815"/>
    <n v="202504"/>
    <n v="202303"/>
    <s v="Apr-2023"/>
    <x v="26"/>
  </r>
  <r>
    <x v="294"/>
    <d v="2025-06-01T00:00:00"/>
    <x v="16"/>
    <x v="2"/>
    <d v="2025-06-27T00:00:00"/>
    <n v="26"/>
    <x v="3"/>
    <x v="6"/>
    <s v="Munich"/>
    <s v="Europe &gt; Germany &gt; Munich"/>
    <s v="Consumer"/>
    <x v="3"/>
    <x v="6"/>
    <x v="4"/>
    <x v="295"/>
    <n v="1362.31"/>
    <n v="3294.57"/>
    <s v="High"/>
    <n v="0.113"/>
    <n v="7"/>
    <n v="20455.985130000001"/>
    <n v="9536.17"/>
    <n v="10919.815130000001"/>
    <n v="0.5338200561157721"/>
    <n v="202506"/>
    <n v="202301"/>
    <s v="Jun-2023"/>
    <x v="16"/>
  </r>
  <r>
    <x v="295"/>
    <d v="2024-03-02T00:00:00"/>
    <x v="0"/>
    <x v="0"/>
    <d v="2024-03-16T00:00:00"/>
    <n v="14"/>
    <x v="2"/>
    <x v="3"/>
    <s v="Vancouver"/>
    <s v="Americas &gt; Canada &gt; Vancouver"/>
    <s v="Non-Profit"/>
    <x v="4"/>
    <x v="7"/>
    <x v="1"/>
    <x v="296"/>
    <n v="248.24"/>
    <n v="464.05"/>
    <s v="Low"/>
    <n v="0.16900000000000001"/>
    <n v="11"/>
    <n v="4241.88105"/>
    <n v="2730.6400000000003"/>
    <n v="1511.2410499999996"/>
    <n v="0.3562667203975462"/>
    <n v="202403"/>
    <n v="202301"/>
    <s v="Mar-2023"/>
    <x v="0"/>
  </r>
  <r>
    <x v="296"/>
    <d v="2023-06-20T00:00:00"/>
    <x v="23"/>
    <x v="2"/>
    <d v="2023-07-08T00:00:00"/>
    <n v="18"/>
    <x v="2"/>
    <x v="10"/>
    <s v="Austin"/>
    <s v="Americas &gt; USA &gt; Austin"/>
    <s v="Non-Profit"/>
    <x v="4"/>
    <x v="9"/>
    <x v="5"/>
    <x v="297"/>
    <n v="337"/>
    <n v="511.03"/>
    <s v="Low"/>
    <n v="0.108"/>
    <n v="7"/>
    <n v="3190.8713200000002"/>
    <n v="2359"/>
    <n v="831.8713200000002"/>
    <n v="0.26070349963219458"/>
    <n v="202306"/>
    <n v="202301"/>
    <s v="Jun-2023"/>
    <x v="22"/>
  </r>
  <r>
    <x v="297"/>
    <d v="2024-03-26T00:00:00"/>
    <x v="0"/>
    <x v="0"/>
    <d v="2024-04-05T00:00:00"/>
    <n v="10"/>
    <x v="2"/>
    <x v="10"/>
    <s v="Austin"/>
    <s v="Americas &gt; USA &gt; Austin"/>
    <s v="Consumer"/>
    <x v="4"/>
    <x v="1"/>
    <x v="5"/>
    <x v="298"/>
    <n v="5.66"/>
    <n v="4.22"/>
    <s v="Low"/>
    <n v="0.11899999999999999"/>
    <n v="18"/>
    <n v="66.920760000000001"/>
    <n v="101.88"/>
    <n v="-34.959239999999994"/>
    <n v="-0.52239753403876454"/>
    <n v="202403"/>
    <n v="202301"/>
    <s v="Mar-2023"/>
    <x v="0"/>
  </r>
  <r>
    <x v="298"/>
    <d v="2025-01-22T00:00:00"/>
    <x v="10"/>
    <x v="0"/>
    <d v="2025-01-22T00:00:00"/>
    <n v="0"/>
    <x v="3"/>
    <x v="7"/>
    <s v="Lyon"/>
    <s v="Europe &gt; France &gt; Lyon"/>
    <s v="Small Business"/>
    <x v="1"/>
    <x v="5"/>
    <x v="6"/>
    <x v="299"/>
    <n v="591.72"/>
    <n v="577.24"/>
    <s v="Medium"/>
    <n v="0"/>
    <n v="22"/>
    <n v="12699.28"/>
    <n v="13017.84"/>
    <n v="-318.55999999999949"/>
    <n v="-2.5084886702238195E-2"/>
    <n v="202501"/>
    <n v="202301"/>
    <s v="Jan-2023"/>
    <x v="24"/>
  </r>
  <r>
    <x v="299"/>
    <d v="2025-05-10T00:00:00"/>
    <x v="8"/>
    <x v="2"/>
    <d v="2025-05-27T00:00:00"/>
    <n v="17"/>
    <x v="2"/>
    <x v="3"/>
    <s v="Vancouver"/>
    <s v="Americas &gt; Canada &gt; Vancouver"/>
    <s v="Education"/>
    <x v="4"/>
    <x v="0"/>
    <x v="0"/>
    <x v="300"/>
    <n v="862.89"/>
    <n v="1426.03"/>
    <s v="Medium"/>
    <n v="5.6000000000000001E-2"/>
    <n v="19"/>
    <n v="25577.274079999999"/>
    <n v="16394.91"/>
    <n v="9182.3640799999994"/>
    <n v="0.35900479665188778"/>
    <n v="202505"/>
    <n v="202301"/>
    <s v="May-2023"/>
    <x v="8"/>
  </r>
  <r>
    <x v="300"/>
    <d v="2023-10-05T00:00:00"/>
    <x v="32"/>
    <x v="1"/>
    <d v="2023-10-31T00:00:00"/>
    <n v="26"/>
    <x v="1"/>
    <x v="9"/>
    <s v="Shanghai"/>
    <s v="Asia &gt; China &gt; Shanghai"/>
    <s v="Consumer"/>
    <x v="5"/>
    <x v="1"/>
    <x v="1"/>
    <x v="301"/>
    <n v="649.91"/>
    <n v="1360.12"/>
    <s v="Medium"/>
    <n v="0.19400000000000001"/>
    <n v="9"/>
    <n v="9866.3104799999983"/>
    <n v="5849.19"/>
    <n v="4017.1204799999987"/>
    <n v="0.40715528749506769"/>
    <n v="202310"/>
    <n v="202301"/>
    <s v="Oct-2023"/>
    <x v="4"/>
  </r>
  <r>
    <x v="301"/>
    <d v="2023-07-18T00:00:00"/>
    <x v="24"/>
    <x v="3"/>
    <d v="2023-07-22T00:00:00"/>
    <n v="4"/>
    <x v="2"/>
    <x v="5"/>
    <s v="São Paulo"/>
    <s v="Americas &gt; Brazil &gt; São Paulo"/>
    <s v="Consumer"/>
    <x v="4"/>
    <x v="9"/>
    <x v="2"/>
    <x v="302"/>
    <n v="1269.55"/>
    <n v="2071.1"/>
    <s v="High"/>
    <n v="0.129"/>
    <n v="22"/>
    <n v="39686.4182"/>
    <n v="27930.1"/>
    <n v="11756.318200000002"/>
    <n v="0.29623026549672354"/>
    <n v="202307"/>
    <n v="202301"/>
    <s v="Jul-2023"/>
    <x v="23"/>
  </r>
  <r>
    <x v="302"/>
    <d v="2025-06-22T00:00:00"/>
    <x v="16"/>
    <x v="2"/>
    <d v="2025-07-08T00:00:00"/>
    <n v="16"/>
    <x v="3"/>
    <x v="8"/>
    <s v="London"/>
    <s v="Europe &gt; United Kingdom &gt; London"/>
    <s v="Education"/>
    <x v="4"/>
    <x v="8"/>
    <x v="3"/>
    <x v="303"/>
    <n v="892.73"/>
    <n v="979.84"/>
    <s v="Medium"/>
    <n v="0.17399999999999999"/>
    <n v="10"/>
    <n v="8093.4784"/>
    <n v="8927.2999999999993"/>
    <n v="-833.82159999999931"/>
    <n v="-0.10302388649112838"/>
    <n v="202506"/>
    <n v="202301"/>
    <s v="Jun-2023"/>
    <x v="16"/>
  </r>
  <r>
    <x v="303"/>
    <d v="2024-06-19T00:00:00"/>
    <x v="17"/>
    <x v="2"/>
    <d v="2024-06-20T00:00:00"/>
    <n v="1"/>
    <x v="0"/>
    <x v="0"/>
    <s v="Kisumu"/>
    <s v="Africa &gt; Kenya &gt; Kisumu"/>
    <s v="Small Business"/>
    <x v="4"/>
    <x v="1"/>
    <x v="4"/>
    <x v="304"/>
    <n v="231.63"/>
    <n v="537.39"/>
    <s v="Low"/>
    <n v="0.08"/>
    <n v="12"/>
    <n v="5932.7856000000002"/>
    <n v="2779.56"/>
    <n v="3153.2256000000002"/>
    <n v="0.53149158129024587"/>
    <n v="202406"/>
    <n v="202301"/>
    <s v="Jun-2023"/>
    <x v="17"/>
  </r>
  <r>
    <x v="304"/>
    <d v="2025-04-09T00:00:00"/>
    <x v="19"/>
    <x v="2"/>
    <d v="2025-04-12T00:00:00"/>
    <n v="3"/>
    <x v="3"/>
    <x v="7"/>
    <s v="Lyon"/>
    <s v="Europe &gt; France &gt; Lyon"/>
    <s v="Small Business"/>
    <x v="3"/>
    <x v="10"/>
    <x v="5"/>
    <x v="305"/>
    <n v="86.68"/>
    <n v="213.32"/>
    <s v="Low"/>
    <n v="3.7999999999999999E-2"/>
    <n v="8"/>
    <n v="1641.7107199999998"/>
    <n v="693.44"/>
    <n v="948.27071999999976"/>
    <n v="0.57761133459614611"/>
    <n v="202504"/>
    <n v="202301"/>
    <s v="Apr-2023"/>
    <x v="18"/>
  </r>
  <r>
    <x v="305"/>
    <d v="2025-03-25T00:00:00"/>
    <x v="3"/>
    <x v="0"/>
    <d v="2025-03-26T00:00:00"/>
    <n v="1"/>
    <x v="0"/>
    <x v="1"/>
    <s v="Lagos"/>
    <s v="Africa &gt; Nigeria &gt; Lagos"/>
    <s v="Education"/>
    <x v="3"/>
    <x v="3"/>
    <x v="6"/>
    <x v="306"/>
    <n v="1450.43"/>
    <n v="1994.67"/>
    <s v="High"/>
    <n v="0.1"/>
    <n v="24"/>
    <n v="43084.872000000003"/>
    <n v="34810.32"/>
    <n v="8274.5520000000033"/>
    <n v="0.19205237513529116"/>
    <n v="202503"/>
    <n v="202301"/>
    <s v="Mar-2023"/>
    <x v="3"/>
  </r>
  <r>
    <x v="306"/>
    <d v="2025-05-18T00:00:00"/>
    <x v="8"/>
    <x v="2"/>
    <d v="2025-06-09T00:00:00"/>
    <n v="22"/>
    <x v="2"/>
    <x v="10"/>
    <s v="New York"/>
    <s v="Americas &gt; USA &gt; New York"/>
    <s v="Consumer"/>
    <x v="0"/>
    <x v="10"/>
    <x v="2"/>
    <x v="307"/>
    <n v="382.96"/>
    <n v="552.84"/>
    <s v="Low"/>
    <n v="0.17599999999999999"/>
    <n v="8"/>
    <n v="3644.3212800000006"/>
    <n v="3063.68"/>
    <n v="580.64128000000073"/>
    <n v="0.15932768693763483"/>
    <n v="202505"/>
    <n v="202301"/>
    <s v="May-2023"/>
    <x v="8"/>
  </r>
  <r>
    <x v="307"/>
    <d v="2025-01-22T00:00:00"/>
    <x v="10"/>
    <x v="0"/>
    <d v="2025-02-04T00:00:00"/>
    <n v="13"/>
    <x v="1"/>
    <x v="2"/>
    <s v="Tokyo"/>
    <s v="Asia &gt; Japan &gt; Tokyo"/>
    <s v="Small Business"/>
    <x v="3"/>
    <x v="4"/>
    <x v="1"/>
    <x v="308"/>
    <n v="122.29"/>
    <n v="224.95"/>
    <s v="Low"/>
    <n v="0.153"/>
    <n v="28"/>
    <n v="5334.9141999999993"/>
    <n v="3424.1200000000003"/>
    <n v="1910.7941999999989"/>
    <n v="0.3581677471026618"/>
    <n v="202501"/>
    <n v="202303"/>
    <s v="Jan-2023"/>
    <x v="10"/>
  </r>
  <r>
    <x v="308"/>
    <d v="2023-01-10T00:00:00"/>
    <x v="5"/>
    <x v="0"/>
    <d v="2023-01-29T00:00:00"/>
    <n v="19"/>
    <x v="3"/>
    <x v="7"/>
    <s v="Lyon"/>
    <s v="Europe &gt; France &gt; Lyon"/>
    <s v="Non-Profit"/>
    <x v="4"/>
    <x v="14"/>
    <x v="4"/>
    <x v="309"/>
    <n v="401.66"/>
    <n v="772.09"/>
    <s v="Low"/>
    <n v="8.8999999999999996E-2"/>
    <n v="14"/>
    <n v="9847.2358600000007"/>
    <n v="5623.2400000000007"/>
    <n v="4223.99586"/>
    <n v="0.42895244107619046"/>
    <n v="202301"/>
    <n v="202301"/>
    <s v="Jan-2023"/>
    <x v="5"/>
  </r>
  <r>
    <x v="309"/>
    <d v="2024-12-29T00:00:00"/>
    <x v="6"/>
    <x v="1"/>
    <d v="2025-01-12T00:00:00"/>
    <n v="14"/>
    <x v="3"/>
    <x v="8"/>
    <s v="Manchester"/>
    <s v="Europe &gt; United Kingdom &gt; Manchester"/>
    <s v="Corporate"/>
    <x v="4"/>
    <x v="5"/>
    <x v="5"/>
    <x v="310"/>
    <n v="1399.72"/>
    <n v="3149.21"/>
    <s v="High"/>
    <n v="0.185"/>
    <n v="12"/>
    <n v="30799.273800000003"/>
    <n v="16796.64"/>
    <n v="14002.633800000003"/>
    <n v="0.45464168703873797"/>
    <n v="202412"/>
    <n v="202301"/>
    <s v="Dec-2023"/>
    <x v="6"/>
  </r>
  <r>
    <x v="310"/>
    <d v="2024-05-23T00:00:00"/>
    <x v="7"/>
    <x v="2"/>
    <d v="2024-06-06T00:00:00"/>
    <n v="14"/>
    <x v="2"/>
    <x v="5"/>
    <s v="Rio de Janeiro"/>
    <s v="Americas &gt; Brazil &gt; Rio de Janeiro"/>
    <s v="Non-Profit"/>
    <x v="1"/>
    <x v="2"/>
    <x v="2"/>
    <x v="311"/>
    <n v="51.13"/>
    <n v="57.53"/>
    <s v="Low"/>
    <n v="4.4999999999999998E-2"/>
    <n v="16"/>
    <n v="879.05840000000001"/>
    <n v="818.08"/>
    <n v="60.978399999999965"/>
    <n v="6.9367859973808302E-2"/>
    <n v="202405"/>
    <n v="202301"/>
    <s v="May-2023"/>
    <x v="7"/>
  </r>
  <r>
    <x v="311"/>
    <d v="2023-06-24T00:00:00"/>
    <x v="23"/>
    <x v="2"/>
    <d v="2023-06-26T00:00:00"/>
    <n v="2"/>
    <x v="2"/>
    <x v="3"/>
    <s v="Toronto"/>
    <s v="Americas &gt; Canada &gt; Toronto"/>
    <s v="Non-Profit"/>
    <x v="0"/>
    <x v="12"/>
    <x v="6"/>
    <x v="312"/>
    <n v="471.42"/>
    <n v="824.81"/>
    <s v="Low"/>
    <n v="8.7999999999999995E-2"/>
    <n v="15"/>
    <n v="11283.400799999999"/>
    <n v="7071.3"/>
    <n v="4212.1007999999993"/>
    <n v="0.37330064531608231"/>
    <n v="202306"/>
    <n v="202301"/>
    <s v="Jun-2023"/>
    <x v="22"/>
  </r>
  <r>
    <x v="312"/>
    <d v="2024-11-04T00:00:00"/>
    <x v="18"/>
    <x v="1"/>
    <d v="2024-11-05T00:00:00"/>
    <n v="1"/>
    <x v="3"/>
    <x v="8"/>
    <s v="London"/>
    <s v="Europe &gt; United Kingdom &gt; London"/>
    <s v="Corporate"/>
    <x v="0"/>
    <x v="12"/>
    <x v="1"/>
    <x v="313"/>
    <n v="840.68"/>
    <n v="1493.53"/>
    <s v="Medium"/>
    <n v="0"/>
    <n v="27"/>
    <n v="40325.31"/>
    <n v="22698.359999999997"/>
    <n v="17626.95"/>
    <n v="0.43711877230454027"/>
    <n v="202411"/>
    <n v="202301"/>
    <s v="Nov-2023"/>
    <x v="10"/>
  </r>
  <r>
    <x v="313"/>
    <d v="2024-06-08T00:00:00"/>
    <x v="17"/>
    <x v="2"/>
    <d v="2024-06-24T00:00:00"/>
    <n v="16"/>
    <x v="0"/>
    <x v="11"/>
    <s v="Durban"/>
    <s v="Africa &gt; South Africa &gt; Durban"/>
    <s v="Education"/>
    <x v="3"/>
    <x v="10"/>
    <x v="5"/>
    <x v="314"/>
    <n v="597.85"/>
    <n v="741.92"/>
    <s v="Medium"/>
    <n v="3.1E-2"/>
    <n v="7"/>
    <n v="5032.4433599999993"/>
    <n v="4184.95"/>
    <n v="847.49335999999948"/>
    <n v="0.16840594108544515"/>
    <n v="202406"/>
    <n v="202301"/>
    <s v="Jun-2023"/>
    <x v="17"/>
  </r>
  <r>
    <x v="314"/>
    <d v="2025-06-01T00:00:00"/>
    <x v="16"/>
    <x v="2"/>
    <d v="2025-06-06T00:00:00"/>
    <n v="5"/>
    <x v="3"/>
    <x v="7"/>
    <s v="Paris"/>
    <s v="Europe &gt; France &gt; Paris"/>
    <s v="Consumer"/>
    <x v="3"/>
    <x v="3"/>
    <x v="0"/>
    <x v="315"/>
    <n v="379.45"/>
    <n v="742.23"/>
    <s v="Low"/>
    <n v="0.09"/>
    <n v="13"/>
    <n v="8780.5809000000008"/>
    <n v="4932.8499999999995"/>
    <n v="3847.7309000000014"/>
    <n v="0.43820915083192286"/>
    <n v="202506"/>
    <n v="202301"/>
    <s v="Jun-2023"/>
    <x v="16"/>
  </r>
  <r>
    <x v="315"/>
    <d v="2023-05-06T00:00:00"/>
    <x v="15"/>
    <x v="2"/>
    <d v="2023-05-14T00:00:00"/>
    <n v="8"/>
    <x v="1"/>
    <x v="2"/>
    <s v="Osaka"/>
    <s v="Asia &gt; Japan &gt; Osaka"/>
    <s v="Enterprise"/>
    <x v="2"/>
    <x v="5"/>
    <x v="3"/>
    <x v="316"/>
    <n v="291.18"/>
    <n v="479.54"/>
    <s v="Low"/>
    <n v="0.14099999999999999"/>
    <n v="22"/>
    <n v="9062.34692"/>
    <n v="6405.96"/>
    <n v="2656.3869199999999"/>
    <n v="0.29312350801066001"/>
    <n v="202305"/>
    <n v="202303"/>
    <s v="May-2023"/>
    <x v="21"/>
  </r>
  <r>
    <x v="316"/>
    <d v="2023-11-14T00:00:00"/>
    <x v="30"/>
    <x v="1"/>
    <d v="2023-11-30T00:00:00"/>
    <n v="16"/>
    <x v="2"/>
    <x v="5"/>
    <s v="São Paulo"/>
    <s v="Americas &gt; Brazil &gt; São Paulo"/>
    <s v="Enterprise"/>
    <x v="4"/>
    <x v="11"/>
    <x v="2"/>
    <x v="317"/>
    <n v="1017.92"/>
    <n v="1175.25"/>
    <s v="High"/>
    <n v="7.4999999999999997E-2"/>
    <n v="15"/>
    <n v="16306.59375"/>
    <n v="15268.8"/>
    <n v="1037.7937500000007"/>
    <n v="6.3642583234159542E-2"/>
    <n v="202311"/>
    <n v="202301"/>
    <s v="Nov-2023"/>
    <x v="31"/>
  </r>
  <r>
    <x v="317"/>
    <d v="2025-04-01T00:00:00"/>
    <x v="19"/>
    <x v="2"/>
    <d v="2025-04-27T00:00:00"/>
    <n v="26"/>
    <x v="2"/>
    <x v="10"/>
    <s v="San Francisco"/>
    <s v="Americas &gt; USA &gt; San Francisco"/>
    <s v="Corporate"/>
    <x v="4"/>
    <x v="2"/>
    <x v="5"/>
    <x v="318"/>
    <n v="156.55000000000001"/>
    <n v="227.45"/>
    <s v="Low"/>
    <n v="1.4E-2"/>
    <n v="13"/>
    <n v="2915.4540999999999"/>
    <n v="2035.15"/>
    <n v="880.30409999999983"/>
    <n v="0.3019440779396938"/>
    <n v="202504"/>
    <n v="202301"/>
    <s v="Apr-2023"/>
    <x v="18"/>
  </r>
  <r>
    <x v="318"/>
    <d v="2023-03-23T00:00:00"/>
    <x v="22"/>
    <x v="0"/>
    <d v="2023-04-15T00:00:00"/>
    <n v="23"/>
    <x v="0"/>
    <x v="0"/>
    <s v="Mombasa"/>
    <s v="Africa &gt; Kenya &gt; Mombasa"/>
    <s v="Small Business"/>
    <x v="0"/>
    <x v="0"/>
    <x v="6"/>
    <x v="319"/>
    <n v="875.36"/>
    <n v="1178.6199999999999"/>
    <s v="Medium"/>
    <n v="0.151"/>
    <n v="53"/>
    <n v="53034.364139999991"/>
    <n v="46394.080000000002"/>
    <n v="6640.2841399999888"/>
    <n v="0.12520719815685888"/>
    <n v="202303"/>
    <n v="202301"/>
    <s v="Mar-2023"/>
    <x v="21"/>
  </r>
  <r>
    <x v="319"/>
    <d v="2024-05-28T00:00:00"/>
    <x v="7"/>
    <x v="2"/>
    <d v="2024-06-18T00:00:00"/>
    <n v="21"/>
    <x v="3"/>
    <x v="6"/>
    <s v="Frankfurt"/>
    <s v="Europe &gt; Germany &gt; Frankfurt"/>
    <s v="Small Business"/>
    <x v="1"/>
    <x v="6"/>
    <x v="3"/>
    <x v="320"/>
    <n v="986.85"/>
    <n v="2422.1"/>
    <s v="Medium"/>
    <n v="7.5999999999999998E-2"/>
    <n v="10"/>
    <n v="22380.204000000002"/>
    <n v="9868.5"/>
    <n v="12511.704000000002"/>
    <n v="0.55905227673527913"/>
    <n v="202405"/>
    <n v="202301"/>
    <s v="May-2023"/>
    <x v="7"/>
  </r>
  <r>
    <x v="320"/>
    <d v="2024-01-02T00:00:00"/>
    <x v="9"/>
    <x v="0"/>
    <d v="2024-01-03T00:00:00"/>
    <n v="1"/>
    <x v="2"/>
    <x v="10"/>
    <s v="Chicago"/>
    <s v="Americas &gt; USA &gt; Chicago"/>
    <s v="Education"/>
    <x v="2"/>
    <x v="5"/>
    <x v="2"/>
    <x v="321"/>
    <n v="404.77"/>
    <n v="433.88"/>
    <s v="Low"/>
    <n v="0.215"/>
    <n v="22"/>
    <n v="7493.1076000000012"/>
    <n v="8904.9399999999987"/>
    <n v="-1411.8323999999975"/>
    <n v="-0.18841747314558746"/>
    <n v="202401"/>
    <n v="202301"/>
    <s v="Jan-2023"/>
    <x v="9"/>
  </r>
  <r>
    <x v="321"/>
    <d v="2023-02-28T00:00:00"/>
    <x v="2"/>
    <x v="0"/>
    <d v="2023-03-01T00:00:00"/>
    <n v="1"/>
    <x v="3"/>
    <x v="7"/>
    <s v="Marseille"/>
    <s v="Europe &gt; France &gt; Marseille"/>
    <s v="Corporate"/>
    <x v="0"/>
    <x v="11"/>
    <x v="2"/>
    <x v="322"/>
    <n v="1299.81"/>
    <n v="3149.13"/>
    <s v="High"/>
    <n v="0.10299999999999999"/>
    <n v="14"/>
    <n v="39546.774539999999"/>
    <n v="18197.34"/>
    <n v="21349.434539999998"/>
    <n v="0.53985273864511729"/>
    <n v="202302"/>
    <n v="202301"/>
    <s v="Feb-2023"/>
    <x v="2"/>
  </r>
  <r>
    <x v="322"/>
    <d v="2024-02-18T00:00:00"/>
    <x v="31"/>
    <x v="0"/>
    <d v="2024-03-11T00:00:00"/>
    <n v="22"/>
    <x v="2"/>
    <x v="5"/>
    <s v="São Paulo"/>
    <s v="Americas &gt; Brazil &gt; São Paulo"/>
    <s v="Consumer"/>
    <x v="1"/>
    <x v="8"/>
    <x v="0"/>
    <x v="323"/>
    <n v="80.48"/>
    <n v="65.650000000000006"/>
    <s v="Low"/>
    <n v="0.17599999999999999"/>
    <n v="13"/>
    <n v="703.2428000000001"/>
    <n v="1046.24"/>
    <n v="-342.99719999999991"/>
    <n v="-0.48773652570634191"/>
    <n v="202402"/>
    <n v="202301"/>
    <s v="Feb-2023"/>
    <x v="32"/>
  </r>
  <r>
    <x v="323"/>
    <d v="2024-09-09T00:00:00"/>
    <x v="29"/>
    <x v="3"/>
    <d v="2024-10-08T00:00:00"/>
    <n v="29"/>
    <x v="2"/>
    <x v="5"/>
    <s v="São Paulo"/>
    <s v="Americas &gt; Brazil &gt; São Paulo"/>
    <s v="Education"/>
    <x v="4"/>
    <x v="1"/>
    <x v="0"/>
    <x v="324"/>
    <n v="1010.33"/>
    <n v="2492.14"/>
    <s v="High"/>
    <n v="5.0999999999999997E-2"/>
    <n v="11"/>
    <n v="26015.449459999996"/>
    <n v="11113.630000000001"/>
    <n v="14901.819459999995"/>
    <n v="0.57280653493656752"/>
    <n v="202409"/>
    <n v="202301"/>
    <s v="Sept-2023"/>
    <x v="30"/>
  </r>
  <r>
    <x v="324"/>
    <d v="2023-05-07T00:00:00"/>
    <x v="15"/>
    <x v="2"/>
    <d v="2023-05-29T00:00:00"/>
    <n v="22"/>
    <x v="0"/>
    <x v="11"/>
    <s v="Durban"/>
    <s v="Africa &gt; South Africa &gt; Durban"/>
    <s v="Education"/>
    <x v="3"/>
    <x v="11"/>
    <x v="6"/>
    <x v="325"/>
    <n v="653.86"/>
    <n v="931.84"/>
    <s v="Medium"/>
    <n v="0.121"/>
    <n v="12"/>
    <n v="9829.0483199999999"/>
    <n v="7846.32"/>
    <n v="1982.7283200000002"/>
    <n v="0.20172129136506273"/>
    <n v="202305"/>
    <n v="202301"/>
    <s v="May-2023"/>
    <x v="15"/>
  </r>
  <r>
    <x v="325"/>
    <d v="2024-01-12T00:00:00"/>
    <x v="9"/>
    <x v="0"/>
    <d v="2024-01-29T00:00:00"/>
    <n v="17"/>
    <x v="1"/>
    <x v="4"/>
    <s v="Hyderabad"/>
    <s v="Asia &gt; India &gt; Hyderabad"/>
    <s v="Small Business"/>
    <x v="4"/>
    <x v="5"/>
    <x v="0"/>
    <x v="326"/>
    <n v="310.02"/>
    <n v="619.51"/>
    <s v="Low"/>
    <n v="4.2000000000000003E-2"/>
    <n v="4"/>
    <n v="2373.9623200000001"/>
    <n v="1240.08"/>
    <n v="1133.8823200000002"/>
    <n v="0.47763282106347843"/>
    <n v="202401"/>
    <n v="202301"/>
    <s v="Jan-2023"/>
    <x v="9"/>
  </r>
  <r>
    <x v="326"/>
    <d v="2023-06-10T00:00:00"/>
    <x v="23"/>
    <x v="2"/>
    <d v="2023-06-18T00:00:00"/>
    <n v="8"/>
    <x v="0"/>
    <x v="0"/>
    <s v="Nakuru"/>
    <s v="Africa &gt; Kenya &gt; Nakuru"/>
    <s v="Enterprise"/>
    <x v="4"/>
    <x v="10"/>
    <x v="3"/>
    <x v="327"/>
    <n v="894.23"/>
    <n v="1421.55"/>
    <s v="Medium"/>
    <n v="0.109"/>
    <n v="3"/>
    <n v="3799.8031499999997"/>
    <n v="2682.69"/>
    <n v="1117.1131499999997"/>
    <n v="0.29399237431549574"/>
    <n v="202306"/>
    <n v="202301"/>
    <s v="Jun-2023"/>
    <x v="22"/>
  </r>
  <r>
    <x v="327"/>
    <d v="2025-05-19T00:00:00"/>
    <x v="8"/>
    <x v="2"/>
    <d v="2025-05-21T00:00:00"/>
    <n v="2"/>
    <x v="2"/>
    <x v="5"/>
    <s v="São Paulo"/>
    <s v="Americas &gt; Brazil &gt; São Paulo"/>
    <s v="Small Business"/>
    <x v="3"/>
    <x v="4"/>
    <x v="5"/>
    <x v="328"/>
    <n v="383.77"/>
    <n v="952.56"/>
    <s v="Low"/>
    <n v="0.34599999999999997"/>
    <n v="10"/>
    <n v="6229.7423999999992"/>
    <n v="3837.7"/>
    <n v="2392.0423999999994"/>
    <n v="0.38397131797937578"/>
    <n v="202505"/>
    <n v="202301"/>
    <s v="May-2023"/>
    <x v="8"/>
  </r>
  <r>
    <x v="328"/>
    <d v="2023-10-22T00:00:00"/>
    <x v="32"/>
    <x v="1"/>
    <d v="2023-11-16T00:00:00"/>
    <n v="25"/>
    <x v="2"/>
    <x v="3"/>
    <s v="Toronto"/>
    <s v="Americas &gt; Canada &gt; Toronto"/>
    <s v="Small Business"/>
    <x v="2"/>
    <x v="2"/>
    <x v="4"/>
    <x v="329"/>
    <n v="1373.31"/>
    <n v="3154.14"/>
    <s v="High"/>
    <n v="0.2"/>
    <n v="11"/>
    <n v="27756.432000000001"/>
    <n v="15106.41"/>
    <n v="12650.022000000001"/>
    <n v="0.45575101295440279"/>
    <n v="202310"/>
    <n v="202301"/>
    <s v="Oct-2023"/>
    <x v="4"/>
  </r>
  <r>
    <x v="329"/>
    <d v="2025-01-11T00:00:00"/>
    <x v="10"/>
    <x v="0"/>
    <d v="2025-01-23T00:00:00"/>
    <n v="12"/>
    <x v="2"/>
    <x v="10"/>
    <s v="Austin"/>
    <s v="Americas &gt; USA &gt; Austin"/>
    <s v="Consumer"/>
    <x v="3"/>
    <x v="10"/>
    <x v="3"/>
    <x v="330"/>
    <n v="100.69"/>
    <n v="226.14"/>
    <s v="Low"/>
    <n v="6.5000000000000002E-2"/>
    <n v="12"/>
    <n v="2537.2908000000002"/>
    <n v="1208.28"/>
    <n v="1329.0108000000002"/>
    <n v="0.52379128162999689"/>
    <n v="202501"/>
    <n v="202301"/>
    <s v="Jan-2023"/>
    <x v="24"/>
  </r>
  <r>
    <x v="330"/>
    <d v="2025-09-14T00:00:00"/>
    <x v="11"/>
    <x v="3"/>
    <d v="2025-09-26T00:00:00"/>
    <n v="12"/>
    <x v="3"/>
    <x v="8"/>
    <s v="London"/>
    <s v="Europe &gt; United Kingdom &gt; London"/>
    <s v="Small Business"/>
    <x v="4"/>
    <x v="13"/>
    <x v="2"/>
    <x v="331"/>
    <n v="425.15"/>
    <n v="885.92"/>
    <s v="Low"/>
    <n v="0.23899999999999999"/>
    <n v="13"/>
    <n v="8764.4065599999994"/>
    <n v="5526.95"/>
    <n v="3237.4565599999996"/>
    <n v="0.3693868532725848"/>
    <n v="202509"/>
    <n v="202301"/>
    <s v="Sept-2023"/>
    <x v="11"/>
  </r>
  <r>
    <x v="331"/>
    <d v="2023-08-30T00:00:00"/>
    <x v="25"/>
    <x v="3"/>
    <d v="2023-09-03T00:00:00"/>
    <n v="4"/>
    <x v="1"/>
    <x v="4"/>
    <s v="Delhi"/>
    <s v="Asia &gt; India &gt; Delhi"/>
    <s v="Small Business"/>
    <x v="2"/>
    <x v="4"/>
    <x v="6"/>
    <x v="332"/>
    <n v="1082.25"/>
    <n v="2433.34"/>
    <s v="High"/>
    <n v="0.27"/>
    <n v="4"/>
    <n v="7105.3528000000006"/>
    <n v="4329"/>
    <n v="2776.3528000000006"/>
    <n v="0.3907410199251472"/>
    <n v="202308"/>
    <n v="202301"/>
    <s v="Aug-2023"/>
    <x v="25"/>
  </r>
  <r>
    <x v="332"/>
    <d v="2023-11-15T00:00:00"/>
    <x v="30"/>
    <x v="1"/>
    <d v="2023-12-06T00:00:00"/>
    <n v="21"/>
    <x v="3"/>
    <x v="8"/>
    <s v="Manchester"/>
    <s v="Europe &gt; United Kingdom &gt; Manchester"/>
    <s v="Education"/>
    <x v="4"/>
    <x v="10"/>
    <x v="6"/>
    <x v="333"/>
    <n v="1184.99"/>
    <n v="1154.3399999999999"/>
    <s v="High"/>
    <n v="2.8000000000000001E-2"/>
    <n v="5"/>
    <n v="5610.0923999999995"/>
    <n v="5924.95"/>
    <n v="-314.85760000000028"/>
    <n v="-5.6123424990290764E-2"/>
    <n v="202311"/>
    <n v="202301"/>
    <s v="Nov-2023"/>
    <x v="31"/>
  </r>
  <r>
    <x v="333"/>
    <d v="2025-04-27T00:00:00"/>
    <x v="19"/>
    <x v="2"/>
    <d v="2025-05-27T00:00:00"/>
    <n v="30"/>
    <x v="1"/>
    <x v="4"/>
    <s v="Not Provided"/>
    <s v="Asia &gt; India &gt; Not Provided"/>
    <s v="Enterprise"/>
    <x v="2"/>
    <x v="10"/>
    <x v="3"/>
    <x v="334"/>
    <n v="481.32"/>
    <n v="1135.99"/>
    <s v="Low"/>
    <n v="0.14499999999999999"/>
    <n v="5"/>
    <n v="4856.35725"/>
    <n v="2406.6"/>
    <n v="2449.7572500000001"/>
    <n v="0.50444337677175621"/>
    <n v="202504"/>
    <n v="202301"/>
    <s v="Apr-2023"/>
    <x v="18"/>
  </r>
  <r>
    <x v="334"/>
    <d v="2024-04-09T00:00:00"/>
    <x v="20"/>
    <x v="2"/>
    <d v="2024-04-18T00:00:00"/>
    <n v="9"/>
    <x v="3"/>
    <x v="7"/>
    <s v="Lyon"/>
    <s v="Europe &gt; France &gt; Lyon"/>
    <s v="Consumer"/>
    <x v="1"/>
    <x v="6"/>
    <x v="1"/>
    <x v="335"/>
    <n v="1288.8499999999999"/>
    <n v="2751.84"/>
    <s v="High"/>
    <n v="0.158"/>
    <n v="7"/>
    <n v="16219.34496"/>
    <n v="9021.9499999999989"/>
    <n v="7197.3949600000014"/>
    <n v="0.44375373837538756"/>
    <n v="202404"/>
    <n v="202301"/>
    <s v="Apr-2023"/>
    <x v="19"/>
  </r>
  <r>
    <x v="335"/>
    <d v="2024-07-11T00:00:00"/>
    <x v="14"/>
    <x v="3"/>
    <d v="2024-07-31T00:00:00"/>
    <n v="20"/>
    <x v="1"/>
    <x v="9"/>
    <s v="Shenzhen"/>
    <s v="Asia &gt; China &gt; Shenzhen"/>
    <s v="Consumer"/>
    <x v="1"/>
    <x v="3"/>
    <x v="3"/>
    <x v="336"/>
    <n v="647.26"/>
    <n v="1374.72"/>
    <s v="Medium"/>
    <n v="6.6000000000000003E-2"/>
    <n v="22"/>
    <n v="28247.74656"/>
    <n v="14239.72"/>
    <n v="14008.02656"/>
    <n v="0.49589890401508901"/>
    <n v="202407"/>
    <n v="202301"/>
    <s v="Jul-2023"/>
    <x v="14"/>
  </r>
  <r>
    <x v="336"/>
    <d v="2024-02-18T00:00:00"/>
    <x v="31"/>
    <x v="0"/>
    <d v="2024-03-03T00:00:00"/>
    <n v="14"/>
    <x v="2"/>
    <x v="5"/>
    <s v="Not Provided"/>
    <s v="Americas &gt; Brazil &gt; Not Provided"/>
    <s v="Enterprise"/>
    <x v="3"/>
    <x v="8"/>
    <x v="1"/>
    <x v="337"/>
    <n v="624.23"/>
    <n v="1318.37"/>
    <s v="Medium"/>
    <n v="0.21"/>
    <n v="37"/>
    <n v="38535.955099999999"/>
    <n v="23096.510000000002"/>
    <n v="15439.445099999997"/>
    <n v="0.40065038118128793"/>
    <n v="202402"/>
    <n v="202301"/>
    <s v="Feb-2023"/>
    <x v="32"/>
  </r>
  <r>
    <x v="337"/>
    <d v="2023-07-25T00:00:00"/>
    <x v="24"/>
    <x v="3"/>
    <d v="2023-08-10T00:00:00"/>
    <n v="16"/>
    <x v="0"/>
    <x v="1"/>
    <s v="Port Harcourt"/>
    <s v="Africa &gt; Nigeria &gt; Port Harcourt"/>
    <s v="Corporate"/>
    <x v="3"/>
    <x v="2"/>
    <x v="6"/>
    <x v="338"/>
    <n v="506.83"/>
    <n v="441.74"/>
    <s v="Medium"/>
    <n v="0.24"/>
    <n v="9"/>
    <n v="3021.5016000000001"/>
    <n v="4561.47"/>
    <n v="-1539.9684000000002"/>
    <n v="-0.50966989393618067"/>
    <n v="202307"/>
    <n v="202301"/>
    <s v="Jul-2023"/>
    <x v="23"/>
  </r>
  <r>
    <x v="338"/>
    <d v="2023-07-14T00:00:00"/>
    <x v="24"/>
    <x v="3"/>
    <d v="2023-07-21T00:00:00"/>
    <n v="7"/>
    <x v="0"/>
    <x v="11"/>
    <s v="Durban"/>
    <s v="Africa &gt; South Africa &gt; Durban"/>
    <s v="Enterprise"/>
    <x v="2"/>
    <x v="15"/>
    <x v="5"/>
    <x v="339"/>
    <n v="620.74"/>
    <n v="1330.07"/>
    <s v="Medium"/>
    <n v="0.29899999999999999"/>
    <n v="28"/>
    <n v="26106.613960000002"/>
    <n v="17380.72"/>
    <n v="8725.8939600000012"/>
    <n v="0.33424073965967516"/>
    <n v="202307"/>
    <n v="202301"/>
    <s v="Jul-2023"/>
    <x v="23"/>
  </r>
  <r>
    <x v="339"/>
    <d v="2023-07-24T00:00:00"/>
    <x v="24"/>
    <x v="3"/>
    <d v="2023-08-19T00:00:00"/>
    <n v="26"/>
    <x v="0"/>
    <x v="0"/>
    <s v="Nairobi"/>
    <s v="Africa &gt; Kenya &gt; Nairobi"/>
    <s v="Enterprise"/>
    <x v="3"/>
    <x v="12"/>
    <x v="6"/>
    <x v="340"/>
    <n v="661.45"/>
    <n v="1634.86"/>
    <s v="Medium"/>
    <n v="0.56499999999999995"/>
    <n v="24"/>
    <n v="17067.938400000003"/>
    <n v="15874.800000000001"/>
    <n v="1193.1384000000016"/>
    <n v="6.9905244092045793E-2"/>
    <n v="202307"/>
    <n v="202301"/>
    <s v="Jul-2023"/>
    <x v="23"/>
  </r>
  <r>
    <x v="340"/>
    <d v="2023-04-13T00:00:00"/>
    <x v="12"/>
    <x v="2"/>
    <d v="2023-04-15T00:00:00"/>
    <n v="2"/>
    <x v="2"/>
    <x v="10"/>
    <s v="San Francisco"/>
    <s v="Americas &gt; USA &gt; San Francisco"/>
    <s v="Education"/>
    <x v="2"/>
    <x v="3"/>
    <x v="2"/>
    <x v="341"/>
    <n v="32.1"/>
    <n v="70.599999999999994"/>
    <s v="Low"/>
    <n v="0.28199999999999997"/>
    <n v="22"/>
    <n v="1115.1975999999997"/>
    <n v="706.2"/>
    <n v="408.99759999999969"/>
    <n v="0.36674899587301818"/>
    <n v="202304"/>
    <n v="202301"/>
    <s v="Apr-2023"/>
    <x v="12"/>
  </r>
  <r>
    <x v="341"/>
    <d v="2024-10-29T00:00:00"/>
    <x v="1"/>
    <x v="1"/>
    <d v="2024-11-04T00:00:00"/>
    <n v="6"/>
    <x v="0"/>
    <x v="0"/>
    <s v="Nairobi"/>
    <s v="Africa &gt; Kenya &gt; Nairobi"/>
    <s v="Corporate"/>
    <x v="3"/>
    <x v="12"/>
    <x v="1"/>
    <x v="342"/>
    <n v="805.81"/>
    <n v="1823.04"/>
    <s v="Medium"/>
    <n v="0"/>
    <n v="11"/>
    <n v="20053.439999999999"/>
    <n v="8863.91"/>
    <n v="11189.529999999999"/>
    <n v="0.55798556257679477"/>
    <n v="202410"/>
    <n v="202301"/>
    <s v="Oct-2023"/>
    <x v="1"/>
  </r>
  <r>
    <x v="342"/>
    <d v="2024-02-17T00:00:00"/>
    <x v="31"/>
    <x v="0"/>
    <d v="2024-03-04T00:00:00"/>
    <n v="16"/>
    <x v="1"/>
    <x v="4"/>
    <s v="Delhi"/>
    <s v="Asia &gt; India &gt; Delhi"/>
    <s v="Small Business"/>
    <x v="2"/>
    <x v="9"/>
    <x v="3"/>
    <x v="343"/>
    <n v="1231.8"/>
    <n v="2015.99"/>
    <s v="High"/>
    <n v="0.26100000000000001"/>
    <n v="6"/>
    <n v="8938.8996600000009"/>
    <n v="7390.7999999999993"/>
    <n v="1548.0996600000017"/>
    <n v="0.17318682599464391"/>
    <n v="202402"/>
    <n v="202301"/>
    <s v="Feb-2023"/>
    <x v="32"/>
  </r>
  <r>
    <x v="343"/>
    <d v="2024-07-13T00:00:00"/>
    <x v="14"/>
    <x v="3"/>
    <d v="2024-07-14T00:00:00"/>
    <n v="1"/>
    <x v="1"/>
    <x v="2"/>
    <s v="Nagoya"/>
    <s v="Asia &gt; Japan &gt; Nagoya"/>
    <s v="Small Business"/>
    <x v="2"/>
    <x v="9"/>
    <x v="2"/>
    <x v="344"/>
    <n v="105.13"/>
    <n v="244.13"/>
    <s v="Low"/>
    <n v="7.0999999999999994E-2"/>
    <n v="14"/>
    <n v="3175.1547799999998"/>
    <n v="1471.82"/>
    <n v="1703.3347799999999"/>
    <n v="0.53645724319618837"/>
    <n v="202407"/>
    <n v="202303"/>
    <s v="Jul-2023"/>
    <x v="7"/>
  </r>
  <r>
    <x v="344"/>
    <d v="2023-12-01T00:00:00"/>
    <x v="4"/>
    <x v="1"/>
    <d v="2023-12-18T00:00:00"/>
    <n v="17"/>
    <x v="1"/>
    <x v="2"/>
    <s v="Nagoya"/>
    <s v="Asia &gt; Japan &gt; Nagoya"/>
    <s v="Small Business"/>
    <x v="4"/>
    <x v="13"/>
    <x v="4"/>
    <x v="345"/>
    <n v="1495.79"/>
    <n v="2783.12"/>
    <s v="High"/>
    <n v="0.02"/>
    <n v="5"/>
    <n v="13637.287999999999"/>
    <n v="7478.95"/>
    <n v="6158.3379999999988"/>
    <n v="0.45158084217331185"/>
    <n v="202312"/>
    <n v="202303"/>
    <s v="Dec-2023"/>
    <x v="4"/>
  </r>
  <r>
    <x v="345"/>
    <d v="2024-07-25T00:00:00"/>
    <x v="14"/>
    <x v="3"/>
    <d v="2024-08-02T00:00:00"/>
    <n v="8"/>
    <x v="2"/>
    <x v="3"/>
    <s v="Montreal"/>
    <s v="Americas &gt; Canada &gt; Montreal"/>
    <s v="Consumer"/>
    <x v="4"/>
    <x v="1"/>
    <x v="6"/>
    <x v="346"/>
    <n v="986.81"/>
    <n v="2050.31"/>
    <s v="Medium"/>
    <n v="0.10299999999999999"/>
    <n v="43"/>
    <n v="79082.507010000001"/>
    <n v="42432.829999999994"/>
    <n v="36649.677010000007"/>
    <n v="0.46343595310358138"/>
    <n v="202407"/>
    <n v="202301"/>
    <s v="Jul-2023"/>
    <x v="14"/>
  </r>
  <r>
    <x v="346"/>
    <d v="2023-05-04T00:00:00"/>
    <x v="15"/>
    <x v="2"/>
    <d v="2023-05-16T00:00:00"/>
    <n v="12"/>
    <x v="0"/>
    <x v="1"/>
    <s v="Abuja"/>
    <s v="Africa &gt; Nigeria &gt; Abuja"/>
    <s v="Small Business"/>
    <x v="2"/>
    <x v="1"/>
    <x v="3"/>
    <x v="347"/>
    <n v="77.739999999999995"/>
    <n v="147.12"/>
    <s v="Low"/>
    <n v="0"/>
    <n v="15"/>
    <n v="2206.8000000000002"/>
    <n v="1166.0999999999999"/>
    <n v="1040.7000000000003"/>
    <n v="0.47158781946710177"/>
    <n v="202305"/>
    <n v="202301"/>
    <s v="May-2023"/>
    <x v="15"/>
  </r>
  <r>
    <x v="347"/>
    <d v="2023-12-21T00:00:00"/>
    <x v="4"/>
    <x v="1"/>
    <d v="2024-01-06T00:00:00"/>
    <n v="16"/>
    <x v="0"/>
    <x v="1"/>
    <s v="Not Provided"/>
    <s v="Africa &gt; Nigeria &gt; Not Provided"/>
    <s v="Corporate"/>
    <x v="2"/>
    <x v="11"/>
    <x v="0"/>
    <x v="348"/>
    <n v="932.61"/>
    <n v="1982.98"/>
    <s v="Medium"/>
    <n v="0.14399999999999999"/>
    <n v="16"/>
    <n v="27158.894079999998"/>
    <n v="14921.76"/>
    <n v="12237.134079999998"/>
    <n v="0.45057556629345635"/>
    <n v="202312"/>
    <n v="202301"/>
    <s v="Dec-2023"/>
    <x v="27"/>
  </r>
  <r>
    <x v="348"/>
    <d v="2025-06-17T00:00:00"/>
    <x v="16"/>
    <x v="2"/>
    <d v="2025-07-05T00:00:00"/>
    <n v="18"/>
    <x v="1"/>
    <x v="4"/>
    <s v="Delhi"/>
    <s v="Asia &gt; India &gt; Delhi"/>
    <s v="Consumer"/>
    <x v="2"/>
    <x v="4"/>
    <x v="4"/>
    <x v="349"/>
    <n v="982.93"/>
    <n v="2299.3000000000002"/>
    <s v="Medium"/>
    <n v="0.113"/>
    <n v="6"/>
    <n v="12236.874600000001"/>
    <n v="5897.58"/>
    <n v="6339.2946000000011"/>
    <n v="0.51804850562087157"/>
    <n v="202506"/>
    <n v="202301"/>
    <s v="Jun-2023"/>
    <x v="16"/>
  </r>
  <r>
    <x v="349"/>
    <d v="2023-02-23T00:00:00"/>
    <x v="2"/>
    <x v="0"/>
    <d v="2023-03-08T00:00:00"/>
    <n v="13"/>
    <x v="3"/>
    <x v="8"/>
    <s v="Manchester"/>
    <s v="Europe &gt; United Kingdom &gt; Manchester"/>
    <s v="Small Business"/>
    <x v="4"/>
    <x v="0"/>
    <x v="1"/>
    <x v="350"/>
    <n v="307.37"/>
    <n v="462.61"/>
    <s v="Low"/>
    <n v="0.188"/>
    <n v="11"/>
    <n v="4132.0325200000007"/>
    <n v="3381.07"/>
    <n v="750.9625200000005"/>
    <n v="0.18174167709599739"/>
    <n v="202302"/>
    <n v="202301"/>
    <s v="Feb-2023"/>
    <x v="2"/>
  </r>
  <r>
    <x v="350"/>
    <d v="2023-12-02T00:00:00"/>
    <x v="4"/>
    <x v="1"/>
    <d v="2023-12-16T00:00:00"/>
    <n v="14"/>
    <x v="3"/>
    <x v="6"/>
    <s v="Frankfurt"/>
    <s v="Europe &gt; Germany &gt; Frankfurt"/>
    <s v="Education"/>
    <x v="4"/>
    <x v="13"/>
    <x v="5"/>
    <x v="351"/>
    <n v="879.08"/>
    <n v="1093.3900000000001"/>
    <s v="Medium"/>
    <n v="0.113"/>
    <n v="17"/>
    <n v="16487.22781"/>
    <n v="14944.36"/>
    <n v="1542.8678099999997"/>
    <n v="9.3579577341935186E-2"/>
    <n v="202312"/>
    <n v="202301"/>
    <s v="Dec-2023"/>
    <x v="27"/>
  </r>
  <r>
    <x v="351"/>
    <d v="2023-07-14T00:00:00"/>
    <x v="24"/>
    <x v="3"/>
    <d v="2023-07-14T00:00:00"/>
    <n v="0"/>
    <x v="0"/>
    <x v="1"/>
    <s v="Lagos"/>
    <s v="Africa &gt; Nigeria &gt; Lagos"/>
    <s v="Education"/>
    <x v="0"/>
    <x v="2"/>
    <x v="6"/>
    <x v="352"/>
    <n v="956.38"/>
    <n v="1454.22"/>
    <s v="Medium"/>
    <n v="3.9E-2"/>
    <n v="19"/>
    <n v="26552.60298"/>
    <n v="18171.22"/>
    <n v="8381.3829799999985"/>
    <n v="0.31565202802576603"/>
    <n v="202307"/>
    <n v="202301"/>
    <s v="Jul-2023"/>
    <x v="23"/>
  </r>
  <r>
    <x v="352"/>
    <d v="2024-08-08T00:00:00"/>
    <x v="21"/>
    <x v="3"/>
    <d v="2024-08-20T00:00:00"/>
    <n v="12"/>
    <x v="1"/>
    <x v="2"/>
    <s v="Osaka"/>
    <s v="Asia &gt; Japan &gt; Osaka"/>
    <s v="Small Business"/>
    <x v="0"/>
    <x v="10"/>
    <x v="2"/>
    <x v="353"/>
    <n v="1233.3599999999999"/>
    <n v="2120.4"/>
    <s v="High"/>
    <n v="0.17899999999999999"/>
    <n v="20"/>
    <n v="34816.968000000001"/>
    <n v="24667.199999999997"/>
    <n v="10149.768000000004"/>
    <n v="0.29151785991244278"/>
    <n v="202408"/>
    <n v="202303"/>
    <s v="Aug-2023"/>
    <x v="17"/>
  </r>
  <r>
    <x v="353"/>
    <d v="2024-11-07T00:00:00"/>
    <x v="18"/>
    <x v="1"/>
    <d v="2024-11-26T00:00:00"/>
    <n v="19"/>
    <x v="2"/>
    <x v="5"/>
    <s v="Rio de Janeiro"/>
    <s v="Americas &gt; Brazil &gt; Rio de Janeiro"/>
    <s v="Non-Profit"/>
    <x v="3"/>
    <x v="1"/>
    <x v="1"/>
    <x v="354"/>
    <n v="55.35"/>
    <n v="128.68"/>
    <s v="Low"/>
    <n v="0.128"/>
    <n v="10"/>
    <n v="1122.0896000000002"/>
    <n v="553.5"/>
    <n v="568.58960000000025"/>
    <n v="0.50672388372550647"/>
    <n v="202411"/>
    <n v="202301"/>
    <s v="Nov-2023"/>
    <x v="10"/>
  </r>
  <r>
    <x v="354"/>
    <d v="2024-01-01T00:00:00"/>
    <x v="9"/>
    <x v="0"/>
    <d v="2024-01-27T00:00:00"/>
    <n v="26"/>
    <x v="3"/>
    <x v="8"/>
    <s v="Manchester"/>
    <s v="Europe &gt; United Kingdom &gt; Manchester"/>
    <s v="Education"/>
    <x v="3"/>
    <x v="14"/>
    <x v="6"/>
    <x v="355"/>
    <n v="657.45"/>
    <n v="1325.96"/>
    <s v="Medium"/>
    <n v="0.16700000000000001"/>
    <n v="21"/>
    <n v="23195.01828"/>
    <n v="13806.45"/>
    <n v="9388.5682799999995"/>
    <n v="0.40476658249048808"/>
    <n v="202401"/>
    <n v="202301"/>
    <s v="Jan-2023"/>
    <x v="9"/>
  </r>
  <r>
    <x v="355"/>
    <d v="2025-08-14T00:00:00"/>
    <x v="28"/>
    <x v="3"/>
    <d v="2025-09-11T00:00:00"/>
    <n v="28"/>
    <x v="2"/>
    <x v="5"/>
    <s v="São Paulo"/>
    <s v="Americas &gt; Brazil &gt; São Paulo"/>
    <s v="Non-Profit"/>
    <x v="4"/>
    <x v="9"/>
    <x v="1"/>
    <x v="356"/>
    <n v="1203.02"/>
    <n v="2439.33"/>
    <s v="High"/>
    <n v="0"/>
    <n v="18"/>
    <n v="43907.94"/>
    <n v="21654.36"/>
    <n v="22253.58"/>
    <n v="0.50682359500354612"/>
    <n v="202508"/>
    <n v="202301"/>
    <s v="Aug-2023"/>
    <x v="29"/>
  </r>
  <r>
    <x v="356"/>
    <d v="2024-04-03T00:00:00"/>
    <x v="20"/>
    <x v="2"/>
    <d v="2024-04-21T00:00:00"/>
    <n v="18"/>
    <x v="2"/>
    <x v="5"/>
    <s v="Brasília"/>
    <s v="Americas &gt; Brazil &gt; Brasília"/>
    <s v="Small Business"/>
    <x v="3"/>
    <x v="5"/>
    <x v="2"/>
    <x v="357"/>
    <n v="1176.69"/>
    <n v="2201.54"/>
    <s v="High"/>
    <n v="0.17"/>
    <n v="27"/>
    <n v="49336.511399999996"/>
    <n v="31770.63"/>
    <n v="17565.881399999995"/>
    <n v="0.35604222717701106"/>
    <n v="202404"/>
    <n v="202301"/>
    <s v="Apr-2023"/>
    <x v="19"/>
  </r>
  <r>
    <x v="357"/>
    <d v="2024-11-25T00:00:00"/>
    <x v="18"/>
    <x v="1"/>
    <d v="2024-12-07T00:00:00"/>
    <n v="12"/>
    <x v="1"/>
    <x v="9"/>
    <s v="Shanghai"/>
    <s v="Asia &gt; China &gt; Shanghai"/>
    <s v="Corporate"/>
    <x v="3"/>
    <x v="8"/>
    <x v="6"/>
    <x v="358"/>
    <n v="769.9"/>
    <n v="814.36"/>
    <s v="Medium"/>
    <n v="0"/>
    <n v="5"/>
    <n v="4071.8"/>
    <n v="3849.5"/>
    <n v="222.30000000000018"/>
    <n v="5.4595019401738831E-2"/>
    <n v="202411"/>
    <n v="202301"/>
    <s v="Nov-2023"/>
    <x v="10"/>
  </r>
  <r>
    <x v="358"/>
    <d v="2024-01-18T00:00:00"/>
    <x v="9"/>
    <x v="0"/>
    <d v="2024-02-03T00:00:00"/>
    <n v="16"/>
    <x v="0"/>
    <x v="11"/>
    <s v="Cape Town"/>
    <s v="Africa &gt; South Africa &gt; Cape Town"/>
    <s v="Non-Profit"/>
    <x v="3"/>
    <x v="4"/>
    <x v="1"/>
    <x v="359"/>
    <n v="666.23"/>
    <n v="1382.91"/>
    <s v="Medium"/>
    <n v="0.17599999999999999"/>
    <n v="13"/>
    <n v="14813.731920000002"/>
    <n v="8660.99"/>
    <n v="6152.7419200000022"/>
    <n v="0.41534043907553048"/>
    <n v="202401"/>
    <n v="202301"/>
    <s v="Jan-2023"/>
    <x v="9"/>
  </r>
  <r>
    <x v="359"/>
    <d v="2024-06-23T00:00:00"/>
    <x v="17"/>
    <x v="2"/>
    <d v="2024-06-25T00:00:00"/>
    <n v="2"/>
    <x v="3"/>
    <x v="8"/>
    <s v="Birmingham"/>
    <s v="Europe &gt; United Kingdom &gt; Birmingham"/>
    <s v="Small Business"/>
    <x v="2"/>
    <x v="4"/>
    <x v="6"/>
    <x v="360"/>
    <n v="951.44"/>
    <n v="1646.43"/>
    <s v="Medium"/>
    <n v="0.11"/>
    <n v="24"/>
    <n v="35167.7448"/>
    <n v="22834.560000000001"/>
    <n v="12333.184799999999"/>
    <n v="0.35069592520473475"/>
    <n v="202406"/>
    <n v="202301"/>
    <s v="Jun-2023"/>
    <x v="17"/>
  </r>
  <r>
    <x v="360"/>
    <d v="2025-06-25T00:00:00"/>
    <x v="16"/>
    <x v="2"/>
    <d v="2025-07-10T00:00:00"/>
    <n v="15"/>
    <x v="3"/>
    <x v="8"/>
    <s v="Birmingham"/>
    <s v="Europe &gt; United Kingdom &gt; Birmingham"/>
    <s v="Non-Profit"/>
    <x v="2"/>
    <x v="14"/>
    <x v="3"/>
    <x v="361"/>
    <n v="546.83000000000004"/>
    <n v="400.84"/>
    <s v="Medium"/>
    <n v="7.8E-2"/>
    <n v="13"/>
    <n v="4804.4682400000002"/>
    <n v="7108.7900000000009"/>
    <n v="-2304.3217600000007"/>
    <n v="-0.47962056254533608"/>
    <n v="202506"/>
    <n v="202301"/>
    <s v="Jun-2023"/>
    <x v="16"/>
  </r>
  <r>
    <x v="361"/>
    <d v="2023-07-01T00:00:00"/>
    <x v="24"/>
    <x v="3"/>
    <d v="2023-07-08T00:00:00"/>
    <n v="7"/>
    <x v="0"/>
    <x v="1"/>
    <s v="Port Harcourt"/>
    <s v="Africa &gt; Nigeria &gt; Port Harcourt"/>
    <s v="Corporate"/>
    <x v="0"/>
    <x v="8"/>
    <x v="4"/>
    <x v="362"/>
    <n v="834.26"/>
    <n v="1780.56"/>
    <s v="Medium"/>
    <n v="1.4E-2"/>
    <n v="47"/>
    <n v="82514.711519999997"/>
    <n v="39210.22"/>
    <n v="43304.491519999996"/>
    <n v="0.5248093427497933"/>
    <n v="202307"/>
    <n v="202301"/>
    <s v="Jul-2023"/>
    <x v="23"/>
  </r>
  <r>
    <x v="362"/>
    <d v="2024-03-09T00:00:00"/>
    <x v="0"/>
    <x v="0"/>
    <d v="2024-03-26T00:00:00"/>
    <n v="17"/>
    <x v="1"/>
    <x v="9"/>
    <s v="Shenzhen"/>
    <s v="Asia &gt; China &gt; Shenzhen"/>
    <s v="Enterprise"/>
    <x v="1"/>
    <x v="11"/>
    <x v="5"/>
    <x v="363"/>
    <n v="1029.67"/>
    <n v="1118.43"/>
    <s v="High"/>
    <n v="0.27200000000000002"/>
    <n v="9"/>
    <n v="7327.9533600000004"/>
    <n v="9267.0300000000007"/>
    <n v="-1939.0766400000002"/>
    <n v="-0.26461367106736061"/>
    <n v="202403"/>
    <n v="202301"/>
    <s v="Mar-2023"/>
    <x v="0"/>
  </r>
  <r>
    <x v="363"/>
    <d v="2023-06-05T00:00:00"/>
    <x v="23"/>
    <x v="2"/>
    <d v="2023-06-28T00:00:00"/>
    <n v="23"/>
    <x v="3"/>
    <x v="8"/>
    <s v="Birmingham"/>
    <s v="Europe &gt; United Kingdom &gt; Birmingham"/>
    <s v="Corporate"/>
    <x v="4"/>
    <x v="11"/>
    <x v="1"/>
    <x v="364"/>
    <n v="605.82000000000005"/>
    <n v="771.12"/>
    <s v="Medium"/>
    <n v="0.13200000000000001"/>
    <n v="19"/>
    <n v="12717.311040000001"/>
    <n v="11510.580000000002"/>
    <n v="1206.7310399999988"/>
    <n v="9.4888851597986767E-2"/>
    <n v="202306"/>
    <n v="202301"/>
    <s v="Jun-2023"/>
    <x v="22"/>
  </r>
  <r>
    <x v="364"/>
    <d v="2025-03-21T00:00:00"/>
    <x v="3"/>
    <x v="0"/>
    <d v="2025-04-09T00:00:00"/>
    <n v="19"/>
    <x v="1"/>
    <x v="2"/>
    <s v="Tokyo"/>
    <s v="Asia &gt; Japan &gt; Tokyo"/>
    <s v="Small Business"/>
    <x v="3"/>
    <x v="6"/>
    <x v="0"/>
    <x v="365"/>
    <n v="1055.45"/>
    <n v="1210.04"/>
    <s v="High"/>
    <n v="8.9999999999999993E-3"/>
    <n v="18"/>
    <n v="21584.693520000001"/>
    <n v="18998.100000000002"/>
    <n v="2586.5935199999985"/>
    <n v="0.1198346188053727"/>
    <n v="202503"/>
    <n v="202303"/>
    <s v="Mar-2023"/>
    <x v="24"/>
  </r>
  <r>
    <x v="365"/>
    <d v="2024-06-02T00:00:00"/>
    <x v="17"/>
    <x v="2"/>
    <d v="2024-06-15T00:00:00"/>
    <n v="13"/>
    <x v="0"/>
    <x v="0"/>
    <s v="Mombasa"/>
    <s v="Africa &gt; Kenya &gt; Mombasa"/>
    <s v="Education"/>
    <x v="1"/>
    <x v="7"/>
    <x v="3"/>
    <x v="366"/>
    <n v="1295.18"/>
    <n v="3024.03"/>
    <s v="High"/>
    <n v="0.192"/>
    <n v="8"/>
    <n v="19547.329920000004"/>
    <n v="10361.44"/>
    <n v="9185.8899200000033"/>
    <n v="0.46993067378483178"/>
    <n v="202406"/>
    <n v="202301"/>
    <s v="Jun-2023"/>
    <x v="17"/>
  </r>
  <r>
    <x v="366"/>
    <d v="2025-03-15T00:00:00"/>
    <x v="3"/>
    <x v="0"/>
    <d v="2025-03-29T00:00:00"/>
    <n v="14"/>
    <x v="1"/>
    <x v="4"/>
    <s v="Mumbai"/>
    <s v="Asia &gt; India &gt; Mumbai"/>
    <s v="Enterprise"/>
    <x v="4"/>
    <x v="0"/>
    <x v="0"/>
    <x v="367"/>
    <n v="935.83"/>
    <n v="2303.46"/>
    <s v="Medium"/>
    <n v="0.105"/>
    <n v="9"/>
    <n v="18554.370299999999"/>
    <n v="8422.4700000000012"/>
    <n v="10131.900299999998"/>
    <n v="0.54606543559174292"/>
    <n v="202503"/>
    <n v="202301"/>
    <s v="Mar-2023"/>
    <x v="3"/>
  </r>
  <r>
    <x v="367"/>
    <d v="2023-09-25T00:00:00"/>
    <x v="27"/>
    <x v="3"/>
    <d v="2023-10-09T00:00:00"/>
    <n v="14"/>
    <x v="2"/>
    <x v="10"/>
    <s v="New York"/>
    <s v="Americas &gt; USA &gt; New York"/>
    <s v="Small Business"/>
    <x v="2"/>
    <x v="1"/>
    <x v="4"/>
    <x v="368"/>
    <n v="1279.56"/>
    <n v="3083.8"/>
    <s v="High"/>
    <n v="0.106"/>
    <n v="5"/>
    <n v="13784.586000000001"/>
    <n v="6397.7999999999993"/>
    <n v="7386.7860000000019"/>
    <n v="0.53587289455047848"/>
    <n v="202309"/>
    <n v="202301"/>
    <s v="Sept-2023"/>
    <x v="28"/>
  </r>
  <r>
    <x v="368"/>
    <d v="2025-06-24T00:00:00"/>
    <x v="16"/>
    <x v="2"/>
    <d v="2025-07-23T00:00:00"/>
    <n v="29"/>
    <x v="2"/>
    <x v="3"/>
    <s v="Vancouver"/>
    <s v="Americas &gt; Canada &gt; Vancouver"/>
    <s v="Non-Profit"/>
    <x v="2"/>
    <x v="2"/>
    <x v="1"/>
    <x v="369"/>
    <n v="255.4"/>
    <n v="322.70999999999998"/>
    <s v="Low"/>
    <n v="0.115"/>
    <n v="16"/>
    <n v="4569.5735999999997"/>
    <n v="4086.4"/>
    <n v="483.17359999999962"/>
    <n v="0.10573713048412212"/>
    <n v="202506"/>
    <n v="202301"/>
    <s v="Jun-2023"/>
    <x v="16"/>
  </r>
  <r>
    <x v="369"/>
    <d v="2023-12-26T00:00:00"/>
    <x v="4"/>
    <x v="1"/>
    <d v="2024-01-03T00:00:00"/>
    <n v="8"/>
    <x v="3"/>
    <x v="7"/>
    <s v="Lyon"/>
    <s v="Europe &gt; France &gt; Lyon"/>
    <s v="Small Business"/>
    <x v="0"/>
    <x v="12"/>
    <x v="4"/>
    <x v="370"/>
    <n v="492.75"/>
    <n v="731.29"/>
    <s v="Low"/>
    <n v="5.8000000000000003E-2"/>
    <n v="6"/>
    <n v="4133.25108"/>
    <n v="2956.5"/>
    <n v="1176.75108"/>
    <n v="0.28470350753528384"/>
    <n v="202312"/>
    <n v="202301"/>
    <s v="Dec-2023"/>
    <x v="27"/>
  </r>
  <r>
    <x v="370"/>
    <d v="2023-02-05T00:00:00"/>
    <x v="2"/>
    <x v="0"/>
    <d v="2023-02-28T00:00:00"/>
    <n v="23"/>
    <x v="2"/>
    <x v="10"/>
    <s v="Austin"/>
    <s v="Americas &gt; USA &gt; Austin"/>
    <s v="Non-Profit"/>
    <x v="3"/>
    <x v="4"/>
    <x v="3"/>
    <x v="371"/>
    <n v="1214.49"/>
    <n v="1533.95"/>
    <s v="High"/>
    <n v="0"/>
    <n v="11"/>
    <n v="16873.45"/>
    <n v="13359.39"/>
    <n v="3514.0600000000013"/>
    <n v="0.20825972163369086"/>
    <n v="202302"/>
    <n v="202301"/>
    <s v="Feb-2023"/>
    <x v="2"/>
  </r>
  <r>
    <x v="371"/>
    <d v="2023-04-06T00:00:00"/>
    <x v="12"/>
    <x v="2"/>
    <d v="2023-04-08T00:00:00"/>
    <n v="2"/>
    <x v="0"/>
    <x v="1"/>
    <s v="Abuja"/>
    <s v="Africa &gt; Nigeria &gt; Abuja"/>
    <s v="Small Business"/>
    <x v="2"/>
    <x v="11"/>
    <x v="5"/>
    <x v="372"/>
    <n v="720.35"/>
    <n v="1571.66"/>
    <s v="Medium"/>
    <n v="0.107"/>
    <n v="23"/>
    <n v="32280.32474"/>
    <n v="16568.05"/>
    <n v="15712.274740000001"/>
    <n v="0.4867446305622265"/>
    <n v="202304"/>
    <n v="202301"/>
    <s v="Apr-2023"/>
    <x v="12"/>
  </r>
  <r>
    <x v="372"/>
    <d v="2025-04-04T00:00:00"/>
    <x v="19"/>
    <x v="2"/>
    <d v="2025-04-10T00:00:00"/>
    <n v="6"/>
    <x v="3"/>
    <x v="8"/>
    <s v="Birmingham"/>
    <s v="Europe &gt; United Kingdom &gt; Birmingham"/>
    <s v="Non-Profit"/>
    <x v="4"/>
    <x v="13"/>
    <x v="1"/>
    <x v="373"/>
    <n v="290.14"/>
    <n v="250.73"/>
    <s v="Low"/>
    <n v="3.4000000000000002E-2"/>
    <n v="17"/>
    <n v="4117.4880599999997"/>
    <n v="4932.38"/>
    <n v="-814.89194000000043"/>
    <n v="-0.19790997038131072"/>
    <n v="202504"/>
    <n v="202301"/>
    <s v="Apr-2023"/>
    <x v="18"/>
  </r>
  <r>
    <x v="373"/>
    <d v="2024-05-17T00:00:00"/>
    <x v="7"/>
    <x v="2"/>
    <d v="2024-05-27T00:00:00"/>
    <n v="10"/>
    <x v="2"/>
    <x v="10"/>
    <s v="Austin"/>
    <s v="Americas &gt; USA &gt; Austin"/>
    <s v="Non-Profit"/>
    <x v="1"/>
    <x v="0"/>
    <x v="3"/>
    <x v="374"/>
    <n v="1484.23"/>
    <n v="3472.81"/>
    <s v="High"/>
    <n v="0.25600000000000001"/>
    <n v="12"/>
    <n v="31005.24768"/>
    <n v="17810.760000000002"/>
    <n v="13194.487679999998"/>
    <n v="0.42555659661803413"/>
    <n v="202405"/>
    <n v="202301"/>
    <s v="May-2023"/>
    <x v="7"/>
  </r>
  <r>
    <x v="374"/>
    <d v="2024-03-03T00:00:00"/>
    <x v="0"/>
    <x v="0"/>
    <d v="2024-03-19T00:00:00"/>
    <n v="16"/>
    <x v="1"/>
    <x v="9"/>
    <s v="Beijing"/>
    <s v="Asia &gt; China &gt; Beijing"/>
    <s v="Consumer"/>
    <x v="3"/>
    <x v="3"/>
    <x v="3"/>
    <x v="375"/>
    <n v="988.83"/>
    <n v="1206.04"/>
    <s v="Medium"/>
    <n v="6.3E-2"/>
    <n v="34"/>
    <n v="38422.022320000004"/>
    <n v="33620.22"/>
    <n v="4801.8023200000025"/>
    <n v="0.12497526236406606"/>
    <n v="202403"/>
    <n v="202301"/>
    <s v="Mar-2023"/>
    <x v="0"/>
  </r>
  <r>
    <x v="375"/>
    <d v="2025-06-27T00:00:00"/>
    <x v="16"/>
    <x v="2"/>
    <d v="2025-07-11T00:00:00"/>
    <n v="14"/>
    <x v="1"/>
    <x v="9"/>
    <s v="Shanghai"/>
    <s v="Asia &gt; China &gt; Shanghai"/>
    <s v="Small Business"/>
    <x v="2"/>
    <x v="4"/>
    <x v="2"/>
    <x v="376"/>
    <n v="1227.7"/>
    <n v="2197.23"/>
    <s v="High"/>
    <n v="9.9000000000000005E-2"/>
    <n v="22"/>
    <n v="43553.493060000001"/>
    <n v="27009.4"/>
    <n v="16544.093059999999"/>
    <n v="0.37985685871873898"/>
    <n v="202506"/>
    <n v="202301"/>
    <s v="Jun-2023"/>
    <x v="16"/>
  </r>
  <r>
    <x v="376"/>
    <d v="2023-03-13T00:00:00"/>
    <x v="22"/>
    <x v="0"/>
    <d v="2023-04-04T00:00:00"/>
    <n v="22"/>
    <x v="0"/>
    <x v="11"/>
    <s v="Durban"/>
    <s v="Africa &gt; South Africa &gt; Durban"/>
    <s v="Small Business"/>
    <x v="0"/>
    <x v="8"/>
    <x v="0"/>
    <x v="377"/>
    <n v="1113.7"/>
    <n v="1620.6"/>
    <s v="High"/>
    <n v="0.13900000000000001"/>
    <n v="11"/>
    <n v="15348.702599999999"/>
    <n v="12250.7"/>
    <n v="3098.002599999998"/>
    <n v="0.20184133348182787"/>
    <n v="202303"/>
    <n v="202301"/>
    <s v="Mar-2023"/>
    <x v="21"/>
  </r>
  <r>
    <x v="377"/>
    <d v="2025-01-07T00:00:00"/>
    <x v="10"/>
    <x v="0"/>
    <d v="2025-01-20T00:00:00"/>
    <n v="13"/>
    <x v="0"/>
    <x v="11"/>
    <s v="Cape Town"/>
    <s v="Africa &gt; South Africa &gt; Cape Town"/>
    <s v="Corporate"/>
    <x v="4"/>
    <x v="11"/>
    <x v="2"/>
    <x v="378"/>
    <n v="432.13"/>
    <n v="1034.6600000000001"/>
    <s v="Low"/>
    <n v="9.1999999999999998E-2"/>
    <n v="7"/>
    <n v="6576.298960000001"/>
    <n v="3024.91"/>
    <n v="3551.3889600000011"/>
    <n v="0.54002851476204794"/>
    <n v="202501"/>
    <n v="202301"/>
    <s v="Jan-2023"/>
    <x v="24"/>
  </r>
  <r>
    <x v="378"/>
    <d v="2025-02-06T00:00:00"/>
    <x v="26"/>
    <x v="0"/>
    <d v="2025-02-15T00:00:00"/>
    <n v="9"/>
    <x v="2"/>
    <x v="5"/>
    <s v="São Paulo"/>
    <s v="Americas &gt; Brazil &gt; São Paulo"/>
    <s v="Non-Profit"/>
    <x v="3"/>
    <x v="9"/>
    <x v="2"/>
    <x v="379"/>
    <n v="837.39"/>
    <n v="1905.42"/>
    <s v="Medium"/>
    <n v="3.2000000000000001E-2"/>
    <n v="18"/>
    <n v="33200.038079999998"/>
    <n v="15073.02"/>
    <n v="18127.018079999998"/>
    <n v="0.54599389423350919"/>
    <n v="202502"/>
    <n v="202301"/>
    <s v="Feb-2023"/>
    <x v="26"/>
  </r>
  <r>
    <x v="379"/>
    <d v="2025-01-31T00:00:00"/>
    <x v="10"/>
    <x v="0"/>
    <d v="2025-02-17T00:00:00"/>
    <n v="17"/>
    <x v="3"/>
    <x v="8"/>
    <s v="London"/>
    <s v="Europe &gt; United Kingdom &gt; London"/>
    <s v="Enterprise"/>
    <x v="0"/>
    <x v="10"/>
    <x v="0"/>
    <x v="78"/>
    <n v="378.26"/>
    <n v="541.55999999999995"/>
    <s v="Low"/>
    <n v="0.16300000000000001"/>
    <n v="25"/>
    <n v="11332.142999999998"/>
    <n v="9456.5"/>
    <n v="1875.6429999999982"/>
    <n v="0.16551529573885526"/>
    <n v="202501"/>
    <n v="202301"/>
    <s v="Jan-2023"/>
    <x v="24"/>
  </r>
  <r>
    <x v="380"/>
    <d v="2025-08-07T00:00:00"/>
    <x v="28"/>
    <x v="3"/>
    <d v="2025-09-06T00:00:00"/>
    <n v="30"/>
    <x v="2"/>
    <x v="3"/>
    <s v="Montreal"/>
    <s v="Americas &gt; Canada &gt; Montreal"/>
    <s v="Education"/>
    <x v="4"/>
    <x v="12"/>
    <x v="2"/>
    <x v="380"/>
    <n v="833.73"/>
    <n v="1116.5999999999999"/>
    <s v="Medium"/>
    <n v="0.17599999999999999"/>
    <n v="14"/>
    <n v="12881.097599999999"/>
    <n v="11672.220000000001"/>
    <n v="1208.877599999998"/>
    <n v="9.3848958958279924E-2"/>
    <n v="202508"/>
    <n v="202301"/>
    <s v="Aug-2023"/>
    <x v="29"/>
  </r>
  <r>
    <x v="381"/>
    <d v="2025-07-23T00:00:00"/>
    <x v="13"/>
    <x v="3"/>
    <d v="2025-08-17T00:00:00"/>
    <n v="25"/>
    <x v="3"/>
    <x v="8"/>
    <s v="Birmingham"/>
    <s v="Europe &gt; United Kingdom &gt; Birmingham"/>
    <s v="Education"/>
    <x v="1"/>
    <x v="2"/>
    <x v="1"/>
    <x v="381"/>
    <n v="1142.06"/>
    <n v="1455"/>
    <s v="High"/>
    <n v="7.8E-2"/>
    <n v="28"/>
    <n v="37562.28"/>
    <n v="31977.68"/>
    <n v="5584.5999999999985"/>
    <n v="0.1486757459877302"/>
    <n v="202507"/>
    <n v="202301"/>
    <s v="Jul-2023"/>
    <x v="13"/>
  </r>
  <r>
    <x v="382"/>
    <d v="2023-06-20T00:00:00"/>
    <x v="23"/>
    <x v="2"/>
    <d v="2023-07-08T00:00:00"/>
    <n v="18"/>
    <x v="2"/>
    <x v="10"/>
    <s v="New York"/>
    <s v="Americas &gt; USA &gt; New York"/>
    <s v="Consumer"/>
    <x v="2"/>
    <x v="7"/>
    <x v="2"/>
    <x v="382"/>
    <n v="1145.53"/>
    <n v="1278.3"/>
    <s v="High"/>
    <n v="0.09"/>
    <n v="41"/>
    <n v="47693.373"/>
    <n v="46966.729999999996"/>
    <n v="726.64300000000367"/>
    <n v="1.5235722581416158E-2"/>
    <n v="202306"/>
    <n v="202301"/>
    <s v="Jun-2023"/>
    <x v="22"/>
  </r>
  <r>
    <x v="383"/>
    <d v="2024-07-18T00:00:00"/>
    <x v="14"/>
    <x v="3"/>
    <d v="2024-08-07T00:00:00"/>
    <n v="20"/>
    <x v="3"/>
    <x v="7"/>
    <s v="Marseille"/>
    <s v="Europe &gt; France &gt; Marseille"/>
    <s v="Corporate"/>
    <x v="0"/>
    <x v="9"/>
    <x v="5"/>
    <x v="383"/>
    <n v="941.35"/>
    <n v="899.83"/>
    <s v="Medium"/>
    <n v="5.8000000000000003E-2"/>
    <n v="18"/>
    <n v="15257.51748"/>
    <n v="16944.3"/>
    <n v="-1686.7825199999988"/>
    <n v="-0.11055419220139073"/>
    <n v="202407"/>
    <n v="202301"/>
    <s v="Jul-2023"/>
    <x v="14"/>
  </r>
  <r>
    <x v="384"/>
    <d v="2023-05-20T00:00:00"/>
    <x v="15"/>
    <x v="2"/>
    <d v="2023-06-19T00:00:00"/>
    <n v="30"/>
    <x v="1"/>
    <x v="4"/>
    <s v="Delhi"/>
    <s v="Asia &gt; India &gt; Delhi"/>
    <s v="Non-Profit"/>
    <x v="2"/>
    <x v="10"/>
    <x v="4"/>
    <x v="384"/>
    <n v="1161.2"/>
    <n v="878.73"/>
    <s v="High"/>
    <n v="0.19"/>
    <n v="31"/>
    <n v="22064.910300000003"/>
    <n v="35997.200000000004"/>
    <n v="-13932.289700000001"/>
    <n v="-0.63142290227212028"/>
    <n v="202305"/>
    <n v="202301"/>
    <s v="May-2023"/>
    <x v="15"/>
  </r>
  <r>
    <x v="385"/>
    <d v="2025-05-12T00:00:00"/>
    <x v="8"/>
    <x v="2"/>
    <d v="2025-05-26T00:00:00"/>
    <n v="14"/>
    <x v="1"/>
    <x v="4"/>
    <s v="Hyderabad"/>
    <s v="Asia &gt; India &gt; Hyderabad"/>
    <s v="Corporate"/>
    <x v="2"/>
    <x v="3"/>
    <x v="1"/>
    <x v="385"/>
    <n v="320.12"/>
    <n v="594.41999999999996"/>
    <s v="Low"/>
    <n v="0.104"/>
    <n v="18"/>
    <n v="9586.8057599999993"/>
    <n v="5762.16"/>
    <n v="3824.6457599999994"/>
    <n v="0.39894891538931104"/>
    <n v="202505"/>
    <n v="202301"/>
    <s v="May-2023"/>
    <x v="8"/>
  </r>
  <r>
    <x v="386"/>
    <d v="2024-05-07T00:00:00"/>
    <x v="7"/>
    <x v="2"/>
    <d v="2024-05-12T00:00:00"/>
    <n v="5"/>
    <x v="0"/>
    <x v="1"/>
    <s v="Abuja"/>
    <s v="Africa &gt; Nigeria &gt; Abuja"/>
    <s v="Non-Profit"/>
    <x v="3"/>
    <x v="4"/>
    <x v="4"/>
    <x v="386"/>
    <n v="1163.99"/>
    <n v="1617.85"/>
    <s v="High"/>
    <n v="0.127"/>
    <n v="14"/>
    <n v="19773.362699999998"/>
    <n v="16295.86"/>
    <n v="3477.5026999999973"/>
    <n v="0.17586804797749436"/>
    <n v="202405"/>
    <n v="202301"/>
    <s v="May-2023"/>
    <x v="7"/>
  </r>
  <r>
    <x v="387"/>
    <d v="2023-09-30T00:00:00"/>
    <x v="27"/>
    <x v="3"/>
    <d v="2023-10-03T00:00:00"/>
    <n v="3"/>
    <x v="1"/>
    <x v="9"/>
    <s v="Beijing"/>
    <s v="Asia &gt; China &gt; Beijing"/>
    <s v="Non-Profit"/>
    <x v="0"/>
    <x v="1"/>
    <x v="4"/>
    <x v="387"/>
    <n v="1019.36"/>
    <n v="972.91"/>
    <s v="High"/>
    <n v="0.14699999999999999"/>
    <n v="17"/>
    <n v="14108.16791"/>
    <n v="17329.12"/>
    <n v="-3220.9520899999989"/>
    <n v="-0.22830406545678819"/>
    <n v="202309"/>
    <n v="202301"/>
    <s v="Sept-2023"/>
    <x v="28"/>
  </r>
  <r>
    <x v="388"/>
    <d v="2023-10-26T00:00:00"/>
    <x v="32"/>
    <x v="1"/>
    <d v="2023-11-05T00:00:00"/>
    <n v="10"/>
    <x v="0"/>
    <x v="11"/>
    <s v="Cape Town"/>
    <s v="Africa &gt; South Africa &gt; Cape Town"/>
    <s v="Non-Profit"/>
    <x v="1"/>
    <x v="2"/>
    <x v="4"/>
    <x v="388"/>
    <n v="20.38"/>
    <n v="42.56"/>
    <s v="Low"/>
    <n v="7.1999999999999995E-2"/>
    <n v="11"/>
    <n v="434.45248000000004"/>
    <n v="224.17999999999998"/>
    <n v="210.27248000000006"/>
    <n v="0.48399419885921713"/>
    <n v="202310"/>
    <n v="202301"/>
    <s v="Oct-2023"/>
    <x v="4"/>
  </r>
  <r>
    <x v="389"/>
    <d v="2025-06-15T00:00:00"/>
    <x v="16"/>
    <x v="2"/>
    <d v="2025-06-30T00:00:00"/>
    <n v="15"/>
    <x v="0"/>
    <x v="11"/>
    <s v="Johannesburg"/>
    <s v="Africa &gt; South Africa &gt; Johannesburg"/>
    <s v="Small Business"/>
    <x v="4"/>
    <x v="0"/>
    <x v="5"/>
    <x v="389"/>
    <n v="1487.59"/>
    <n v="1480.83"/>
    <s v="High"/>
    <n v="8.9999999999999993E-3"/>
    <n v="11"/>
    <n v="16142.527829999999"/>
    <n v="16363.49"/>
    <n v="-220.9621700000007"/>
    <n v="-1.3688201273492908E-2"/>
    <n v="202506"/>
    <n v="202301"/>
    <s v="Jun-2023"/>
    <x v="16"/>
  </r>
  <r>
    <x v="390"/>
    <d v="2024-08-10T00:00:00"/>
    <x v="21"/>
    <x v="3"/>
    <d v="2024-09-07T00:00:00"/>
    <n v="28"/>
    <x v="3"/>
    <x v="7"/>
    <s v="Marseille"/>
    <s v="Europe &gt; France &gt; Marseille"/>
    <s v="Non-Profit"/>
    <x v="4"/>
    <x v="9"/>
    <x v="1"/>
    <x v="390"/>
    <n v="229.96"/>
    <n v="564.26"/>
    <s v="Low"/>
    <n v="0.105"/>
    <n v="5"/>
    <n v="2525.0635000000002"/>
    <n v="1149.8"/>
    <n v="1375.2635000000002"/>
    <n v="0.54464511486542821"/>
    <n v="202408"/>
    <n v="202301"/>
    <s v="Aug-2023"/>
    <x v="20"/>
  </r>
  <r>
    <x v="391"/>
    <d v="2023-10-09T00:00:00"/>
    <x v="32"/>
    <x v="1"/>
    <d v="2023-10-26T00:00:00"/>
    <n v="17"/>
    <x v="1"/>
    <x v="9"/>
    <s v="Shanghai"/>
    <s v="Asia &gt; China &gt; Shanghai"/>
    <s v="Consumer"/>
    <x v="2"/>
    <x v="0"/>
    <x v="0"/>
    <x v="391"/>
    <n v="1132.03"/>
    <n v="2137.21"/>
    <s v="High"/>
    <n v="0.35699999999999998"/>
    <n v="35"/>
    <n v="48097.911050000002"/>
    <n v="39621.049999999996"/>
    <n v="8476.8610500000068"/>
    <n v="0.17624177152284051"/>
    <n v="202310"/>
    <n v="202301"/>
    <s v="Oct-2023"/>
    <x v="4"/>
  </r>
  <r>
    <x v="392"/>
    <d v="2024-03-09T00:00:00"/>
    <x v="0"/>
    <x v="0"/>
    <d v="2024-03-26T00:00:00"/>
    <n v="17"/>
    <x v="2"/>
    <x v="10"/>
    <s v="San Francisco"/>
    <s v="Americas &gt; USA &gt; San Francisco"/>
    <s v="Education"/>
    <x v="4"/>
    <x v="2"/>
    <x v="3"/>
    <x v="392"/>
    <n v="1137.4100000000001"/>
    <n v="1680.93"/>
    <s v="High"/>
    <n v="0.254"/>
    <n v="9"/>
    <n v="11285.764020000001"/>
    <n v="10236.69"/>
    <n v="1049.07402"/>
    <n v="9.2955516183121464E-2"/>
    <n v="202403"/>
    <n v="202301"/>
    <s v="Mar-2023"/>
    <x v="0"/>
  </r>
  <r>
    <x v="393"/>
    <d v="2023-05-29T00:00:00"/>
    <x v="15"/>
    <x v="2"/>
    <d v="2023-06-20T00:00:00"/>
    <n v="22"/>
    <x v="3"/>
    <x v="8"/>
    <s v="London"/>
    <s v="Europe &gt; United Kingdom &gt; London"/>
    <s v="Small Business"/>
    <x v="4"/>
    <x v="11"/>
    <x v="0"/>
    <x v="393"/>
    <n v="1295.3900000000001"/>
    <n v="2905.06"/>
    <s v="High"/>
    <n v="0.14799999999999999"/>
    <n v="8"/>
    <n v="19800.88896"/>
    <n v="10363.120000000001"/>
    <n v="9437.7689599999994"/>
    <n v="0.47663359857556614"/>
    <n v="202305"/>
    <n v="202301"/>
    <s v="May-2023"/>
    <x v="15"/>
  </r>
  <r>
    <x v="394"/>
    <d v="2025-05-27T00:00:00"/>
    <x v="8"/>
    <x v="2"/>
    <d v="2025-06-08T00:00:00"/>
    <n v="12"/>
    <x v="1"/>
    <x v="2"/>
    <s v="Osaka"/>
    <s v="Asia &gt; Japan &gt; Osaka"/>
    <s v="Corporate"/>
    <x v="0"/>
    <x v="10"/>
    <x v="6"/>
    <x v="394"/>
    <n v="653.6"/>
    <n v="842.09"/>
    <s v="Medium"/>
    <n v="9.8000000000000004E-2"/>
    <n v="19"/>
    <n v="14431.738420000001"/>
    <n v="12418.4"/>
    <n v="2013.3384200000019"/>
    <n v="0.13950768517324622"/>
    <n v="202505"/>
    <n v="202303"/>
    <s v="May-2023"/>
    <x v="3"/>
  </r>
  <r>
    <x v="395"/>
    <d v="2025-08-21T00:00:00"/>
    <x v="28"/>
    <x v="3"/>
    <d v="2025-09-14T00:00:00"/>
    <n v="24"/>
    <x v="3"/>
    <x v="6"/>
    <s v="Berlin"/>
    <s v="Europe &gt; Germany &gt; Berlin"/>
    <s v="Non-Profit"/>
    <x v="1"/>
    <x v="8"/>
    <x v="5"/>
    <x v="395"/>
    <n v="1397.67"/>
    <n v="3131.37"/>
    <s v="High"/>
    <n v="0.10299999999999999"/>
    <n v="20"/>
    <n v="56176.777799999996"/>
    <n v="27953.4"/>
    <n v="28223.377799999995"/>
    <n v="0.50240293062874808"/>
    <n v="202508"/>
    <n v="202301"/>
    <s v="Aug-2023"/>
    <x v="29"/>
  </r>
  <r>
    <x v="396"/>
    <d v="2024-12-12T00:00:00"/>
    <x v="6"/>
    <x v="1"/>
    <d v="2024-12-20T00:00:00"/>
    <n v="8"/>
    <x v="1"/>
    <x v="2"/>
    <s v="Tokyo"/>
    <s v="Asia &gt; Japan &gt; Tokyo"/>
    <s v="Corporate"/>
    <x v="0"/>
    <x v="5"/>
    <x v="4"/>
    <x v="396"/>
    <n v="1202.47"/>
    <n v="1444.72"/>
    <s v="High"/>
    <n v="0.24099999999999999"/>
    <n v="17"/>
    <n v="18641.222160000001"/>
    <n v="20441.990000000002"/>
    <n v="-1800.7678400000004"/>
    <n v="-9.6601382921343834E-2"/>
    <n v="202412"/>
    <n v="202303"/>
    <s v="Dec-2023"/>
    <x v="1"/>
  </r>
  <r>
    <x v="397"/>
    <d v="2025-09-14T00:00:00"/>
    <x v="11"/>
    <x v="3"/>
    <d v="2025-09-23T00:00:00"/>
    <n v="9"/>
    <x v="0"/>
    <x v="11"/>
    <s v="Durban"/>
    <s v="Africa &gt; South Africa &gt; Durban"/>
    <s v="Non-Profit"/>
    <x v="1"/>
    <x v="14"/>
    <x v="0"/>
    <x v="397"/>
    <n v="1310.3"/>
    <n v="2875.8"/>
    <s v="High"/>
    <n v="8.3000000000000004E-2"/>
    <n v="5"/>
    <n v="13185.543"/>
    <n v="6551.5"/>
    <n v="6634.0429999999997"/>
    <n v="0.50313005691157353"/>
    <n v="202509"/>
    <n v="202301"/>
    <s v="Sept-2023"/>
    <x v="11"/>
  </r>
  <r>
    <x v="398"/>
    <d v="2024-09-06T00:00:00"/>
    <x v="29"/>
    <x v="3"/>
    <d v="2024-10-04T00:00:00"/>
    <n v="28"/>
    <x v="0"/>
    <x v="11"/>
    <s v="Cape Town"/>
    <s v="Africa &gt; South Africa &gt; Cape Town"/>
    <s v="Corporate"/>
    <x v="2"/>
    <x v="14"/>
    <x v="5"/>
    <x v="398"/>
    <n v="1174.17"/>
    <n v="1641.61"/>
    <s v="High"/>
    <n v="0.122"/>
    <n v="9"/>
    <n v="12972.00222"/>
    <n v="10567.53"/>
    <n v="2404.4722199999997"/>
    <n v="0.18535860380079394"/>
    <n v="202409"/>
    <n v="202301"/>
    <s v="Sept-2023"/>
    <x v="30"/>
  </r>
  <r>
    <x v="399"/>
    <d v="2025-04-12T00:00:00"/>
    <x v="19"/>
    <x v="2"/>
    <d v="2025-04-30T00:00:00"/>
    <n v="18"/>
    <x v="0"/>
    <x v="0"/>
    <s v="Kisumu"/>
    <s v="Africa &gt; Kenya &gt; Kisumu"/>
    <s v="Corporate"/>
    <x v="2"/>
    <x v="9"/>
    <x v="2"/>
    <x v="399"/>
    <n v="1119.04"/>
    <n v="1299.02"/>
    <s v="High"/>
    <n v="2.5000000000000001E-2"/>
    <n v="14"/>
    <n v="17731.623"/>
    <n v="15666.56"/>
    <n v="2065.0630000000001"/>
    <n v="0.11646215352085933"/>
    <n v="202504"/>
    <n v="202301"/>
    <s v="Apr-2023"/>
    <x v="18"/>
  </r>
  <r>
    <x v="400"/>
    <d v="2024-08-12T00:00:00"/>
    <x v="21"/>
    <x v="3"/>
    <d v="2024-08-15T00:00:00"/>
    <n v="3"/>
    <x v="2"/>
    <x v="10"/>
    <s v="Chicago"/>
    <s v="Americas &gt; USA &gt; Chicago"/>
    <s v="Corporate"/>
    <x v="2"/>
    <x v="14"/>
    <x v="1"/>
    <x v="400"/>
    <n v="850.7"/>
    <n v="1118.56"/>
    <s v="Medium"/>
    <n v="0.18"/>
    <n v="19"/>
    <n v="17427.164800000002"/>
    <n v="16163.300000000001"/>
    <n v="1263.8648000000012"/>
    <n v="7.2522685962090688E-2"/>
    <n v="202408"/>
    <n v="202301"/>
    <s v="Aug-2023"/>
    <x v="20"/>
  </r>
  <r>
    <x v="401"/>
    <d v="2024-11-05T00:00:00"/>
    <x v="18"/>
    <x v="1"/>
    <d v="2024-11-08T00:00:00"/>
    <n v="3"/>
    <x v="2"/>
    <x v="3"/>
    <s v="Toronto"/>
    <s v="Americas &gt; Canada &gt; Toronto"/>
    <s v="Education"/>
    <x v="2"/>
    <x v="7"/>
    <x v="0"/>
    <x v="401"/>
    <n v="1020.4"/>
    <n v="1184.71"/>
    <s v="High"/>
    <n v="0.106"/>
    <n v="16"/>
    <n v="16946.091840000001"/>
    <n v="16326.4"/>
    <n v="619.69184000000132"/>
    <n v="3.6568422138328345E-2"/>
    <n v="202411"/>
    <n v="202301"/>
    <s v="Nov-2023"/>
    <x v="10"/>
  </r>
  <r>
    <x v="402"/>
    <d v="2024-07-24T00:00:00"/>
    <x v="14"/>
    <x v="3"/>
    <d v="2024-08-08T00:00:00"/>
    <n v="15"/>
    <x v="3"/>
    <x v="7"/>
    <s v="Marseille"/>
    <s v="Europe &gt; France &gt; Marseille"/>
    <s v="Enterprise"/>
    <x v="2"/>
    <x v="10"/>
    <x v="4"/>
    <x v="402"/>
    <n v="501.5"/>
    <n v="1201.47"/>
    <s v="Medium"/>
    <n v="0.126"/>
    <n v="5"/>
    <n v="5250.4239000000007"/>
    <n v="2507.5"/>
    <n v="2742.9239000000007"/>
    <n v="0.52241951359394057"/>
    <n v="202407"/>
    <n v="202301"/>
    <s v="Jul-2023"/>
    <x v="14"/>
  </r>
  <r>
    <x v="403"/>
    <d v="2025-01-20T00:00:00"/>
    <x v="10"/>
    <x v="0"/>
    <d v="2025-02-03T00:00:00"/>
    <n v="14"/>
    <x v="2"/>
    <x v="5"/>
    <s v="Brasília"/>
    <s v="Americas &gt; Brazil &gt; Brasília"/>
    <s v="Enterprise"/>
    <x v="2"/>
    <x v="9"/>
    <x v="0"/>
    <x v="403"/>
    <n v="974.11"/>
    <n v="880.99"/>
    <s v="Medium"/>
    <n v="0.111"/>
    <n v="10"/>
    <n v="7832.0010999999995"/>
    <n v="9741.1"/>
    <n v="-1909.0989000000009"/>
    <n v="-0.2437562093805121"/>
    <n v="202501"/>
    <n v="202301"/>
    <s v="Jan-2023"/>
    <x v="24"/>
  </r>
  <r>
    <x v="404"/>
    <d v="2023-03-06T00:00:00"/>
    <x v="22"/>
    <x v="0"/>
    <d v="2023-04-04T00:00:00"/>
    <n v="29"/>
    <x v="1"/>
    <x v="9"/>
    <s v="Beijing"/>
    <s v="Asia &gt; China &gt; Beijing"/>
    <s v="Small Business"/>
    <x v="4"/>
    <x v="0"/>
    <x v="5"/>
    <x v="404"/>
    <n v="1126.29"/>
    <n v="2050.87"/>
    <s v="High"/>
    <n v="6.4000000000000001E-2"/>
    <n v="7"/>
    <n v="13437.300239999999"/>
    <n v="7884.03"/>
    <n v="5553.2702399999989"/>
    <n v="0.41327276616690373"/>
    <n v="202303"/>
    <n v="202301"/>
    <s v="Mar-2023"/>
    <x v="21"/>
  </r>
  <r>
    <x v="405"/>
    <d v="2024-12-20T00:00:00"/>
    <x v="6"/>
    <x v="1"/>
    <d v="2025-01-14T00:00:00"/>
    <n v="25"/>
    <x v="1"/>
    <x v="4"/>
    <s v="Delhi"/>
    <s v="Asia &gt; India &gt; Delhi"/>
    <s v="Small Business"/>
    <x v="0"/>
    <x v="12"/>
    <x v="1"/>
    <x v="405"/>
    <n v="1361.34"/>
    <n v="1737.9"/>
    <s v="High"/>
    <n v="7.6999999999999999E-2"/>
    <n v="14"/>
    <n v="22457.143800000002"/>
    <n v="19058.759999999998"/>
    <n v="3398.3838000000032"/>
    <n v="0.15132751654731813"/>
    <n v="202412"/>
    <n v="202301"/>
    <s v="Dec-2023"/>
    <x v="6"/>
  </r>
  <r>
    <x v="406"/>
    <d v="2025-02-21T00:00:00"/>
    <x v="26"/>
    <x v="0"/>
    <d v="2025-03-21T00:00:00"/>
    <n v="28"/>
    <x v="0"/>
    <x v="1"/>
    <s v="Abuja"/>
    <s v="Africa &gt; Nigeria &gt; Abuja"/>
    <s v="Enterprise"/>
    <x v="2"/>
    <x v="2"/>
    <x v="3"/>
    <x v="406"/>
    <n v="1437.39"/>
    <n v="1388.31"/>
    <s v="High"/>
    <n v="0.13800000000000001"/>
    <n v="18"/>
    <n v="21541.017959999997"/>
    <n v="25873.02"/>
    <n v="-4332.002040000003"/>
    <n v="-0.20110479681341872"/>
    <n v="202502"/>
    <n v="202301"/>
    <s v="Feb-2023"/>
    <x v="26"/>
  </r>
  <r>
    <x v="407"/>
    <d v="2025-03-08T00:00:00"/>
    <x v="3"/>
    <x v="0"/>
    <d v="2025-03-15T00:00:00"/>
    <n v="7"/>
    <x v="1"/>
    <x v="4"/>
    <s v="Bengaluru"/>
    <s v="Asia &gt; India &gt; Bengaluru"/>
    <s v="Corporate"/>
    <x v="3"/>
    <x v="11"/>
    <x v="4"/>
    <x v="407"/>
    <n v="475.66"/>
    <n v="529.14"/>
    <s v="Low"/>
    <n v="0.19600000000000001"/>
    <n v="11"/>
    <n v="4679.7141600000004"/>
    <n v="5232.26"/>
    <n v="-552.54583999999977"/>
    <n v="-0.11807256193613323"/>
    <n v="202503"/>
    <n v="202301"/>
    <s v="Mar-2023"/>
    <x v="3"/>
  </r>
  <r>
    <x v="408"/>
    <d v="2023-12-16T00:00:00"/>
    <x v="4"/>
    <x v="1"/>
    <d v="2023-12-19T00:00:00"/>
    <n v="3"/>
    <x v="1"/>
    <x v="9"/>
    <s v="Beijing"/>
    <s v="Asia &gt; China &gt; Beijing"/>
    <s v="Education"/>
    <x v="0"/>
    <x v="8"/>
    <x v="6"/>
    <x v="408"/>
    <n v="1415.05"/>
    <n v="1972.38"/>
    <s v="High"/>
    <n v="0"/>
    <n v="12"/>
    <n v="23668.560000000001"/>
    <n v="16980.599999999999"/>
    <n v="6687.9600000000028"/>
    <n v="0.28256725377462771"/>
    <n v="202312"/>
    <n v="202301"/>
    <s v="Dec-2023"/>
    <x v="27"/>
  </r>
  <r>
    <x v="409"/>
    <d v="2024-08-30T00:00:00"/>
    <x v="21"/>
    <x v="3"/>
    <d v="2024-09-05T00:00:00"/>
    <n v="6"/>
    <x v="1"/>
    <x v="2"/>
    <s v="Nagoya"/>
    <s v="Asia &gt; Japan &gt; Nagoya"/>
    <s v="Education"/>
    <x v="1"/>
    <x v="13"/>
    <x v="4"/>
    <x v="409"/>
    <n v="466.16"/>
    <n v="876.81"/>
    <s v="Low"/>
    <n v="0.24099999999999999"/>
    <n v="8"/>
    <n v="5323.9903199999999"/>
    <n v="3729.28"/>
    <n v="1594.7103199999997"/>
    <n v="0.29953291124691594"/>
    <n v="202408"/>
    <n v="202303"/>
    <s v="Aug-2023"/>
    <x v="17"/>
  </r>
  <r>
    <x v="410"/>
    <d v="2024-05-18T00:00:00"/>
    <x v="7"/>
    <x v="2"/>
    <d v="2024-05-21T00:00:00"/>
    <n v="3"/>
    <x v="3"/>
    <x v="7"/>
    <s v="Marseille"/>
    <s v="Europe &gt; France &gt; Marseille"/>
    <s v="Non-Profit"/>
    <x v="2"/>
    <x v="14"/>
    <x v="1"/>
    <x v="410"/>
    <n v="663.66"/>
    <n v="824.26"/>
    <s v="Medium"/>
    <n v="0.23899999999999999"/>
    <n v="11"/>
    <n v="6899.8804600000003"/>
    <n v="7300.2599999999993"/>
    <n v="-400.379539999999"/>
    <n v="-5.8027025587048933E-2"/>
    <n v="202405"/>
    <n v="202301"/>
    <s v="May-2023"/>
    <x v="7"/>
  </r>
  <r>
    <x v="411"/>
    <d v="2023-03-17T00:00:00"/>
    <x v="22"/>
    <x v="0"/>
    <d v="2023-04-06T00:00:00"/>
    <n v="20"/>
    <x v="3"/>
    <x v="6"/>
    <s v="Munich"/>
    <s v="Europe &gt; Germany &gt; Munich"/>
    <s v="Consumer"/>
    <x v="0"/>
    <x v="7"/>
    <x v="3"/>
    <x v="411"/>
    <n v="692.18"/>
    <n v="1159.3499999999999"/>
    <s v="Medium"/>
    <n v="0.112"/>
    <n v="2"/>
    <n v="2059.0056"/>
    <n v="1384.36"/>
    <n v="674.64560000000006"/>
    <n v="0.32765602968734037"/>
    <n v="202303"/>
    <n v="202301"/>
    <s v="Mar-2023"/>
    <x v="21"/>
  </r>
  <r>
    <x v="412"/>
    <d v="2023-08-25T00:00:00"/>
    <x v="25"/>
    <x v="3"/>
    <d v="2023-09-16T00:00:00"/>
    <n v="22"/>
    <x v="0"/>
    <x v="1"/>
    <s v="Abuja"/>
    <s v="Africa &gt; Nigeria &gt; Abuja"/>
    <s v="Corporate"/>
    <x v="2"/>
    <x v="4"/>
    <x v="3"/>
    <x v="412"/>
    <n v="1196.83"/>
    <n v="2513.5100000000002"/>
    <s v="High"/>
    <n v="8.3000000000000004E-2"/>
    <n v="7"/>
    <n v="16134.22069"/>
    <n v="8377.81"/>
    <n v="7756.4106900000006"/>
    <n v="0.48074281609445374"/>
    <n v="202308"/>
    <n v="202301"/>
    <s v="Aug-2023"/>
    <x v="25"/>
  </r>
  <r>
    <x v="413"/>
    <d v="2024-06-06T00:00:00"/>
    <x v="17"/>
    <x v="2"/>
    <d v="2024-06-24T00:00:00"/>
    <n v="18"/>
    <x v="1"/>
    <x v="4"/>
    <s v="Bengaluru"/>
    <s v="Asia &gt; India &gt; Bengaluru"/>
    <s v="Small Business"/>
    <x v="4"/>
    <x v="10"/>
    <x v="2"/>
    <x v="413"/>
    <n v="1253.25"/>
    <n v="3087.13"/>
    <s v="High"/>
    <n v="7.1999999999999995E-2"/>
    <n v="11"/>
    <n v="31513.423040000001"/>
    <n v="13785.75"/>
    <n v="17727.673040000001"/>
    <n v="0.562543555408064"/>
    <n v="202406"/>
    <n v="202301"/>
    <s v="Jun-2023"/>
    <x v="17"/>
  </r>
  <r>
    <x v="414"/>
    <d v="2023-08-29T00:00:00"/>
    <x v="25"/>
    <x v="3"/>
    <d v="2023-09-13T00:00:00"/>
    <n v="15"/>
    <x v="2"/>
    <x v="3"/>
    <s v="Vancouver"/>
    <s v="Americas &gt; Canada &gt; Vancouver"/>
    <s v="Small Business"/>
    <x v="2"/>
    <x v="7"/>
    <x v="1"/>
    <x v="414"/>
    <n v="1287.6400000000001"/>
    <n v="2717.15"/>
    <s v="High"/>
    <n v="3.2000000000000001E-2"/>
    <n v="7"/>
    <n v="18411.4084"/>
    <n v="9013.4800000000014"/>
    <n v="9397.9283999999989"/>
    <n v="0.51044049405802105"/>
    <n v="202308"/>
    <n v="202301"/>
    <s v="Aug-2023"/>
    <x v="25"/>
  </r>
  <r>
    <x v="415"/>
    <d v="2024-11-30T00:00:00"/>
    <x v="18"/>
    <x v="1"/>
    <d v="2024-12-10T00:00:00"/>
    <n v="10"/>
    <x v="1"/>
    <x v="4"/>
    <s v="Hyderabad"/>
    <s v="Asia &gt; India &gt; Hyderabad"/>
    <s v="Small Business"/>
    <x v="0"/>
    <x v="9"/>
    <x v="6"/>
    <x v="415"/>
    <n v="851.49"/>
    <n v="901.79"/>
    <s v="Medium"/>
    <n v="0.245"/>
    <n v="16"/>
    <n v="10893.6232"/>
    <n v="13623.84"/>
    <n v="-2730.2168000000001"/>
    <n v="-0.25062522816100341"/>
    <n v="202411"/>
    <n v="202301"/>
    <s v="Nov-2023"/>
    <x v="10"/>
  </r>
  <r>
    <x v="416"/>
    <d v="2025-06-05T00:00:00"/>
    <x v="16"/>
    <x v="2"/>
    <d v="2025-06-14T00:00:00"/>
    <n v="9"/>
    <x v="1"/>
    <x v="4"/>
    <s v="Delhi"/>
    <s v="Asia &gt; India &gt; Delhi"/>
    <s v="Non-Profit"/>
    <x v="0"/>
    <x v="8"/>
    <x v="6"/>
    <x v="416"/>
    <n v="618.69000000000005"/>
    <n v="796.15"/>
    <s v="Medium"/>
    <n v="0.09"/>
    <n v="11"/>
    <n v="7969.4615000000003"/>
    <n v="6805.59"/>
    <n v="1163.8715000000002"/>
    <n v="0.14604142325049191"/>
    <n v="202506"/>
    <n v="202301"/>
    <s v="Jun-2023"/>
    <x v="16"/>
  </r>
  <r>
    <x v="417"/>
    <d v="2025-03-14T00:00:00"/>
    <x v="3"/>
    <x v="0"/>
    <d v="2025-04-08T00:00:00"/>
    <n v="25"/>
    <x v="1"/>
    <x v="9"/>
    <s v="Not Provided"/>
    <s v="Asia &gt; China &gt; Not Provided"/>
    <s v="Corporate"/>
    <x v="3"/>
    <x v="14"/>
    <x v="1"/>
    <x v="417"/>
    <n v="80.59"/>
    <n v="157.82"/>
    <s v="Low"/>
    <n v="0.217"/>
    <n v="6"/>
    <n v="741.43835999999999"/>
    <n v="483.54"/>
    <n v="257.89835999999997"/>
    <n v="0.34783519967863541"/>
    <n v="202503"/>
    <n v="202301"/>
    <s v="Mar-2023"/>
    <x v="3"/>
  </r>
  <r>
    <x v="418"/>
    <d v="2024-01-16T00:00:00"/>
    <x v="9"/>
    <x v="0"/>
    <d v="2024-02-11T00:00:00"/>
    <n v="26"/>
    <x v="3"/>
    <x v="6"/>
    <s v="Frankfurt"/>
    <s v="Europe &gt; Germany &gt; Frankfurt"/>
    <s v="Non-Profit"/>
    <x v="3"/>
    <x v="6"/>
    <x v="5"/>
    <x v="418"/>
    <n v="504.93"/>
    <n v="819.06"/>
    <s v="Medium"/>
    <n v="0.22600000000000001"/>
    <n v="15"/>
    <n v="9509.2865999999995"/>
    <n v="7573.95"/>
    <n v="1935.3365999999996"/>
    <n v="0.20352069312959814"/>
    <n v="202401"/>
    <n v="202301"/>
    <s v="Jan-2023"/>
    <x v="9"/>
  </r>
  <r>
    <x v="419"/>
    <d v="2023-10-12T00:00:00"/>
    <x v="32"/>
    <x v="1"/>
    <d v="2023-10-29T00:00:00"/>
    <n v="17"/>
    <x v="1"/>
    <x v="2"/>
    <s v="Nagoya"/>
    <s v="Asia &gt; Japan &gt; Nagoya"/>
    <s v="Non-Profit"/>
    <x v="4"/>
    <x v="10"/>
    <x v="3"/>
    <x v="419"/>
    <n v="1102.19"/>
    <n v="1711.16"/>
    <s v="High"/>
    <n v="0.151"/>
    <n v="10"/>
    <n v="14527.748400000002"/>
    <n v="11021.900000000001"/>
    <n v="3505.8484000000008"/>
    <n v="0.24132083675127525"/>
    <n v="202310"/>
    <n v="202303"/>
    <s v="Oct-2023"/>
    <x v="25"/>
  </r>
  <r>
    <x v="420"/>
    <d v="2025-02-25T00:00:00"/>
    <x v="26"/>
    <x v="0"/>
    <d v="2025-03-17T00:00:00"/>
    <n v="20"/>
    <x v="2"/>
    <x v="10"/>
    <s v="San Francisco"/>
    <s v="Americas &gt; USA &gt; San Francisco"/>
    <s v="Non-Profit"/>
    <x v="2"/>
    <x v="10"/>
    <x v="3"/>
    <x v="420"/>
    <n v="1205.26"/>
    <n v="1696.35"/>
    <s v="High"/>
    <n v="1.9E-2"/>
    <n v="6"/>
    <n v="9984.7160999999978"/>
    <n v="7231.5599999999995"/>
    <n v="2753.1560999999983"/>
    <n v="0.27573704374028213"/>
    <n v="202502"/>
    <n v="202301"/>
    <s v="Feb-2023"/>
    <x v="26"/>
  </r>
  <r>
    <x v="421"/>
    <d v="2025-07-03T00:00:00"/>
    <x v="13"/>
    <x v="3"/>
    <d v="2025-07-06T00:00:00"/>
    <n v="3"/>
    <x v="0"/>
    <x v="1"/>
    <s v="Lagos"/>
    <s v="Africa &gt; Nigeria &gt; Lagos"/>
    <s v="Consumer"/>
    <x v="1"/>
    <x v="15"/>
    <x v="4"/>
    <x v="421"/>
    <n v="1313.3"/>
    <n v="2884.34"/>
    <s v="High"/>
    <n v="0.157"/>
    <n v="42"/>
    <n v="102122.94203999999"/>
    <n v="55158.6"/>
    <n v="46964.342039999996"/>
    <n v="0.45988042551305253"/>
    <n v="202507"/>
    <n v="202301"/>
    <s v="Jul-2023"/>
    <x v="13"/>
  </r>
  <r>
    <x v="422"/>
    <d v="2025-09-15T00:00:00"/>
    <x v="11"/>
    <x v="3"/>
    <d v="2025-09-25T00:00:00"/>
    <n v="10"/>
    <x v="1"/>
    <x v="4"/>
    <s v="Delhi"/>
    <s v="Asia &gt; India &gt; Delhi"/>
    <s v="Consumer"/>
    <x v="0"/>
    <x v="8"/>
    <x v="3"/>
    <x v="422"/>
    <n v="1488.91"/>
    <n v="1483.74"/>
    <s v="High"/>
    <n v="0.16800000000000001"/>
    <n v="24"/>
    <n v="29627.320319999999"/>
    <n v="35733.840000000004"/>
    <n v="-6106.5196800000049"/>
    <n v="-0.20611110333450519"/>
    <n v="202509"/>
    <n v="202301"/>
    <s v="Sept-2023"/>
    <x v="11"/>
  </r>
  <r>
    <x v="423"/>
    <d v="2024-02-19T00:00:00"/>
    <x v="31"/>
    <x v="0"/>
    <d v="2024-03-06T00:00:00"/>
    <n v="16"/>
    <x v="1"/>
    <x v="9"/>
    <s v="Beijing"/>
    <s v="Asia &gt; China &gt; Beijing"/>
    <s v="Education"/>
    <x v="2"/>
    <x v="7"/>
    <x v="1"/>
    <x v="423"/>
    <n v="1477.84"/>
    <n v="3197.47"/>
    <s v="High"/>
    <n v="0.24299999999999999"/>
    <n v="24"/>
    <n v="58091.634960000003"/>
    <n v="35468.159999999996"/>
    <n v="22623.474960000007"/>
    <n v="0.38944462443823091"/>
    <n v="202402"/>
    <n v="202301"/>
    <s v="Feb-2023"/>
    <x v="32"/>
  </r>
  <r>
    <x v="424"/>
    <d v="2024-02-27T00:00:00"/>
    <x v="31"/>
    <x v="0"/>
    <d v="2024-03-26T00:00:00"/>
    <n v="28"/>
    <x v="1"/>
    <x v="4"/>
    <s v="Mumbai"/>
    <s v="Asia &gt; India &gt; Mumbai"/>
    <s v="Education"/>
    <x v="2"/>
    <x v="3"/>
    <x v="4"/>
    <x v="424"/>
    <n v="1035.19"/>
    <n v="2322.6999999999998"/>
    <s v="High"/>
    <n v="0.17299999999999999"/>
    <n v="8"/>
    <n v="15366.983199999999"/>
    <n v="8281.52"/>
    <n v="7085.4631999999983"/>
    <n v="0.46108355217047409"/>
    <n v="202402"/>
    <n v="202301"/>
    <s v="Feb-2023"/>
    <x v="32"/>
  </r>
  <r>
    <x v="425"/>
    <d v="2025-08-28T00:00:00"/>
    <x v="28"/>
    <x v="3"/>
    <d v="2025-09-05T00:00:00"/>
    <n v="8"/>
    <x v="0"/>
    <x v="1"/>
    <s v="Port Harcourt"/>
    <s v="Africa &gt; Nigeria &gt; Port Harcourt"/>
    <s v="Small Business"/>
    <x v="2"/>
    <x v="6"/>
    <x v="4"/>
    <x v="425"/>
    <n v="1271.0999999999999"/>
    <n v="1932.42"/>
    <s v="High"/>
    <n v="0.25"/>
    <n v="21"/>
    <n v="30435.614999999998"/>
    <n v="26693.1"/>
    <n v="3742.5149999999994"/>
    <n v="0.12296498690760807"/>
    <n v="202508"/>
    <n v="202301"/>
    <s v="Aug-2023"/>
    <x v="29"/>
  </r>
  <r>
    <x v="426"/>
    <d v="2024-08-18T00:00:00"/>
    <x v="21"/>
    <x v="3"/>
    <d v="2024-09-12T00:00:00"/>
    <n v="25"/>
    <x v="1"/>
    <x v="4"/>
    <s v="Mumbai"/>
    <s v="Asia &gt; India &gt; Mumbai"/>
    <s v="Consumer"/>
    <x v="2"/>
    <x v="0"/>
    <x v="3"/>
    <x v="426"/>
    <n v="1154.03"/>
    <n v="1590.36"/>
    <s v="High"/>
    <n v="0.314"/>
    <n v="18"/>
    <n v="19637.76528"/>
    <n v="20772.54"/>
    <n v="-1134.7747200000013"/>
    <n v="-5.7785328616576745E-2"/>
    <n v="202408"/>
    <n v="202301"/>
    <s v="Aug-2023"/>
    <x v="20"/>
  </r>
  <r>
    <x v="427"/>
    <d v="2024-02-25T00:00:00"/>
    <x v="31"/>
    <x v="0"/>
    <d v="2024-03-09T00:00:00"/>
    <n v="13"/>
    <x v="3"/>
    <x v="7"/>
    <s v="Marseille"/>
    <s v="Europe &gt; France &gt; Marseille"/>
    <s v="Small Business"/>
    <x v="3"/>
    <x v="6"/>
    <x v="5"/>
    <x v="427"/>
    <n v="322.44"/>
    <n v="395.61"/>
    <s v="Low"/>
    <n v="0"/>
    <n v="34"/>
    <n v="13450.74"/>
    <n v="10962.96"/>
    <n v="2487.7800000000007"/>
    <n v="0.18495487980586947"/>
    <n v="202402"/>
    <n v="202301"/>
    <s v="Feb-2023"/>
    <x v="32"/>
  </r>
  <r>
    <x v="428"/>
    <d v="2025-05-07T00:00:00"/>
    <x v="8"/>
    <x v="2"/>
    <d v="2025-05-13T00:00:00"/>
    <n v="6"/>
    <x v="1"/>
    <x v="4"/>
    <s v="Bengaluru"/>
    <s v="Asia &gt; India &gt; Bengaluru"/>
    <s v="Enterprise"/>
    <x v="4"/>
    <x v="1"/>
    <x v="3"/>
    <x v="428"/>
    <n v="935.98"/>
    <n v="2077.69"/>
    <s v="Medium"/>
    <n v="0.17499999999999999"/>
    <n v="24"/>
    <n v="41138.261999999995"/>
    <n v="22463.52"/>
    <n v="18674.741999999995"/>
    <n v="0.45395067978321491"/>
    <n v="202505"/>
    <n v="202301"/>
    <s v="May-2023"/>
    <x v="8"/>
  </r>
  <r>
    <x v="429"/>
    <d v="2024-11-01T00:00:00"/>
    <x v="18"/>
    <x v="1"/>
    <d v="2024-11-12T00:00:00"/>
    <n v="11"/>
    <x v="3"/>
    <x v="6"/>
    <s v="Frankfurt"/>
    <s v="Europe &gt; Germany &gt; Frankfurt"/>
    <s v="Consumer"/>
    <x v="1"/>
    <x v="5"/>
    <x v="1"/>
    <x v="429"/>
    <n v="599.84"/>
    <n v="1330.85"/>
    <s v="Medium"/>
    <n v="0.115"/>
    <n v="11"/>
    <n v="12955.824749999998"/>
    <n v="6598.2400000000007"/>
    <n v="6357.5847499999973"/>
    <n v="0.49071246892252063"/>
    <n v="202411"/>
    <n v="202301"/>
    <s v="Nov-2023"/>
    <x v="10"/>
  </r>
  <r>
    <x v="430"/>
    <d v="2024-12-28T00:00:00"/>
    <x v="6"/>
    <x v="1"/>
    <d v="2025-01-08T00:00:00"/>
    <n v="11"/>
    <x v="1"/>
    <x v="9"/>
    <s v="Shenzhen"/>
    <s v="Asia &gt; China &gt; Shenzhen"/>
    <s v="Enterprise"/>
    <x v="1"/>
    <x v="11"/>
    <x v="4"/>
    <x v="430"/>
    <n v="1201.31"/>
    <n v="2764.65"/>
    <s v="High"/>
    <n v="0"/>
    <n v="21"/>
    <n v="58057.65"/>
    <n v="25227.51"/>
    <n v="32830.14"/>
    <n v="0.56547483406579491"/>
    <n v="202412"/>
    <n v="202301"/>
    <s v="Dec-2023"/>
    <x v="6"/>
  </r>
  <r>
    <x v="431"/>
    <d v="2023-10-21T00:00:00"/>
    <x v="32"/>
    <x v="1"/>
    <d v="2023-10-21T00:00:00"/>
    <n v="0"/>
    <x v="3"/>
    <x v="8"/>
    <s v="Manchester"/>
    <s v="Europe &gt; United Kingdom &gt; Manchester"/>
    <s v="Enterprise"/>
    <x v="3"/>
    <x v="1"/>
    <x v="5"/>
    <x v="431"/>
    <n v="384.19"/>
    <n v="278.35000000000002"/>
    <s v="Low"/>
    <n v="5.6000000000000001E-2"/>
    <n v="10"/>
    <n v="2627.6239999999998"/>
    <n v="3841.9"/>
    <n v="-1214.2760000000003"/>
    <n v="-0.46211938998882657"/>
    <n v="202310"/>
    <n v="202301"/>
    <s v="Oct-2023"/>
    <x v="4"/>
  </r>
  <r>
    <x v="432"/>
    <d v="2024-12-10T00:00:00"/>
    <x v="6"/>
    <x v="1"/>
    <d v="2024-12-19T00:00:00"/>
    <n v="9"/>
    <x v="0"/>
    <x v="1"/>
    <s v="Lagos"/>
    <s v="Africa &gt; Nigeria &gt; Lagos"/>
    <s v="Corporate"/>
    <x v="0"/>
    <x v="7"/>
    <x v="5"/>
    <x v="432"/>
    <n v="488.68"/>
    <n v="984.36"/>
    <s v="Low"/>
    <n v="5.8999999999999997E-2"/>
    <n v="14"/>
    <n v="12967.958640000001"/>
    <n v="6841.52"/>
    <n v="6126.4386400000003"/>
    <n v="0.47242891576649876"/>
    <n v="202412"/>
    <n v="202301"/>
    <s v="Dec-2023"/>
    <x v="6"/>
  </r>
  <r>
    <x v="433"/>
    <d v="2024-09-07T00:00:00"/>
    <x v="29"/>
    <x v="3"/>
    <d v="2024-09-18T00:00:00"/>
    <n v="11"/>
    <x v="1"/>
    <x v="9"/>
    <s v="Beijing"/>
    <s v="Asia &gt; China &gt; Beijing"/>
    <s v="Consumer"/>
    <x v="3"/>
    <x v="7"/>
    <x v="2"/>
    <x v="433"/>
    <n v="181.74"/>
    <n v="190.84"/>
    <s v="Low"/>
    <n v="0.214"/>
    <n v="13"/>
    <n v="1950.0031200000001"/>
    <n v="2362.62"/>
    <n v="-412.61687999999981"/>
    <n v="-0.21159806144310159"/>
    <n v="202409"/>
    <n v="202301"/>
    <s v="Sept-2023"/>
    <x v="30"/>
  </r>
  <r>
    <x v="434"/>
    <d v="2023-10-18T00:00:00"/>
    <x v="32"/>
    <x v="1"/>
    <d v="2023-10-20T00:00:00"/>
    <n v="2"/>
    <x v="0"/>
    <x v="0"/>
    <s v="Kisumu"/>
    <s v="Africa &gt; Kenya &gt; Kisumu"/>
    <s v="Consumer"/>
    <x v="0"/>
    <x v="1"/>
    <x v="3"/>
    <x v="434"/>
    <n v="774.12"/>
    <n v="908.3"/>
    <s v="Medium"/>
    <n v="0"/>
    <n v="30"/>
    <n v="27249"/>
    <n v="23223.599999999999"/>
    <n v="4025.4000000000015"/>
    <n v="0.14772652207420461"/>
    <n v="202310"/>
    <n v="202301"/>
    <s v="Oct-2023"/>
    <x v="4"/>
  </r>
  <r>
    <x v="435"/>
    <d v="2024-12-24T00:00:00"/>
    <x v="6"/>
    <x v="1"/>
    <d v="2025-01-13T00:00:00"/>
    <n v="20"/>
    <x v="1"/>
    <x v="4"/>
    <s v="Bengaluru"/>
    <s v="Asia &gt; India &gt; Bengaluru"/>
    <s v="Corporate"/>
    <x v="2"/>
    <x v="14"/>
    <x v="2"/>
    <x v="435"/>
    <n v="126.15"/>
    <n v="284.23"/>
    <s v="Low"/>
    <n v="0.113"/>
    <n v="22"/>
    <n v="5546.4642200000008"/>
    <n v="2775.3"/>
    <n v="2771.1642200000006"/>
    <n v="0.49962716968541088"/>
    <n v="202412"/>
    <n v="202301"/>
    <s v="Dec-2023"/>
    <x v="6"/>
  </r>
  <r>
    <x v="436"/>
    <d v="2023-04-21T00:00:00"/>
    <x v="12"/>
    <x v="2"/>
    <d v="2023-04-23T00:00:00"/>
    <n v="2"/>
    <x v="1"/>
    <x v="2"/>
    <s v="Nagoya"/>
    <s v="Asia &gt; Japan &gt; Nagoya"/>
    <s v="Small Business"/>
    <x v="4"/>
    <x v="12"/>
    <x v="0"/>
    <x v="436"/>
    <n v="607.04"/>
    <n v="1229.3399999999999"/>
    <s v="Medium"/>
    <n v="0.14699999999999999"/>
    <n v="7"/>
    <n v="7340.3891399999993"/>
    <n v="4249.28"/>
    <n v="3091.1091399999996"/>
    <n v="0.42110970972310058"/>
    <n v="202304"/>
    <n v="202303"/>
    <s v="Apr-2023"/>
    <x v="2"/>
  </r>
  <r>
    <x v="437"/>
    <d v="2023-12-30T00:00:00"/>
    <x v="4"/>
    <x v="1"/>
    <d v="2024-01-08T00:00:00"/>
    <n v="9"/>
    <x v="3"/>
    <x v="7"/>
    <s v="Marseille"/>
    <s v="Europe &gt; France &gt; Marseille"/>
    <s v="Consumer"/>
    <x v="2"/>
    <x v="4"/>
    <x v="6"/>
    <x v="437"/>
    <n v="861.1"/>
    <n v="1224.72"/>
    <s v="Medium"/>
    <n v="0.17399999999999999"/>
    <n v="24"/>
    <n v="24278.849280000002"/>
    <n v="20666.400000000001"/>
    <n v="3612.4492800000007"/>
    <n v="0.14878997098827909"/>
    <n v="202312"/>
    <n v="202301"/>
    <s v="Dec-2023"/>
    <x v="27"/>
  </r>
  <r>
    <x v="438"/>
    <d v="2023-02-21T00:00:00"/>
    <x v="2"/>
    <x v="0"/>
    <d v="2023-03-12T00:00:00"/>
    <n v="19"/>
    <x v="0"/>
    <x v="0"/>
    <s v="Nakuru"/>
    <s v="Africa &gt; Kenya &gt; Nakuru"/>
    <s v="Corporate"/>
    <x v="1"/>
    <x v="9"/>
    <x v="2"/>
    <x v="438"/>
    <n v="352.65"/>
    <n v="485.86"/>
    <s v="Low"/>
    <n v="4.1000000000000002E-2"/>
    <n v="6"/>
    <n v="2795.6384399999997"/>
    <n v="2115.8999999999996"/>
    <n v="679.73844000000008"/>
    <n v="0.24314247159943908"/>
    <n v="202302"/>
    <n v="202301"/>
    <s v="Feb-2023"/>
    <x v="2"/>
  </r>
  <r>
    <x v="439"/>
    <d v="2023-05-17T00:00:00"/>
    <x v="15"/>
    <x v="2"/>
    <d v="2023-06-03T00:00:00"/>
    <n v="17"/>
    <x v="1"/>
    <x v="9"/>
    <s v="Beijing"/>
    <s v="Asia &gt; China &gt; Beijing"/>
    <s v="Non-Profit"/>
    <x v="3"/>
    <x v="12"/>
    <x v="1"/>
    <x v="439"/>
    <n v="979.59"/>
    <n v="2210.94"/>
    <s v="Medium"/>
    <n v="0.15"/>
    <n v="11"/>
    <n v="20672.289000000001"/>
    <n v="10775.49"/>
    <n v="9896.7990000000009"/>
    <n v="0.47874712858358359"/>
    <n v="202305"/>
    <n v="202301"/>
    <s v="May-2023"/>
    <x v="15"/>
  </r>
  <r>
    <x v="440"/>
    <d v="2024-03-23T00:00:00"/>
    <x v="0"/>
    <x v="0"/>
    <d v="2024-03-26T00:00:00"/>
    <n v="3"/>
    <x v="1"/>
    <x v="4"/>
    <s v="Bengaluru"/>
    <s v="Asia &gt; India &gt; Bengaluru"/>
    <s v="Education"/>
    <x v="4"/>
    <x v="3"/>
    <x v="3"/>
    <x v="440"/>
    <n v="382.21"/>
    <n v="571.89"/>
    <s v="Low"/>
    <n v="0.14799999999999999"/>
    <n v="26"/>
    <n v="12668.50728"/>
    <n v="9937.4599999999991"/>
    <n v="2731.0472800000007"/>
    <n v="0.2155776698578809"/>
    <n v="202403"/>
    <n v="202301"/>
    <s v="Mar-2023"/>
    <x v="0"/>
  </r>
  <r>
    <x v="441"/>
    <d v="2023-09-20T00:00:00"/>
    <x v="27"/>
    <x v="3"/>
    <d v="2023-09-28T00:00:00"/>
    <n v="8"/>
    <x v="1"/>
    <x v="4"/>
    <s v="Not Provided"/>
    <s v="Asia &gt; India &gt; Not Provided"/>
    <s v="Corporate"/>
    <x v="5"/>
    <x v="5"/>
    <x v="6"/>
    <x v="441"/>
    <n v="1362.06"/>
    <n v="3398.37"/>
    <s v="High"/>
    <n v="0.157"/>
    <n v="11"/>
    <n v="31513.085009999999"/>
    <n v="14982.66"/>
    <n v="16530.425009999999"/>
    <n v="0.52455749745714919"/>
    <n v="202309"/>
    <n v="202301"/>
    <s v="Sept-2023"/>
    <x v="28"/>
  </r>
  <r>
    <x v="442"/>
    <d v="2024-08-22T00:00:00"/>
    <x v="21"/>
    <x v="3"/>
    <d v="2024-09-04T00:00:00"/>
    <n v="13"/>
    <x v="3"/>
    <x v="6"/>
    <s v="Frankfurt"/>
    <s v="Europe &gt; Germany &gt; Frankfurt"/>
    <s v="Non-Profit"/>
    <x v="0"/>
    <x v="4"/>
    <x v="1"/>
    <x v="442"/>
    <n v="90.04"/>
    <n v="194.62"/>
    <s v="Low"/>
    <n v="4.2999999999999997E-2"/>
    <n v="32"/>
    <n v="5960.04288"/>
    <n v="2881.28"/>
    <n v="3078.7628799999998"/>
    <n v="0.51656723650954672"/>
    <n v="202408"/>
    <n v="202301"/>
    <s v="Aug-2023"/>
    <x v="20"/>
  </r>
  <r>
    <x v="443"/>
    <d v="2024-09-25T00:00:00"/>
    <x v="29"/>
    <x v="3"/>
    <d v="2024-10-03T00:00:00"/>
    <n v="8"/>
    <x v="2"/>
    <x v="3"/>
    <s v="Toronto"/>
    <s v="Americas &gt; Canada &gt; Toronto"/>
    <s v="Consumer"/>
    <x v="1"/>
    <x v="6"/>
    <x v="1"/>
    <x v="443"/>
    <n v="558.19000000000005"/>
    <n v="1031.6400000000001"/>
    <s v="Medium"/>
    <n v="0"/>
    <n v="21"/>
    <n v="21664.440000000002"/>
    <n v="11721.990000000002"/>
    <n v="9942.4500000000007"/>
    <n v="0.45892947152107322"/>
    <n v="202409"/>
    <n v="202301"/>
    <s v="Sept-2023"/>
    <x v="30"/>
  </r>
  <r>
    <x v="444"/>
    <d v="2023-06-13T00:00:00"/>
    <x v="23"/>
    <x v="2"/>
    <d v="2023-06-24T00:00:00"/>
    <n v="11"/>
    <x v="2"/>
    <x v="3"/>
    <s v="Toronto"/>
    <s v="Americas &gt; Canada &gt; Toronto"/>
    <s v="Corporate"/>
    <x v="1"/>
    <x v="0"/>
    <x v="1"/>
    <x v="444"/>
    <n v="247.07"/>
    <n v="495.19"/>
    <s v="Low"/>
    <n v="2.8000000000000001E-2"/>
    <n v="4"/>
    <n v="1925.29872"/>
    <n v="988.28"/>
    <n v="937.01872000000003"/>
    <n v="0.48668744764968214"/>
    <n v="202306"/>
    <n v="202301"/>
    <s v="Jun-2023"/>
    <x v="22"/>
  </r>
  <r>
    <x v="445"/>
    <d v="2023-12-24T00:00:00"/>
    <x v="4"/>
    <x v="1"/>
    <d v="2024-01-13T00:00:00"/>
    <n v="20"/>
    <x v="1"/>
    <x v="2"/>
    <s v="Nagoya"/>
    <s v="Asia &gt; Japan &gt; Nagoya"/>
    <s v="Education"/>
    <x v="4"/>
    <x v="5"/>
    <x v="4"/>
    <x v="445"/>
    <n v="625.37"/>
    <n v="1319.04"/>
    <s v="Medium"/>
    <n v="7.3999999999999996E-2"/>
    <n v="8"/>
    <n v="9771.4483199999995"/>
    <n v="5002.96"/>
    <n v="4768.4883199999995"/>
    <n v="0.48800220436513547"/>
    <n v="202312"/>
    <n v="202303"/>
    <s v="Dec-2023"/>
    <x v="4"/>
  </r>
  <r>
    <x v="446"/>
    <d v="2025-03-30T00:00:00"/>
    <x v="3"/>
    <x v="0"/>
    <d v="2025-04-29T00:00:00"/>
    <n v="30"/>
    <x v="0"/>
    <x v="11"/>
    <s v="Durban"/>
    <s v="Africa &gt; South Africa &gt; Durban"/>
    <s v="Consumer"/>
    <x v="2"/>
    <x v="1"/>
    <x v="5"/>
    <x v="446"/>
    <n v="194.6"/>
    <n v="314.87"/>
    <s v="Low"/>
    <n v="0.29299999999999998"/>
    <n v="25"/>
    <n v="5565.3272500000003"/>
    <n v="4865"/>
    <n v="700.32725000000028"/>
    <n v="0.1258375686712763"/>
    <n v="202503"/>
    <n v="202301"/>
    <s v="Mar-2023"/>
    <x v="3"/>
  </r>
  <r>
    <x v="447"/>
    <d v="2024-06-03T00:00:00"/>
    <x v="17"/>
    <x v="2"/>
    <d v="2024-06-24T00:00:00"/>
    <n v="21"/>
    <x v="2"/>
    <x v="3"/>
    <s v="Toronto"/>
    <s v="Americas &gt; Canada &gt; Toronto"/>
    <s v="Small Business"/>
    <x v="4"/>
    <x v="3"/>
    <x v="5"/>
    <x v="447"/>
    <n v="1205.5"/>
    <n v="2210.17"/>
    <s v="High"/>
    <n v="0.104"/>
    <n v="23"/>
    <n v="45547.183360000003"/>
    <n v="27726.5"/>
    <n v="17820.683360000003"/>
    <n v="0.39125763758314652"/>
    <n v="202406"/>
    <n v="202301"/>
    <s v="Jun-2023"/>
    <x v="17"/>
  </r>
  <r>
    <x v="448"/>
    <d v="2024-06-11T00:00:00"/>
    <x v="17"/>
    <x v="2"/>
    <d v="2024-07-09T00:00:00"/>
    <n v="28"/>
    <x v="0"/>
    <x v="1"/>
    <s v="Port Harcourt"/>
    <s v="Africa &gt; Nigeria &gt; Port Harcourt"/>
    <s v="Corporate"/>
    <x v="2"/>
    <x v="2"/>
    <x v="3"/>
    <x v="448"/>
    <n v="895.54"/>
    <n v="1045"/>
    <s v="Medium"/>
    <n v="0.216"/>
    <n v="15"/>
    <n v="12289.2"/>
    <n v="13433.099999999999"/>
    <n v="-1143.8999999999978"/>
    <n v="-9.3081730299775234E-2"/>
    <n v="202406"/>
    <n v="202301"/>
    <s v="Jun-2023"/>
    <x v="17"/>
  </r>
  <r>
    <x v="449"/>
    <d v="2023-07-22T00:00:00"/>
    <x v="24"/>
    <x v="3"/>
    <d v="2023-07-23T00:00:00"/>
    <n v="1"/>
    <x v="1"/>
    <x v="4"/>
    <s v="Delhi"/>
    <s v="Asia &gt; India &gt; Delhi"/>
    <s v="Small Business"/>
    <x v="3"/>
    <x v="6"/>
    <x v="1"/>
    <x v="449"/>
    <n v="946.99"/>
    <n v="2132.19"/>
    <s v="Medium"/>
    <n v="0.16500000000000001"/>
    <n v="7"/>
    <n v="12462.65055"/>
    <n v="6628.93"/>
    <n v="5833.72055"/>
    <n v="0.46809629513362228"/>
    <n v="202307"/>
    <n v="202301"/>
    <s v="Jul-2023"/>
    <x v="23"/>
  </r>
  <r>
    <x v="450"/>
    <d v="2023-01-19T00:00:00"/>
    <x v="5"/>
    <x v="0"/>
    <d v="2023-02-03T00:00:00"/>
    <n v="15"/>
    <x v="3"/>
    <x v="8"/>
    <s v="London"/>
    <s v="Europe &gt; United Kingdom &gt; London"/>
    <s v="Enterprise"/>
    <x v="3"/>
    <x v="3"/>
    <x v="6"/>
    <x v="450"/>
    <n v="873.06"/>
    <n v="2101.5500000000002"/>
    <s v="Medium"/>
    <n v="6.6000000000000003E-2"/>
    <n v="10"/>
    <n v="19628.476999999999"/>
    <n v="8730.5999999999985"/>
    <n v="10897.877"/>
    <n v="0.55520746719167269"/>
    <n v="202301"/>
    <n v="202301"/>
    <s v="Jan-2023"/>
    <x v="5"/>
  </r>
  <r>
    <x v="451"/>
    <d v="2024-05-01T00:00:00"/>
    <x v="7"/>
    <x v="2"/>
    <d v="2024-05-16T00:00:00"/>
    <n v="15"/>
    <x v="1"/>
    <x v="4"/>
    <s v="Bengaluru"/>
    <s v="Asia &gt; India &gt; Bengaluru"/>
    <s v="Small Business"/>
    <x v="0"/>
    <x v="4"/>
    <x v="0"/>
    <x v="451"/>
    <n v="901.19"/>
    <n v="2125.44"/>
    <s v="Medium"/>
    <n v="7.0999999999999994E-2"/>
    <n v="12"/>
    <n v="23694.405119999999"/>
    <n v="10814.28"/>
    <n v="12880.125119999999"/>
    <n v="0.54359352154100415"/>
    <n v="202405"/>
    <n v="202301"/>
    <s v="May-2023"/>
    <x v="7"/>
  </r>
  <r>
    <x v="452"/>
    <d v="2025-06-09T00:00:00"/>
    <x v="16"/>
    <x v="2"/>
    <d v="2025-06-24T00:00:00"/>
    <n v="15"/>
    <x v="1"/>
    <x v="2"/>
    <s v="Nagoya"/>
    <s v="Asia &gt; Japan &gt; Nagoya"/>
    <s v="Corporate"/>
    <x v="4"/>
    <x v="5"/>
    <x v="3"/>
    <x v="452"/>
    <n v="400.39"/>
    <n v="712.75"/>
    <s v="Low"/>
    <n v="0.115"/>
    <n v="19"/>
    <n v="11984.891250000001"/>
    <n v="7607.41"/>
    <n v="4377.4812500000007"/>
    <n v="0.36524997671547504"/>
    <n v="202506"/>
    <n v="202303"/>
    <s v="Jun-2023"/>
    <x v="18"/>
  </r>
  <r>
    <x v="453"/>
    <d v="2023-05-24T00:00:00"/>
    <x v="15"/>
    <x v="2"/>
    <d v="2023-06-21T00:00:00"/>
    <n v="28"/>
    <x v="2"/>
    <x v="10"/>
    <s v="Austin"/>
    <s v="Americas &gt; USA &gt; Austin"/>
    <s v="Small Business"/>
    <x v="2"/>
    <x v="3"/>
    <x v="5"/>
    <x v="453"/>
    <n v="813.97"/>
    <n v="1568.83"/>
    <s v="Medium"/>
    <n v="1.7000000000000001E-2"/>
    <n v="15"/>
    <n v="23132.398349999996"/>
    <n v="12209.550000000001"/>
    <n v="10922.848349999995"/>
    <n v="0.4721883215364911"/>
    <n v="202305"/>
    <n v="202301"/>
    <s v="May-2023"/>
    <x v="15"/>
  </r>
  <r>
    <x v="454"/>
    <d v="2024-12-27T00:00:00"/>
    <x v="6"/>
    <x v="1"/>
    <d v="2024-12-29T00:00:00"/>
    <n v="2"/>
    <x v="2"/>
    <x v="3"/>
    <s v="Vancouver"/>
    <s v="Americas &gt; Canada &gt; Vancouver"/>
    <s v="Enterprise"/>
    <x v="2"/>
    <x v="0"/>
    <x v="6"/>
    <x v="454"/>
    <n v="1146.72"/>
    <n v="2074.34"/>
    <s v="High"/>
    <n v="0.111"/>
    <n v="8"/>
    <n v="14752.706080000002"/>
    <n v="9173.76"/>
    <n v="5578.9460800000015"/>
    <n v="0.37816425337472737"/>
    <n v="202412"/>
    <n v="202301"/>
    <s v="Dec-2023"/>
    <x v="6"/>
  </r>
  <r>
    <x v="455"/>
    <d v="2023-12-05T00:00:00"/>
    <x v="4"/>
    <x v="1"/>
    <d v="2023-12-12T00:00:00"/>
    <n v="7"/>
    <x v="2"/>
    <x v="5"/>
    <s v="Brasília"/>
    <s v="Americas &gt; Brazil &gt; Brasília"/>
    <s v="Corporate"/>
    <x v="4"/>
    <x v="9"/>
    <x v="3"/>
    <x v="455"/>
    <n v="307.43"/>
    <n v="495.19"/>
    <s v="Low"/>
    <n v="0"/>
    <n v="42"/>
    <n v="20797.98"/>
    <n v="12912.06"/>
    <n v="7885.92"/>
    <n v="0.37916759223732305"/>
    <n v="202312"/>
    <n v="202301"/>
    <s v="Dec-2023"/>
    <x v="27"/>
  </r>
  <r>
    <x v="456"/>
    <d v="2023-05-02T00:00:00"/>
    <x v="15"/>
    <x v="2"/>
    <d v="2023-05-19T00:00:00"/>
    <n v="17"/>
    <x v="1"/>
    <x v="9"/>
    <s v="Shanghai"/>
    <s v="Asia &gt; China &gt; Shanghai"/>
    <s v="Non-Profit"/>
    <x v="4"/>
    <x v="1"/>
    <x v="5"/>
    <x v="456"/>
    <n v="714.28"/>
    <n v="757.59"/>
    <s v="Medium"/>
    <n v="0.13600000000000001"/>
    <n v="12"/>
    <n v="7854.6931199999999"/>
    <n v="8571.36"/>
    <n v="-716.66688000000067"/>
    <n v="-9.1240595787910383E-2"/>
    <n v="202305"/>
    <n v="202301"/>
    <s v="May-2023"/>
    <x v="15"/>
  </r>
  <r>
    <x v="457"/>
    <d v="2023-11-30T00:00:00"/>
    <x v="30"/>
    <x v="1"/>
    <d v="2023-12-10T00:00:00"/>
    <n v="10"/>
    <x v="3"/>
    <x v="6"/>
    <s v="Munich"/>
    <s v="Europe &gt; Germany &gt; Munich"/>
    <s v="Small Business"/>
    <x v="4"/>
    <x v="9"/>
    <x v="4"/>
    <x v="457"/>
    <n v="174.74"/>
    <n v="415.96"/>
    <s v="Low"/>
    <n v="0.125"/>
    <n v="21"/>
    <n v="7643.2649999999994"/>
    <n v="3669.54"/>
    <n v="3973.7249999999995"/>
    <n v="0.51989889137691803"/>
    <n v="202311"/>
    <n v="202301"/>
    <s v="Nov-2023"/>
    <x v="31"/>
  </r>
  <r>
    <x v="458"/>
    <d v="2024-05-05T00:00:00"/>
    <x v="7"/>
    <x v="2"/>
    <d v="2024-05-18T00:00:00"/>
    <n v="13"/>
    <x v="3"/>
    <x v="7"/>
    <s v="Marseille"/>
    <s v="Europe &gt; France &gt; Marseille"/>
    <s v="Corporate"/>
    <x v="2"/>
    <x v="8"/>
    <x v="0"/>
    <x v="458"/>
    <n v="1264.04"/>
    <n v="1870.89"/>
    <s v="High"/>
    <n v="0"/>
    <n v="13"/>
    <n v="24321.57"/>
    <n v="16432.52"/>
    <n v="7889.0499999999993"/>
    <n v="0.32436433996653996"/>
    <n v="202405"/>
    <n v="202301"/>
    <s v="May-2023"/>
    <x v="7"/>
  </r>
  <r>
    <x v="459"/>
    <d v="2023-07-09T00:00:00"/>
    <x v="24"/>
    <x v="3"/>
    <d v="2023-07-19T00:00:00"/>
    <n v="10"/>
    <x v="1"/>
    <x v="2"/>
    <s v="Tokyo"/>
    <s v="Asia &gt; Japan &gt; Tokyo"/>
    <s v="Enterprise"/>
    <x v="3"/>
    <x v="13"/>
    <x v="0"/>
    <x v="459"/>
    <n v="141.26"/>
    <n v="206.88"/>
    <s v="Low"/>
    <n v="0.107"/>
    <n v="9"/>
    <n v="1662.6945600000001"/>
    <n v="1271.3399999999999"/>
    <n v="391.35456000000022"/>
    <n v="0.23537369365062469"/>
    <n v="202307"/>
    <n v="202303"/>
    <s v="Jul-2023"/>
    <x v="15"/>
  </r>
  <r>
    <x v="460"/>
    <d v="2023-05-17T00:00:00"/>
    <x v="15"/>
    <x v="2"/>
    <d v="2023-06-15T00:00:00"/>
    <n v="29"/>
    <x v="0"/>
    <x v="11"/>
    <s v="Durban"/>
    <s v="Africa &gt; South Africa &gt; Durban"/>
    <s v="Enterprise"/>
    <x v="0"/>
    <x v="11"/>
    <x v="6"/>
    <x v="460"/>
    <n v="40.89"/>
    <n v="62.82"/>
    <s v="Low"/>
    <n v="0.129"/>
    <n v="17"/>
    <n v="930.17574000000002"/>
    <n v="695.13"/>
    <n v="235.04574000000002"/>
    <n v="0.25268960465470752"/>
    <n v="202305"/>
    <n v="202301"/>
    <s v="May-2023"/>
    <x v="15"/>
  </r>
  <r>
    <x v="461"/>
    <d v="2024-03-07T00:00:00"/>
    <x v="0"/>
    <x v="0"/>
    <d v="2024-04-03T00:00:00"/>
    <n v="27"/>
    <x v="3"/>
    <x v="6"/>
    <s v="Frankfurt"/>
    <s v="Europe &gt; Germany &gt; Frankfurt"/>
    <s v="Corporate"/>
    <x v="4"/>
    <x v="12"/>
    <x v="1"/>
    <x v="461"/>
    <n v="738.16"/>
    <n v="956.49"/>
    <s v="Medium"/>
    <n v="0.152"/>
    <n v="5"/>
    <n v="4055.5175999999997"/>
    <n v="3690.7999999999997"/>
    <n v="364.71759999999995"/>
    <n v="8.9931208780847108E-2"/>
    <n v="202403"/>
    <n v="202301"/>
    <s v="Mar-2023"/>
    <x v="0"/>
  </r>
  <r>
    <x v="462"/>
    <d v="2025-04-10T00:00:00"/>
    <x v="19"/>
    <x v="2"/>
    <d v="2025-04-19T00:00:00"/>
    <n v="9"/>
    <x v="0"/>
    <x v="11"/>
    <s v="Durban"/>
    <s v="Africa &gt; South Africa &gt; Durban"/>
    <s v="Enterprise"/>
    <x v="5"/>
    <x v="3"/>
    <x v="2"/>
    <x v="462"/>
    <n v="113.74"/>
    <n v="165.7"/>
    <s v="Low"/>
    <n v="0.124"/>
    <n v="13"/>
    <n v="1886.9915999999998"/>
    <n v="1478.62"/>
    <n v="408.37159999999994"/>
    <n v="0.21641410592394794"/>
    <n v="202504"/>
    <n v="202301"/>
    <s v="Apr-2023"/>
    <x v="18"/>
  </r>
  <r>
    <x v="463"/>
    <d v="2025-07-27T00:00:00"/>
    <x v="13"/>
    <x v="3"/>
    <d v="2025-08-15T00:00:00"/>
    <n v="19"/>
    <x v="1"/>
    <x v="2"/>
    <s v="Tokyo"/>
    <s v="Asia &gt; Japan &gt; Tokyo"/>
    <s v="Small Business"/>
    <x v="2"/>
    <x v="1"/>
    <x v="0"/>
    <x v="463"/>
    <n v="275.43"/>
    <n v="608.36"/>
    <s v="Low"/>
    <n v="0.25700000000000001"/>
    <n v="4"/>
    <n v="1808.04592"/>
    <n v="1101.72"/>
    <n v="706.32592"/>
    <n v="0.39065706915231446"/>
    <n v="202507"/>
    <n v="202303"/>
    <s v="Jul-2023"/>
    <x v="8"/>
  </r>
  <r>
    <x v="464"/>
    <d v="2024-11-22T00:00:00"/>
    <x v="18"/>
    <x v="1"/>
    <d v="2024-12-15T00:00:00"/>
    <n v="23"/>
    <x v="0"/>
    <x v="0"/>
    <s v="Mombasa"/>
    <s v="Africa &gt; Kenya &gt; Mombasa"/>
    <s v="Non-Profit"/>
    <x v="3"/>
    <x v="0"/>
    <x v="0"/>
    <x v="464"/>
    <n v="1335.76"/>
    <n v="2665.91"/>
    <s v="High"/>
    <n v="0.21099999999999999"/>
    <n v="40"/>
    <n v="84136.119600000005"/>
    <n v="53430.400000000001"/>
    <n v="30705.719600000004"/>
    <n v="0.36495288522909253"/>
    <n v="202411"/>
    <n v="202301"/>
    <s v="Nov-2023"/>
    <x v="10"/>
  </r>
  <r>
    <x v="465"/>
    <d v="2024-06-23T00:00:00"/>
    <x v="17"/>
    <x v="2"/>
    <d v="2024-06-28T00:00:00"/>
    <n v="5"/>
    <x v="0"/>
    <x v="1"/>
    <s v="Port Harcourt"/>
    <s v="Africa &gt; Nigeria &gt; Port Harcourt"/>
    <s v="Non-Profit"/>
    <x v="4"/>
    <x v="12"/>
    <x v="6"/>
    <x v="465"/>
    <n v="242.31"/>
    <n v="587.95000000000005"/>
    <s v="Low"/>
    <n v="0.22900000000000001"/>
    <n v="6"/>
    <n v="2719.8567000000003"/>
    <n v="1453.8600000000001"/>
    <n v="1265.9967000000001"/>
    <n v="0.46546448568411714"/>
    <n v="202406"/>
    <n v="202301"/>
    <s v="Jun-2023"/>
    <x v="17"/>
  </r>
  <r>
    <x v="466"/>
    <d v="2023-12-18T00:00:00"/>
    <x v="4"/>
    <x v="1"/>
    <d v="2024-01-14T00:00:00"/>
    <n v="27"/>
    <x v="1"/>
    <x v="4"/>
    <s v="Mumbai"/>
    <s v="Asia &gt; India &gt; Mumbai"/>
    <s v="Consumer"/>
    <x v="3"/>
    <x v="14"/>
    <x v="2"/>
    <x v="466"/>
    <n v="1408.3"/>
    <n v="2193.13"/>
    <s v="High"/>
    <n v="7.0999999999999994E-2"/>
    <n v="7"/>
    <n v="14261.92439"/>
    <n v="9858.1"/>
    <n v="4403.8243899999998"/>
    <n v="0.30878191957656281"/>
    <n v="202312"/>
    <n v="202301"/>
    <s v="Dec-2023"/>
    <x v="27"/>
  </r>
  <r>
    <x v="467"/>
    <d v="2025-06-01T00:00:00"/>
    <x v="16"/>
    <x v="2"/>
    <d v="2025-06-05T00:00:00"/>
    <n v="4"/>
    <x v="3"/>
    <x v="6"/>
    <s v="Munich"/>
    <s v="Europe &gt; Germany &gt; Munich"/>
    <s v="Enterprise"/>
    <x v="4"/>
    <x v="12"/>
    <x v="0"/>
    <x v="467"/>
    <n v="1171.42"/>
    <n v="2187.8000000000002"/>
    <s v="High"/>
    <n v="0.23"/>
    <n v="15"/>
    <n v="25269.09"/>
    <n v="17571.300000000003"/>
    <n v="7697.7899999999972"/>
    <n v="0.30463265594447592"/>
    <n v="202506"/>
    <n v="202301"/>
    <s v="Jun-2023"/>
    <x v="16"/>
  </r>
  <r>
    <x v="468"/>
    <d v="2025-03-23T00:00:00"/>
    <x v="3"/>
    <x v="0"/>
    <d v="2025-04-02T00:00:00"/>
    <n v="10"/>
    <x v="3"/>
    <x v="6"/>
    <s v="Berlin"/>
    <s v="Europe &gt; Germany &gt; Berlin"/>
    <s v="Enterprise"/>
    <x v="1"/>
    <x v="6"/>
    <x v="1"/>
    <x v="468"/>
    <n v="663.61"/>
    <n v="1002.11"/>
    <s v="Medium"/>
    <n v="4.5999999999999999E-2"/>
    <n v="17"/>
    <n v="16252.219979999998"/>
    <n v="11281.37"/>
    <n v="4970.8499799999972"/>
    <n v="0.30585667595670812"/>
    <n v="202503"/>
    <n v="202301"/>
    <s v="Mar-2023"/>
    <x v="3"/>
  </r>
  <r>
    <x v="469"/>
    <d v="2023-05-14T00:00:00"/>
    <x v="15"/>
    <x v="2"/>
    <d v="2023-05-22T00:00:00"/>
    <n v="8"/>
    <x v="0"/>
    <x v="0"/>
    <s v="Mombasa"/>
    <s v="Africa &gt; Kenya &gt; Mombasa"/>
    <s v="Small Business"/>
    <x v="3"/>
    <x v="9"/>
    <x v="1"/>
    <x v="469"/>
    <n v="432.01"/>
    <n v="913.78"/>
    <s v="Low"/>
    <n v="4.9000000000000002E-2"/>
    <n v="12"/>
    <n v="10428.057360000001"/>
    <n v="5184.12"/>
    <n v="5243.9373600000008"/>
    <n v="0.50286809699711899"/>
    <n v="202305"/>
    <n v="202301"/>
    <s v="May-2023"/>
    <x v="15"/>
  </r>
  <r>
    <x v="470"/>
    <d v="2023-08-29T00:00:00"/>
    <x v="25"/>
    <x v="3"/>
    <d v="2023-09-19T00:00:00"/>
    <n v="21"/>
    <x v="3"/>
    <x v="7"/>
    <s v="Lyon"/>
    <s v="Europe &gt; France &gt; Lyon"/>
    <s v="Small Business"/>
    <x v="4"/>
    <x v="5"/>
    <x v="1"/>
    <x v="470"/>
    <n v="784.46"/>
    <n v="1843.51"/>
    <s v="Medium"/>
    <n v="0.13800000000000001"/>
    <n v="23"/>
    <n v="36549.429260000004"/>
    <n v="18042.580000000002"/>
    <n v="18506.849260000003"/>
    <n v="0.50635125184441798"/>
    <n v="202308"/>
    <n v="202301"/>
    <s v="Aug-2023"/>
    <x v="25"/>
  </r>
  <r>
    <x v="471"/>
    <d v="2025-07-03T00:00:00"/>
    <x v="13"/>
    <x v="3"/>
    <d v="2025-07-23T00:00:00"/>
    <n v="20"/>
    <x v="1"/>
    <x v="9"/>
    <s v="Beijing"/>
    <s v="Asia &gt; China &gt; Beijing"/>
    <s v="Small Business"/>
    <x v="1"/>
    <x v="12"/>
    <x v="0"/>
    <x v="471"/>
    <n v="647.36"/>
    <n v="1383.6"/>
    <s v="Medium"/>
    <n v="7.3999999999999996E-2"/>
    <n v="12"/>
    <n v="15374.563199999999"/>
    <n v="7768.32"/>
    <n v="7606.243199999999"/>
    <n v="0.49472906000997802"/>
    <n v="202507"/>
    <n v="202301"/>
    <s v="Jul-2023"/>
    <x v="13"/>
  </r>
  <r>
    <x v="472"/>
    <d v="2024-02-06T00:00:00"/>
    <x v="31"/>
    <x v="0"/>
    <d v="2024-02-28T00:00:00"/>
    <n v="22"/>
    <x v="0"/>
    <x v="0"/>
    <s v="Kisumu"/>
    <s v="Africa &gt; Kenya &gt; Kisumu"/>
    <s v="Non-Profit"/>
    <x v="1"/>
    <x v="11"/>
    <x v="5"/>
    <x v="472"/>
    <n v="834.93"/>
    <n v="1588.53"/>
    <s v="Medium"/>
    <n v="0.126"/>
    <n v="6"/>
    <n v="8330.2513199999994"/>
    <n v="5009.58"/>
    <n v="3320.6713199999995"/>
    <n v="0.39862798761274343"/>
    <n v="202402"/>
    <n v="202301"/>
    <s v="Feb-2023"/>
    <x v="32"/>
  </r>
  <r>
    <x v="473"/>
    <d v="2025-08-13T00:00:00"/>
    <x v="28"/>
    <x v="3"/>
    <d v="2025-09-03T00:00:00"/>
    <n v="21"/>
    <x v="3"/>
    <x v="7"/>
    <s v="Paris"/>
    <s v="Europe &gt; France &gt; Paris"/>
    <s v="Education"/>
    <x v="0"/>
    <x v="2"/>
    <x v="3"/>
    <x v="473"/>
    <n v="603.47"/>
    <n v="1344.05"/>
    <s v="Medium"/>
    <n v="0.20499999999999999"/>
    <n v="18"/>
    <n v="19233.355499999998"/>
    <n v="10862.460000000001"/>
    <n v="8370.8954999999969"/>
    <n v="0.43522803392262976"/>
    <n v="202508"/>
    <n v="202301"/>
    <s v="Aug-2023"/>
    <x v="29"/>
  </r>
  <r>
    <x v="474"/>
    <d v="2023-05-23T00:00:00"/>
    <x v="15"/>
    <x v="2"/>
    <d v="2023-05-25T00:00:00"/>
    <n v="2"/>
    <x v="2"/>
    <x v="5"/>
    <s v="Rio de Janeiro"/>
    <s v="Americas &gt; Brazil &gt; Rio de Janeiro"/>
    <s v="Enterprise"/>
    <x v="0"/>
    <x v="12"/>
    <x v="1"/>
    <x v="474"/>
    <n v="690.49"/>
    <n v="1290.29"/>
    <s v="Medium"/>
    <n v="4.2000000000000003E-2"/>
    <n v="22"/>
    <n v="27194.152039999997"/>
    <n v="15190.78"/>
    <n v="12003.372039999997"/>
    <n v="0.44139534199647718"/>
    <n v="202305"/>
    <n v="202301"/>
    <s v="May-2023"/>
    <x v="15"/>
  </r>
  <r>
    <x v="475"/>
    <d v="2024-05-10T00:00:00"/>
    <x v="7"/>
    <x v="2"/>
    <d v="2024-05-16T00:00:00"/>
    <n v="6"/>
    <x v="3"/>
    <x v="8"/>
    <s v="Birmingham"/>
    <s v="Europe &gt; United Kingdom &gt; Birmingham"/>
    <s v="Non-Profit"/>
    <x v="4"/>
    <x v="3"/>
    <x v="4"/>
    <x v="475"/>
    <n v="210.76"/>
    <n v="221.58"/>
    <s v="Low"/>
    <n v="8.8999999999999996E-2"/>
    <n v="5"/>
    <n v="1009.2969000000002"/>
    <n v="1053.8"/>
    <n v="-44.50309999999979"/>
    <n v="-4.4093170205912434E-2"/>
    <n v="202405"/>
    <n v="202301"/>
    <s v="May-2023"/>
    <x v="7"/>
  </r>
  <r>
    <x v="476"/>
    <d v="2023-03-14T00:00:00"/>
    <x v="22"/>
    <x v="0"/>
    <d v="2023-03-18T00:00:00"/>
    <n v="4"/>
    <x v="3"/>
    <x v="6"/>
    <s v="Frankfurt"/>
    <s v="Europe &gt; Germany &gt; Frankfurt"/>
    <s v="Enterprise"/>
    <x v="4"/>
    <x v="8"/>
    <x v="0"/>
    <x v="476"/>
    <n v="472.33"/>
    <n v="360.34"/>
    <s v="Low"/>
    <n v="0.16500000000000001"/>
    <n v="14"/>
    <n v="4212.3745999999992"/>
    <n v="6612.62"/>
    <n v="-2400.2454000000007"/>
    <n v="-0.56980815523861561"/>
    <n v="202303"/>
    <n v="202301"/>
    <s v="Mar-2023"/>
    <x v="21"/>
  </r>
  <r>
    <x v="477"/>
    <d v="2023-07-16T00:00:00"/>
    <x v="24"/>
    <x v="3"/>
    <d v="2023-08-13T00:00:00"/>
    <n v="28"/>
    <x v="3"/>
    <x v="8"/>
    <s v="Manchester"/>
    <s v="Europe &gt; United Kingdom &gt; Manchester"/>
    <s v="Non-Profit"/>
    <x v="1"/>
    <x v="1"/>
    <x v="4"/>
    <x v="477"/>
    <n v="1039.03"/>
    <n v="2545.81"/>
    <s v="High"/>
    <n v="0.216"/>
    <n v="21"/>
    <n v="41914.215840000004"/>
    <n v="21819.63"/>
    <n v="20094.585840000003"/>
    <n v="0.47942172929364774"/>
    <n v="202307"/>
    <n v="202301"/>
    <s v="Jul-2023"/>
    <x v="23"/>
  </r>
  <r>
    <x v="478"/>
    <d v="2023-04-16T00:00:00"/>
    <x v="12"/>
    <x v="2"/>
    <d v="2023-04-19T00:00:00"/>
    <n v="3"/>
    <x v="3"/>
    <x v="6"/>
    <s v="Munich"/>
    <s v="Europe &gt; Germany &gt; Munich"/>
    <s v="Corporate"/>
    <x v="4"/>
    <x v="5"/>
    <x v="6"/>
    <x v="478"/>
    <n v="553.61"/>
    <n v="699.47"/>
    <s v="Medium"/>
    <n v="0.02"/>
    <n v="33"/>
    <n v="22620.859800000002"/>
    <n v="18269.13"/>
    <n v="4351.729800000001"/>
    <n v="0.19237685209472014"/>
    <n v="202304"/>
    <n v="202301"/>
    <s v="Apr-2023"/>
    <x v="12"/>
  </r>
  <r>
    <x v="479"/>
    <d v="2024-01-02T00:00:00"/>
    <x v="9"/>
    <x v="0"/>
    <d v="2024-01-15T00:00:00"/>
    <n v="13"/>
    <x v="1"/>
    <x v="2"/>
    <s v="Nagoya"/>
    <s v="Asia &gt; Japan &gt; Nagoya"/>
    <s v="Small Business"/>
    <x v="2"/>
    <x v="3"/>
    <x v="2"/>
    <x v="479"/>
    <n v="1219.06"/>
    <n v="2738.69"/>
    <s v="High"/>
    <n v="7.5999999999999998E-2"/>
    <n v="16"/>
    <n v="40488.792960000006"/>
    <n v="19504.96"/>
    <n v="20983.832960000007"/>
    <n v="0.51826274447673737"/>
    <n v="202401"/>
    <n v="202303"/>
    <s v="Jan-2023"/>
    <x v="31"/>
  </r>
  <r>
    <x v="480"/>
    <d v="2024-09-03T00:00:00"/>
    <x v="29"/>
    <x v="3"/>
    <d v="2024-09-07T00:00:00"/>
    <n v="4"/>
    <x v="1"/>
    <x v="2"/>
    <s v="Tokyo"/>
    <s v="Asia &gt; Japan &gt; Tokyo"/>
    <s v="Small Business"/>
    <x v="3"/>
    <x v="13"/>
    <x v="1"/>
    <x v="480"/>
    <n v="43.23"/>
    <n v="94.78"/>
    <s v="Low"/>
    <n v="9.0999999999999998E-2"/>
    <n v="55"/>
    <n v="4738.5261"/>
    <n v="2377.6499999999996"/>
    <n v="2360.8761000000004"/>
    <n v="0.49823005090127082"/>
    <n v="202409"/>
    <n v="202303"/>
    <s v="Sept-2023"/>
    <x v="14"/>
  </r>
  <r>
    <x v="481"/>
    <d v="2025-08-30T00:00:00"/>
    <x v="28"/>
    <x v="3"/>
    <d v="2025-09-03T00:00:00"/>
    <n v="4"/>
    <x v="3"/>
    <x v="7"/>
    <s v="Marseille"/>
    <s v="Europe &gt; France &gt; Marseille"/>
    <s v="Small Business"/>
    <x v="2"/>
    <x v="1"/>
    <x v="4"/>
    <x v="481"/>
    <n v="1286.56"/>
    <n v="2777.35"/>
    <s v="High"/>
    <n v="0.13200000000000001"/>
    <n v="15"/>
    <n v="36161.097000000002"/>
    <n v="19298.399999999998"/>
    <n v="16862.697000000004"/>
    <n v="0.46632150014696744"/>
    <n v="202508"/>
    <n v="202301"/>
    <s v="Aug-2023"/>
    <x v="29"/>
  </r>
  <r>
    <x v="482"/>
    <d v="2025-04-28T00:00:00"/>
    <x v="19"/>
    <x v="2"/>
    <d v="2025-05-19T00:00:00"/>
    <n v="21"/>
    <x v="3"/>
    <x v="6"/>
    <s v="Berlin"/>
    <s v="Europe &gt; Germany &gt; Berlin"/>
    <s v="Corporate"/>
    <x v="3"/>
    <x v="5"/>
    <x v="3"/>
    <x v="482"/>
    <n v="350.76"/>
    <n v="492.18"/>
    <s v="Low"/>
    <n v="5.2999999999999999E-2"/>
    <n v="11"/>
    <n v="5127.0390600000001"/>
    <n v="3858.3599999999997"/>
    <n v="1268.6790600000004"/>
    <n v="0.24744868239798437"/>
    <n v="202504"/>
    <n v="202301"/>
    <s v="Apr-2023"/>
    <x v="18"/>
  </r>
  <r>
    <x v="483"/>
    <d v="2023-08-10T00:00:00"/>
    <x v="25"/>
    <x v="3"/>
    <d v="2023-08-15T00:00:00"/>
    <n v="5"/>
    <x v="2"/>
    <x v="5"/>
    <s v="São Paulo"/>
    <s v="Americas &gt; Brazil &gt; São Paulo"/>
    <s v="Education"/>
    <x v="4"/>
    <x v="3"/>
    <x v="2"/>
    <x v="483"/>
    <n v="1307.52"/>
    <n v="1921.65"/>
    <s v="High"/>
    <n v="0.123"/>
    <n v="13"/>
    <n v="21908.731650000002"/>
    <n v="16997.759999999998"/>
    <n v="4910.9716500000031"/>
    <n v="0.22415590863289445"/>
    <n v="202308"/>
    <n v="202301"/>
    <s v="Aug-2023"/>
    <x v="25"/>
  </r>
  <r>
    <x v="484"/>
    <d v="2024-12-08T00:00:00"/>
    <x v="6"/>
    <x v="1"/>
    <d v="2024-12-08T00:00:00"/>
    <n v="0"/>
    <x v="3"/>
    <x v="7"/>
    <s v="Lyon"/>
    <s v="Europe &gt; France &gt; Lyon"/>
    <s v="Enterprise"/>
    <x v="0"/>
    <x v="10"/>
    <x v="0"/>
    <x v="484"/>
    <n v="257.44"/>
    <n v="290.33"/>
    <s v="Low"/>
    <n v="9.1999999999999998E-2"/>
    <n v="23"/>
    <n v="6063.2517199999993"/>
    <n v="5921.12"/>
    <n v="142.1317199999994"/>
    <n v="2.3441500792581216E-2"/>
    <n v="202412"/>
    <n v="202301"/>
    <s v="Dec-2023"/>
    <x v="6"/>
  </r>
  <r>
    <x v="485"/>
    <d v="2023-10-25T00:00:00"/>
    <x v="32"/>
    <x v="1"/>
    <d v="2023-11-24T00:00:00"/>
    <n v="30"/>
    <x v="3"/>
    <x v="7"/>
    <s v="Paris"/>
    <s v="Europe &gt; France &gt; Paris"/>
    <s v="Enterprise"/>
    <x v="3"/>
    <x v="0"/>
    <x v="3"/>
    <x v="485"/>
    <n v="287.85000000000002"/>
    <n v="602.91999999999996"/>
    <s v="Low"/>
    <n v="0.222"/>
    <n v="11"/>
    <n v="5159.7893599999998"/>
    <n v="3166.3500000000004"/>
    <n v="1993.4393599999994"/>
    <n v="0.38634122847216373"/>
    <n v="202310"/>
    <n v="202301"/>
    <s v="Oct-2023"/>
    <x v="4"/>
  </r>
  <r>
    <x v="486"/>
    <d v="2024-11-17T00:00:00"/>
    <x v="18"/>
    <x v="1"/>
    <d v="2024-11-28T00:00:00"/>
    <n v="11"/>
    <x v="2"/>
    <x v="3"/>
    <s v="Not Provided"/>
    <s v="Americas &gt; Canada &gt; Not Provided"/>
    <s v="Consumer"/>
    <x v="3"/>
    <x v="8"/>
    <x v="1"/>
    <x v="486"/>
    <n v="1008.16"/>
    <n v="2077.5"/>
    <s v="High"/>
    <n v="7.3999999999999996E-2"/>
    <n v="15"/>
    <n v="28856.475000000002"/>
    <n v="15122.4"/>
    <n v="13734.075000000003"/>
    <n v="0.47594430712691005"/>
    <n v="202411"/>
    <n v="202301"/>
    <s v="Nov-2023"/>
    <x v="10"/>
  </r>
  <r>
    <x v="487"/>
    <d v="2024-05-12T00:00:00"/>
    <x v="7"/>
    <x v="2"/>
    <d v="2024-05-24T00:00:00"/>
    <n v="12"/>
    <x v="3"/>
    <x v="8"/>
    <s v="Manchester"/>
    <s v="Europe &gt; United Kingdom &gt; Manchester"/>
    <s v="Education"/>
    <x v="2"/>
    <x v="11"/>
    <x v="1"/>
    <x v="487"/>
    <n v="111.02"/>
    <n v="172.88"/>
    <s v="Low"/>
    <n v="0.19700000000000001"/>
    <n v="29"/>
    <n v="4025.8565599999993"/>
    <n v="3219.58"/>
    <n v="806.27655999999934"/>
    <n v="0.20027453735212053"/>
    <n v="202405"/>
    <n v="202301"/>
    <s v="May-2023"/>
    <x v="7"/>
  </r>
  <r>
    <x v="488"/>
    <d v="2025-05-15T00:00:00"/>
    <x v="8"/>
    <x v="2"/>
    <d v="2025-06-05T00:00:00"/>
    <n v="21"/>
    <x v="1"/>
    <x v="2"/>
    <s v="Osaka"/>
    <s v="Asia &gt; Japan &gt; Osaka"/>
    <s v="Enterprise"/>
    <x v="4"/>
    <x v="10"/>
    <x v="3"/>
    <x v="488"/>
    <n v="1466.5"/>
    <n v="2778.74"/>
    <s v="High"/>
    <n v="0.13500000000000001"/>
    <n v="4"/>
    <n v="9614.4403999999995"/>
    <n v="5866"/>
    <n v="3748.4403999999995"/>
    <n v="0.38987608680792279"/>
    <n v="202505"/>
    <n v="202303"/>
    <s v="May-2023"/>
    <x v="3"/>
  </r>
  <r>
    <x v="489"/>
    <d v="2024-04-21T00:00:00"/>
    <x v="20"/>
    <x v="2"/>
    <d v="2024-05-19T00:00:00"/>
    <n v="28"/>
    <x v="0"/>
    <x v="1"/>
    <s v="Lagos"/>
    <s v="Africa &gt; Nigeria &gt; Lagos"/>
    <s v="Corporate"/>
    <x v="3"/>
    <x v="8"/>
    <x v="6"/>
    <x v="489"/>
    <n v="187.22"/>
    <n v="309.47000000000003"/>
    <s v="Low"/>
    <n v="0"/>
    <n v="5"/>
    <n v="1547.3500000000001"/>
    <n v="936.1"/>
    <n v="611.25000000000011"/>
    <n v="0.39503021294471197"/>
    <n v="202404"/>
    <n v="202301"/>
    <s v="Apr-2023"/>
    <x v="19"/>
  </r>
  <r>
    <x v="490"/>
    <d v="2024-08-19T00:00:00"/>
    <x v="21"/>
    <x v="3"/>
    <d v="2024-09-07T00:00:00"/>
    <n v="19"/>
    <x v="3"/>
    <x v="7"/>
    <s v="Lyon"/>
    <s v="Europe &gt; France &gt; Lyon"/>
    <s v="Corporate"/>
    <x v="4"/>
    <x v="1"/>
    <x v="0"/>
    <x v="490"/>
    <n v="297.58999999999997"/>
    <n v="666.41"/>
    <s v="Low"/>
    <n v="0"/>
    <n v="10"/>
    <n v="6664.0999999999995"/>
    <n v="2975.8999999999996"/>
    <n v="3688.2"/>
    <n v="0.55344307558409989"/>
    <n v="202408"/>
    <n v="202301"/>
    <s v="Aug-2023"/>
    <x v="20"/>
  </r>
  <r>
    <x v="491"/>
    <d v="2025-07-23T00:00:00"/>
    <x v="13"/>
    <x v="3"/>
    <d v="2025-08-19T00:00:00"/>
    <n v="27"/>
    <x v="1"/>
    <x v="2"/>
    <s v="Nagoya"/>
    <s v="Asia &gt; Japan &gt; Nagoya"/>
    <s v="Consumer"/>
    <x v="2"/>
    <x v="5"/>
    <x v="6"/>
    <x v="491"/>
    <n v="896.09"/>
    <n v="744.27"/>
    <s v="Medium"/>
    <n v="8.3000000000000004E-2"/>
    <n v="11"/>
    <n v="7507.4514899999995"/>
    <n v="9856.99"/>
    <n v="-2349.5385100000003"/>
    <n v="-0.31296086469950679"/>
    <n v="202507"/>
    <n v="202303"/>
    <s v="Jul-2023"/>
    <x v="8"/>
  </r>
  <r>
    <x v="492"/>
    <d v="2024-03-01T00:00:00"/>
    <x v="0"/>
    <x v="0"/>
    <d v="2024-03-02T00:00:00"/>
    <n v="1"/>
    <x v="2"/>
    <x v="5"/>
    <s v="São Paulo"/>
    <s v="Americas &gt; Brazil &gt; São Paulo"/>
    <s v="Non-Profit"/>
    <x v="4"/>
    <x v="2"/>
    <x v="3"/>
    <x v="492"/>
    <n v="5.34"/>
    <n v="12.69"/>
    <s v="Low"/>
    <n v="0.13200000000000001"/>
    <n v="10"/>
    <n v="110.14919999999999"/>
    <n v="53.4"/>
    <n v="56.749199999999995"/>
    <n v="0.51520301554618642"/>
    <n v="202403"/>
    <n v="202301"/>
    <s v="Mar-2023"/>
    <x v="0"/>
  </r>
  <r>
    <x v="493"/>
    <d v="2024-05-27T00:00:00"/>
    <x v="7"/>
    <x v="2"/>
    <d v="2024-06-17T00:00:00"/>
    <n v="21"/>
    <x v="1"/>
    <x v="4"/>
    <s v="Delhi"/>
    <s v="Asia &gt; India &gt; Delhi"/>
    <s v="Small Business"/>
    <x v="1"/>
    <x v="10"/>
    <x v="6"/>
    <x v="493"/>
    <n v="465.02"/>
    <n v="651.55999999999995"/>
    <s v="Low"/>
    <n v="4.2000000000000003E-2"/>
    <n v="19"/>
    <n v="11859.695119999998"/>
    <n v="8835.3799999999992"/>
    <n v="3024.3151199999993"/>
    <n v="0.25500783025187918"/>
    <n v="202405"/>
    <n v="202301"/>
    <s v="May-2023"/>
    <x v="7"/>
  </r>
  <r>
    <x v="494"/>
    <d v="2024-08-04T00:00:00"/>
    <x v="21"/>
    <x v="3"/>
    <d v="2024-08-17T00:00:00"/>
    <n v="13"/>
    <x v="2"/>
    <x v="10"/>
    <s v="Austin"/>
    <s v="Americas &gt; USA &gt; Austin"/>
    <s v="Consumer"/>
    <x v="0"/>
    <x v="14"/>
    <x v="5"/>
    <x v="494"/>
    <n v="352.79"/>
    <n v="754.22"/>
    <s v="Low"/>
    <n v="0.113"/>
    <n v="7"/>
    <n v="4682.9519799999998"/>
    <n v="2469.5300000000002"/>
    <n v="2213.4219799999996"/>
    <n v="0.47265528014233443"/>
    <n v="202408"/>
    <n v="202301"/>
    <s v="Aug-2023"/>
    <x v="20"/>
  </r>
  <r>
    <x v="495"/>
    <d v="2023-06-20T00:00:00"/>
    <x v="23"/>
    <x v="2"/>
    <d v="2023-07-04T00:00:00"/>
    <n v="14"/>
    <x v="2"/>
    <x v="5"/>
    <s v="Brasília"/>
    <s v="Americas &gt; Brazil &gt; Brasília"/>
    <s v="Non-Profit"/>
    <x v="4"/>
    <x v="0"/>
    <x v="2"/>
    <x v="495"/>
    <n v="1292.8599999999999"/>
    <n v="2981.01"/>
    <s v="High"/>
    <n v="0.14199999999999999"/>
    <n v="12"/>
    <n v="30692.47896"/>
    <n v="15514.32"/>
    <n v="15178.158960000001"/>
    <n v="0.49452372288927687"/>
    <n v="202306"/>
    <n v="202301"/>
    <s v="Jun-2023"/>
    <x v="22"/>
  </r>
  <r>
    <x v="496"/>
    <d v="2024-09-09T00:00:00"/>
    <x v="29"/>
    <x v="3"/>
    <d v="2024-09-13T00:00:00"/>
    <n v="4"/>
    <x v="3"/>
    <x v="8"/>
    <s v="London"/>
    <s v="Europe &gt; United Kingdom &gt; London"/>
    <s v="Consumer"/>
    <x v="2"/>
    <x v="9"/>
    <x v="2"/>
    <x v="496"/>
    <n v="1133.08"/>
    <n v="976.17"/>
    <s v="High"/>
    <n v="4.2000000000000003E-2"/>
    <n v="27"/>
    <n v="25249.613219999999"/>
    <n v="30593.159999999996"/>
    <n v="-5343.5467799999969"/>
    <n v="-0.21162885678452373"/>
    <n v="202409"/>
    <n v="202301"/>
    <s v="Sept-2023"/>
    <x v="30"/>
  </r>
  <r>
    <x v="497"/>
    <d v="2023-10-25T00:00:00"/>
    <x v="32"/>
    <x v="1"/>
    <d v="2023-10-28T00:00:00"/>
    <n v="3"/>
    <x v="2"/>
    <x v="5"/>
    <s v="Brasília"/>
    <s v="Americas &gt; Brazil &gt; Brasília"/>
    <s v="Corporate"/>
    <x v="3"/>
    <x v="4"/>
    <x v="6"/>
    <x v="497"/>
    <n v="509.31"/>
    <n v="1145.9000000000001"/>
    <s v="Medium"/>
    <n v="5.7000000000000002E-2"/>
    <n v="8"/>
    <n v="8644.6696000000011"/>
    <n v="4074.48"/>
    <n v="4570.1896000000015"/>
    <n v="0.52867140231709964"/>
    <n v="202310"/>
    <n v="202301"/>
    <s v="Oct-2023"/>
    <x v="4"/>
  </r>
  <r>
    <x v="498"/>
    <d v="2025-09-08T00:00:00"/>
    <x v="11"/>
    <x v="3"/>
    <d v="2025-10-05T00:00:00"/>
    <n v="27"/>
    <x v="2"/>
    <x v="5"/>
    <s v="Rio de Janeiro"/>
    <s v="Americas &gt; Brazil &gt; Rio de Janeiro"/>
    <s v="Education"/>
    <x v="1"/>
    <x v="0"/>
    <x v="5"/>
    <x v="498"/>
    <n v="660.78"/>
    <n v="1630.39"/>
    <s v="Medium"/>
    <n v="0.218"/>
    <n v="13"/>
    <n v="16574.544740000001"/>
    <n v="8590.14"/>
    <n v="7984.4047400000018"/>
    <n v="0.48172694123724097"/>
    <n v="202509"/>
    <n v="202301"/>
    <s v="Sept-2023"/>
    <x v="11"/>
  </r>
  <r>
    <x v="499"/>
    <d v="2023-05-02T00:00:00"/>
    <x v="15"/>
    <x v="2"/>
    <d v="2023-05-16T00:00:00"/>
    <n v="14"/>
    <x v="1"/>
    <x v="4"/>
    <s v="Bengaluru"/>
    <s v="Asia &gt; India &gt; Bengaluru"/>
    <s v="Non-Profit"/>
    <x v="0"/>
    <x v="4"/>
    <x v="5"/>
    <x v="499"/>
    <n v="475.37"/>
    <n v="963.73"/>
    <s v="Low"/>
    <n v="4.1000000000000002E-2"/>
    <n v="22"/>
    <n v="20332.775539999999"/>
    <n v="10458.14"/>
    <n v="9874.6355399999993"/>
    <n v="0.48565113604750881"/>
    <n v="202305"/>
    <n v="202301"/>
    <s v="May-2023"/>
    <x v="15"/>
  </r>
  <r>
    <x v="500"/>
    <d v="2024-04-26T00:00:00"/>
    <x v="20"/>
    <x v="2"/>
    <d v="2024-04-28T00:00:00"/>
    <n v="2"/>
    <x v="3"/>
    <x v="8"/>
    <s v="London"/>
    <s v="Europe &gt; United Kingdom &gt; London"/>
    <s v="Non-Profit"/>
    <x v="3"/>
    <x v="13"/>
    <x v="3"/>
    <x v="500"/>
    <n v="1232.77"/>
    <n v="891.73"/>
    <s v="High"/>
    <n v="0.16700000000000001"/>
    <n v="10"/>
    <n v="7428.1108999999988"/>
    <n v="12327.7"/>
    <n v="-4899.589100000002"/>
    <n v="-0.65960096260813805"/>
    <n v="202404"/>
    <n v="202301"/>
    <s v="Apr-2023"/>
    <x v="19"/>
  </r>
  <r>
    <x v="501"/>
    <d v="2023-02-23T00:00:00"/>
    <x v="2"/>
    <x v="0"/>
    <d v="2023-03-18T00:00:00"/>
    <n v="23"/>
    <x v="1"/>
    <x v="9"/>
    <s v="Beijing"/>
    <s v="Asia &gt; China &gt; Beijing"/>
    <s v="Education"/>
    <x v="3"/>
    <x v="11"/>
    <x v="1"/>
    <x v="501"/>
    <n v="770.11"/>
    <n v="1667.82"/>
    <s v="Medium"/>
    <n v="6.9000000000000006E-2"/>
    <n v="7"/>
    <n v="10869.182940000001"/>
    <n v="5390.77"/>
    <n v="5478.4129400000002"/>
    <n v="0.50403171703355287"/>
    <n v="202302"/>
    <n v="202301"/>
    <s v="Feb-2023"/>
    <x v="2"/>
  </r>
  <r>
    <x v="502"/>
    <d v="2025-03-24T00:00:00"/>
    <x v="3"/>
    <x v="0"/>
    <d v="2025-03-25T00:00:00"/>
    <n v="1"/>
    <x v="1"/>
    <x v="9"/>
    <s v="Beijing"/>
    <s v="Asia &gt; China &gt; Beijing"/>
    <s v="Non-Profit"/>
    <x v="1"/>
    <x v="3"/>
    <x v="2"/>
    <x v="502"/>
    <n v="1133.03"/>
    <n v="1921.51"/>
    <s v="High"/>
    <n v="0.10100000000000001"/>
    <n v="5"/>
    <n v="8637.1874499999994"/>
    <n v="5665.15"/>
    <n v="2972.0374499999998"/>
    <n v="0.3440978289755654"/>
    <n v="202503"/>
    <n v="202301"/>
    <s v="Mar-2023"/>
    <x v="3"/>
  </r>
  <r>
    <x v="503"/>
    <d v="2025-03-10T00:00:00"/>
    <x v="3"/>
    <x v="0"/>
    <d v="2025-03-27T00:00:00"/>
    <n v="17"/>
    <x v="2"/>
    <x v="5"/>
    <s v="Rio de Janeiro"/>
    <s v="Americas &gt; Brazil &gt; Rio de Janeiro"/>
    <s v="Enterprise"/>
    <x v="4"/>
    <x v="9"/>
    <x v="2"/>
    <x v="503"/>
    <n v="996.73"/>
    <n v="1217.43"/>
    <s v="Medium"/>
    <n v="7.0000000000000007E-2"/>
    <n v="9"/>
    <n v="10189.8891"/>
    <n v="8970.57"/>
    <n v="1219.3191000000006"/>
    <n v="0.11965970267527255"/>
    <n v="202503"/>
    <n v="202301"/>
    <s v="Mar-2023"/>
    <x v="3"/>
  </r>
  <r>
    <x v="504"/>
    <d v="2024-04-05T00:00:00"/>
    <x v="20"/>
    <x v="2"/>
    <d v="2024-04-09T00:00:00"/>
    <n v="4"/>
    <x v="0"/>
    <x v="1"/>
    <s v="Lagos"/>
    <s v="Africa &gt; Nigeria &gt; Lagos"/>
    <s v="Non-Profit"/>
    <x v="4"/>
    <x v="11"/>
    <x v="0"/>
    <x v="504"/>
    <n v="395.07"/>
    <n v="970.27"/>
    <s v="Low"/>
    <n v="0.123"/>
    <n v="38"/>
    <n v="32335.21802"/>
    <n v="15012.66"/>
    <n v="17322.55802"/>
    <n v="0.53571799049833657"/>
    <n v="202404"/>
    <n v="202301"/>
    <s v="Apr-2023"/>
    <x v="19"/>
  </r>
  <r>
    <x v="505"/>
    <d v="2025-04-27T00:00:00"/>
    <x v="19"/>
    <x v="2"/>
    <d v="2025-05-17T00:00:00"/>
    <n v="20"/>
    <x v="2"/>
    <x v="10"/>
    <s v="Austin"/>
    <s v="Americas &gt; USA &gt; Austin"/>
    <s v="Corporate"/>
    <x v="4"/>
    <x v="13"/>
    <x v="3"/>
    <x v="505"/>
    <n v="932.26"/>
    <n v="1624.67"/>
    <s v="Medium"/>
    <n v="0.23499999999999999"/>
    <n v="28"/>
    <n v="34800.431400000001"/>
    <n v="26103.279999999999"/>
    <n v="8697.1514000000025"/>
    <n v="0.24991504559337163"/>
    <n v="202504"/>
    <n v="202301"/>
    <s v="Apr-2023"/>
    <x v="18"/>
  </r>
  <r>
    <x v="506"/>
    <d v="2024-10-24T00:00:00"/>
    <x v="1"/>
    <x v="1"/>
    <d v="2024-10-28T00:00:00"/>
    <n v="4"/>
    <x v="1"/>
    <x v="9"/>
    <s v="Shanghai"/>
    <s v="Asia &gt; China &gt; Shanghai"/>
    <s v="Small Business"/>
    <x v="3"/>
    <x v="2"/>
    <x v="2"/>
    <x v="506"/>
    <n v="1331.77"/>
    <n v="2606.11"/>
    <s v="High"/>
    <n v="0.02"/>
    <n v="6"/>
    <n v="15323.926799999999"/>
    <n v="7990.62"/>
    <n v="7333.3067999999994"/>
    <n v="0.47855271665745619"/>
    <n v="202410"/>
    <n v="202301"/>
    <s v="Oct-2023"/>
    <x v="1"/>
  </r>
  <r>
    <x v="507"/>
    <d v="2023-04-13T00:00:00"/>
    <x v="12"/>
    <x v="2"/>
    <d v="2023-04-20T00:00:00"/>
    <n v="7"/>
    <x v="3"/>
    <x v="7"/>
    <s v="Lyon"/>
    <s v="Europe &gt; France &gt; Lyon"/>
    <s v="Small Business"/>
    <x v="1"/>
    <x v="8"/>
    <x v="4"/>
    <x v="507"/>
    <n v="227.02"/>
    <n v="434.72"/>
    <s v="Low"/>
    <n v="9.8000000000000004E-2"/>
    <n v="10"/>
    <n v="3921.1744000000008"/>
    <n v="2270.2000000000003"/>
    <n v="1650.9744000000005"/>
    <n v="0.42104079838938052"/>
    <n v="202304"/>
    <n v="202301"/>
    <s v="Apr-2023"/>
    <x v="12"/>
  </r>
  <r>
    <x v="508"/>
    <d v="2024-11-12T00:00:00"/>
    <x v="18"/>
    <x v="1"/>
    <d v="2024-11-21T00:00:00"/>
    <n v="9"/>
    <x v="1"/>
    <x v="4"/>
    <s v="Mumbai"/>
    <s v="Asia &gt; India &gt; Mumbai"/>
    <s v="Corporate"/>
    <x v="4"/>
    <x v="10"/>
    <x v="4"/>
    <x v="508"/>
    <n v="903.41"/>
    <n v="1860.41"/>
    <s v="Medium"/>
    <n v="0.108"/>
    <n v="5"/>
    <n v="8297.4286000000011"/>
    <n v="4517.05"/>
    <n v="3780.3786000000009"/>
    <n v="0.455608451996803"/>
    <n v="202411"/>
    <n v="202301"/>
    <s v="Nov-2023"/>
    <x v="10"/>
  </r>
  <r>
    <x v="509"/>
    <d v="2023-05-10T00:00:00"/>
    <x v="15"/>
    <x v="2"/>
    <d v="2023-05-14T00:00:00"/>
    <n v="4"/>
    <x v="1"/>
    <x v="4"/>
    <s v="Delhi"/>
    <s v="Asia &gt; India &gt; Delhi"/>
    <s v="Non-Profit"/>
    <x v="3"/>
    <x v="0"/>
    <x v="5"/>
    <x v="509"/>
    <n v="622.6"/>
    <n v="833.69"/>
    <s v="Medium"/>
    <n v="0.20899999999999999"/>
    <n v="14"/>
    <n v="9232.2830599999998"/>
    <n v="8716.4"/>
    <n v="515.88306000000011"/>
    <n v="5.5878167582959715E-2"/>
    <n v="202305"/>
    <n v="202301"/>
    <s v="May-2023"/>
    <x v="15"/>
  </r>
  <r>
    <x v="510"/>
    <d v="2024-03-02T00:00:00"/>
    <x v="0"/>
    <x v="0"/>
    <d v="2024-03-23T00:00:00"/>
    <n v="21"/>
    <x v="2"/>
    <x v="10"/>
    <s v="Chicago"/>
    <s v="Americas &gt; USA &gt; Chicago"/>
    <s v="Small Business"/>
    <x v="1"/>
    <x v="9"/>
    <x v="0"/>
    <x v="510"/>
    <n v="225.01"/>
    <n v="333.48"/>
    <s v="Low"/>
    <n v="0.11899999999999999"/>
    <n v="12"/>
    <n v="3525.5505600000001"/>
    <n v="2700.12"/>
    <n v="825.43056000000024"/>
    <n v="0.23412813004729685"/>
    <n v="202403"/>
    <n v="202301"/>
    <s v="Mar-2023"/>
    <x v="0"/>
  </r>
  <r>
    <x v="511"/>
    <d v="2024-10-10T00:00:00"/>
    <x v="1"/>
    <x v="1"/>
    <d v="2024-10-11T00:00:00"/>
    <n v="1"/>
    <x v="3"/>
    <x v="8"/>
    <s v="Manchester"/>
    <s v="Europe &gt; United Kingdom &gt; Manchester"/>
    <s v="Non-Profit"/>
    <x v="3"/>
    <x v="4"/>
    <x v="0"/>
    <x v="511"/>
    <n v="1389.46"/>
    <n v="1784.7"/>
    <s v="High"/>
    <n v="0.14599999999999999"/>
    <n v="33"/>
    <n v="50296.415399999998"/>
    <n v="45852.18"/>
    <n v="4444.2353999999978"/>
    <n v="8.8360877503011831E-2"/>
    <n v="202410"/>
    <n v="202301"/>
    <s v="Oct-2023"/>
    <x v="1"/>
  </r>
  <r>
    <x v="512"/>
    <d v="2023-06-01T00:00:00"/>
    <x v="23"/>
    <x v="2"/>
    <d v="2023-06-08T00:00:00"/>
    <n v="7"/>
    <x v="3"/>
    <x v="6"/>
    <s v="Frankfurt"/>
    <s v="Europe &gt; Germany &gt; Frankfurt"/>
    <s v="Consumer"/>
    <x v="1"/>
    <x v="8"/>
    <x v="3"/>
    <x v="512"/>
    <n v="804.17"/>
    <n v="1072.29"/>
    <s v="Medium"/>
    <n v="3.2000000000000001E-2"/>
    <n v="5"/>
    <n v="5189.8836000000001"/>
    <n v="4020.85"/>
    <n v="1169.0336000000002"/>
    <n v="0.2252523736755869"/>
    <n v="202306"/>
    <n v="202301"/>
    <s v="Jun-2023"/>
    <x v="22"/>
  </r>
  <r>
    <x v="513"/>
    <d v="2025-01-04T00:00:00"/>
    <x v="10"/>
    <x v="0"/>
    <d v="2025-01-05T00:00:00"/>
    <n v="1"/>
    <x v="1"/>
    <x v="4"/>
    <s v="Delhi"/>
    <s v="Asia &gt; India &gt; Delhi"/>
    <s v="Education"/>
    <x v="0"/>
    <x v="2"/>
    <x v="0"/>
    <x v="513"/>
    <n v="1428.33"/>
    <n v="3028.05"/>
    <s v="High"/>
    <n v="0"/>
    <n v="11"/>
    <n v="33308.550000000003"/>
    <n v="15711.63"/>
    <n v="17596.920000000006"/>
    <n v="0.52830039134096207"/>
    <n v="202501"/>
    <n v="202301"/>
    <s v="Jan-2023"/>
    <x v="24"/>
  </r>
  <r>
    <x v="514"/>
    <d v="2025-08-05T00:00:00"/>
    <x v="28"/>
    <x v="3"/>
    <d v="2025-08-28T00:00:00"/>
    <n v="23"/>
    <x v="1"/>
    <x v="4"/>
    <s v="Mumbai"/>
    <s v="Asia &gt; India &gt; Mumbai"/>
    <s v="Non-Profit"/>
    <x v="3"/>
    <x v="13"/>
    <x v="4"/>
    <x v="514"/>
    <n v="638.54"/>
    <n v="987.24"/>
    <s v="Medium"/>
    <n v="0"/>
    <n v="11"/>
    <n v="10859.64"/>
    <n v="7023.94"/>
    <n v="3835.7"/>
    <n v="0.35320692030306716"/>
    <n v="202508"/>
    <n v="202301"/>
    <s v="Aug-2023"/>
    <x v="29"/>
  </r>
  <r>
    <x v="515"/>
    <d v="2023-09-30T00:00:00"/>
    <x v="27"/>
    <x v="3"/>
    <d v="2023-10-30T00:00:00"/>
    <n v="30"/>
    <x v="1"/>
    <x v="2"/>
    <s v="Tokyo"/>
    <s v="Asia &gt; Japan &gt; Tokyo"/>
    <s v="Enterprise"/>
    <x v="1"/>
    <x v="14"/>
    <x v="1"/>
    <x v="515"/>
    <n v="649.13"/>
    <n v="975.43"/>
    <s v="Medium"/>
    <n v="0.157"/>
    <n v="27"/>
    <n v="22201.762229999997"/>
    <n v="17526.509999999998"/>
    <n v="4675.2522299999982"/>
    <n v="0.21058023149543473"/>
    <n v="202309"/>
    <n v="202303"/>
    <s v="Sept-2023"/>
    <x v="23"/>
  </r>
  <r>
    <x v="516"/>
    <d v="2025-05-17T00:00:00"/>
    <x v="8"/>
    <x v="2"/>
    <d v="2025-05-30T00:00:00"/>
    <n v="13"/>
    <x v="0"/>
    <x v="1"/>
    <s v="Lagos"/>
    <s v="Africa &gt; Nigeria &gt; Lagos"/>
    <s v="Consumer"/>
    <x v="3"/>
    <x v="9"/>
    <x v="6"/>
    <x v="516"/>
    <n v="66.400000000000006"/>
    <n v="141.43"/>
    <s v="Low"/>
    <n v="0.107"/>
    <n v="8"/>
    <n v="1010.3759200000001"/>
    <n v="531.20000000000005"/>
    <n v="479.17592000000002"/>
    <n v="0.47425508715607551"/>
    <n v="202505"/>
    <n v="202301"/>
    <s v="May-2023"/>
    <x v="8"/>
  </r>
  <r>
    <x v="517"/>
    <d v="2024-05-01T00:00:00"/>
    <x v="7"/>
    <x v="2"/>
    <d v="2024-05-26T00:00:00"/>
    <n v="25"/>
    <x v="3"/>
    <x v="6"/>
    <s v="Berlin"/>
    <s v="Europe &gt; Germany &gt; Berlin"/>
    <s v="Non-Profit"/>
    <x v="0"/>
    <x v="5"/>
    <x v="2"/>
    <x v="517"/>
    <n v="930.71"/>
    <n v="1625.42"/>
    <s v="Medium"/>
    <n v="0.13800000000000001"/>
    <n v="7"/>
    <n v="9807.7842799999999"/>
    <n v="6514.97"/>
    <n v="3292.8142799999996"/>
    <n v="0.33573477821231196"/>
    <n v="202405"/>
    <n v="202301"/>
    <s v="May-2023"/>
    <x v="7"/>
  </r>
  <r>
    <x v="518"/>
    <d v="2023-05-01T00:00:00"/>
    <x v="15"/>
    <x v="2"/>
    <d v="2023-05-18T00:00:00"/>
    <n v="17"/>
    <x v="0"/>
    <x v="1"/>
    <s v="Port Harcourt"/>
    <s v="Africa &gt; Nigeria &gt; Port Harcourt"/>
    <s v="Corporate"/>
    <x v="4"/>
    <x v="9"/>
    <x v="0"/>
    <x v="518"/>
    <n v="327.97"/>
    <n v="299.94"/>
    <s v="Low"/>
    <n v="4.9000000000000002E-2"/>
    <n v="3"/>
    <n v="855.72881999999993"/>
    <n v="983.91000000000008"/>
    <n v="-128.18118000000015"/>
    <n v="-0.14979182306843442"/>
    <n v="202305"/>
    <n v="202301"/>
    <s v="May-2023"/>
    <x v="15"/>
  </r>
  <r>
    <x v="519"/>
    <d v="2024-07-09T00:00:00"/>
    <x v="14"/>
    <x v="3"/>
    <d v="2024-08-08T00:00:00"/>
    <n v="30"/>
    <x v="3"/>
    <x v="7"/>
    <s v="Marseille"/>
    <s v="Europe &gt; France &gt; Marseille"/>
    <s v="Corporate"/>
    <x v="4"/>
    <x v="1"/>
    <x v="0"/>
    <x v="519"/>
    <n v="1062.3800000000001"/>
    <n v="1503.96"/>
    <s v="High"/>
    <n v="0.18"/>
    <n v="6"/>
    <n v="7399.4832000000006"/>
    <n v="6374.2800000000007"/>
    <n v="1025.2031999999999"/>
    <n v="0.13855064905073369"/>
    <n v="202407"/>
    <n v="202301"/>
    <s v="Jul-2023"/>
    <x v="14"/>
  </r>
  <r>
    <x v="520"/>
    <d v="2023-05-10T00:00:00"/>
    <x v="15"/>
    <x v="2"/>
    <d v="2023-05-27T00:00:00"/>
    <n v="17"/>
    <x v="1"/>
    <x v="4"/>
    <s v="Mumbai"/>
    <s v="Asia &gt; India &gt; Mumbai"/>
    <s v="Consumer"/>
    <x v="0"/>
    <x v="12"/>
    <x v="4"/>
    <x v="520"/>
    <n v="1286.1600000000001"/>
    <n v="3101.11"/>
    <s v="High"/>
    <n v="0.1"/>
    <n v="23"/>
    <n v="64192.976999999999"/>
    <n v="29581.68"/>
    <n v="34611.296999999999"/>
    <n v="0.53917575749758417"/>
    <n v="202305"/>
    <n v="202301"/>
    <s v="May-2023"/>
    <x v="15"/>
  </r>
  <r>
    <x v="521"/>
    <d v="2024-07-09T00:00:00"/>
    <x v="14"/>
    <x v="3"/>
    <d v="2024-07-12T00:00:00"/>
    <n v="3"/>
    <x v="1"/>
    <x v="9"/>
    <s v="Shanghai"/>
    <s v="Asia &gt; China &gt; Shanghai"/>
    <s v="Small Business"/>
    <x v="0"/>
    <x v="14"/>
    <x v="6"/>
    <x v="521"/>
    <n v="748.39"/>
    <n v="979.42"/>
    <s v="Medium"/>
    <n v="0"/>
    <n v="23"/>
    <n v="22526.66"/>
    <n v="17212.97"/>
    <n v="5313.6899999999987"/>
    <n v="0.23588450307324738"/>
    <n v="202407"/>
    <n v="202301"/>
    <s v="Jul-2023"/>
    <x v="14"/>
  </r>
  <r>
    <x v="522"/>
    <d v="2024-04-24T00:00:00"/>
    <x v="20"/>
    <x v="2"/>
    <d v="2024-05-10T00:00:00"/>
    <n v="16"/>
    <x v="0"/>
    <x v="0"/>
    <s v="Kisumu"/>
    <s v="Africa &gt; Kenya &gt; Kisumu"/>
    <s v="Non-Profit"/>
    <x v="1"/>
    <x v="13"/>
    <x v="5"/>
    <x v="522"/>
    <n v="513.30999999999995"/>
    <n v="1186.26"/>
    <s v="Medium"/>
    <n v="9.4E-2"/>
    <n v="15"/>
    <n v="16121.273400000002"/>
    <n v="7699.65"/>
    <n v="8421.6234000000022"/>
    <n v="0.52239194702820446"/>
    <n v="202404"/>
    <n v="202301"/>
    <s v="Apr-2023"/>
    <x v="19"/>
  </r>
  <r>
    <x v="523"/>
    <d v="2024-01-13T00:00:00"/>
    <x v="9"/>
    <x v="0"/>
    <d v="2024-01-15T00:00:00"/>
    <n v="2"/>
    <x v="2"/>
    <x v="10"/>
    <s v="San Francisco"/>
    <s v="Americas &gt; USA &gt; San Francisco"/>
    <s v="Non-Profit"/>
    <x v="4"/>
    <x v="6"/>
    <x v="0"/>
    <x v="523"/>
    <n v="1061.3699999999999"/>
    <n v="1938.33"/>
    <s v="High"/>
    <n v="0.17"/>
    <n v="4"/>
    <n v="6435.2555999999995"/>
    <n v="4245.4799999999996"/>
    <n v="2189.7755999999999"/>
    <n v="0.34027795259600879"/>
    <n v="202401"/>
    <n v="202301"/>
    <s v="Jan-2023"/>
    <x v="9"/>
  </r>
  <r>
    <x v="524"/>
    <d v="2024-04-16T00:00:00"/>
    <x v="20"/>
    <x v="2"/>
    <d v="2024-04-27T00:00:00"/>
    <n v="11"/>
    <x v="0"/>
    <x v="0"/>
    <s v="Nakuru"/>
    <s v="Africa &gt; Kenya &gt; Nakuru"/>
    <s v="Enterprise"/>
    <x v="1"/>
    <x v="14"/>
    <x v="1"/>
    <x v="524"/>
    <n v="401.3"/>
    <n v="826.47"/>
    <s v="Low"/>
    <n v="0.22500000000000001"/>
    <n v="13"/>
    <n v="8326.6852500000005"/>
    <n v="5216.9000000000005"/>
    <n v="3109.7852499999999"/>
    <n v="0.37347217489696755"/>
    <n v="202404"/>
    <n v="202301"/>
    <s v="Apr-2023"/>
    <x v="19"/>
  </r>
  <r>
    <x v="525"/>
    <d v="2025-02-07T00:00:00"/>
    <x v="26"/>
    <x v="0"/>
    <d v="2025-02-16T00:00:00"/>
    <n v="9"/>
    <x v="0"/>
    <x v="1"/>
    <s v="Lagos"/>
    <s v="Africa &gt; Nigeria &gt; Lagos"/>
    <s v="Small Business"/>
    <x v="3"/>
    <x v="0"/>
    <x v="1"/>
    <x v="525"/>
    <n v="90.68"/>
    <n v="118.17"/>
    <s v="Low"/>
    <n v="0.13500000000000001"/>
    <n v="21"/>
    <n v="2146.5580500000001"/>
    <n v="1904.2800000000002"/>
    <n v="242.27804999999989"/>
    <n v="0.11286815653552899"/>
    <n v="202502"/>
    <n v="202301"/>
    <s v="Feb-2023"/>
    <x v="26"/>
  </r>
  <r>
    <x v="526"/>
    <d v="2023-01-12T00:00:00"/>
    <x v="5"/>
    <x v="0"/>
    <d v="2023-01-26T00:00:00"/>
    <n v="14"/>
    <x v="1"/>
    <x v="9"/>
    <s v="Shenzhen"/>
    <s v="Asia &gt; China &gt; Shenzhen"/>
    <s v="Non-Profit"/>
    <x v="0"/>
    <x v="12"/>
    <x v="1"/>
    <x v="526"/>
    <n v="1083.0899999999999"/>
    <n v="1425.87"/>
    <s v="High"/>
    <n v="0"/>
    <n v="8"/>
    <n v="11406.96"/>
    <n v="8664.7199999999993"/>
    <n v="2742.24"/>
    <n v="0.24040059752992909"/>
    <n v="202301"/>
    <n v="202301"/>
    <s v="Jan-2023"/>
    <x v="5"/>
  </r>
  <r>
    <x v="527"/>
    <d v="2024-06-05T00:00:00"/>
    <x v="17"/>
    <x v="2"/>
    <d v="2024-06-23T00:00:00"/>
    <n v="18"/>
    <x v="0"/>
    <x v="0"/>
    <s v="Nairobi"/>
    <s v="Africa &gt; Kenya &gt; Nairobi"/>
    <s v="Consumer"/>
    <x v="3"/>
    <x v="14"/>
    <x v="4"/>
    <x v="527"/>
    <n v="1208.74"/>
    <n v="1594.78"/>
    <s v="High"/>
    <n v="5.8999999999999997E-2"/>
    <n v="39"/>
    <n v="58526.83122"/>
    <n v="47140.86"/>
    <n v="11385.971219999999"/>
    <n v="0.1945427589817838"/>
    <n v="202406"/>
    <n v="202301"/>
    <s v="Jun-2023"/>
    <x v="17"/>
  </r>
  <r>
    <x v="528"/>
    <d v="2023-08-24T00:00:00"/>
    <x v="25"/>
    <x v="3"/>
    <d v="2023-09-20T00:00:00"/>
    <n v="27"/>
    <x v="0"/>
    <x v="11"/>
    <s v="Durban"/>
    <s v="Africa &gt; South Africa &gt; Durban"/>
    <s v="Small Business"/>
    <x v="2"/>
    <x v="12"/>
    <x v="1"/>
    <x v="528"/>
    <n v="1399.64"/>
    <n v="3342.11"/>
    <s v="High"/>
    <n v="0"/>
    <n v="10"/>
    <n v="33421.1"/>
    <n v="13996.400000000001"/>
    <n v="19424.699999999997"/>
    <n v="0.58121067229983447"/>
    <n v="202308"/>
    <n v="202301"/>
    <s v="Aug-2023"/>
    <x v="25"/>
  </r>
  <r>
    <x v="529"/>
    <d v="2024-01-25T00:00:00"/>
    <x v="9"/>
    <x v="0"/>
    <d v="2024-02-08T00:00:00"/>
    <n v="14"/>
    <x v="1"/>
    <x v="2"/>
    <s v="Osaka"/>
    <s v="Asia &gt; Japan &gt; Osaka"/>
    <s v="Consumer"/>
    <x v="2"/>
    <x v="2"/>
    <x v="2"/>
    <x v="529"/>
    <n v="937.16"/>
    <n v="1069.77"/>
    <s v="Medium"/>
    <n v="3.7999999999999999E-2"/>
    <n v="9"/>
    <n v="9262.0686600000008"/>
    <n v="8434.44"/>
    <n v="827.62866000000031"/>
    <n v="8.9356783066645962E-2"/>
    <n v="202401"/>
    <n v="202303"/>
    <s v="Jan-2023"/>
    <x v="31"/>
  </r>
  <r>
    <x v="530"/>
    <d v="2025-03-11T00:00:00"/>
    <x v="3"/>
    <x v="0"/>
    <d v="2025-03-26T00:00:00"/>
    <n v="15"/>
    <x v="3"/>
    <x v="6"/>
    <s v="Berlin"/>
    <s v="Europe &gt; Germany &gt; Berlin"/>
    <s v="Small Business"/>
    <x v="1"/>
    <x v="2"/>
    <x v="3"/>
    <x v="530"/>
    <n v="116.97"/>
    <n v="140.82"/>
    <s v="Low"/>
    <n v="0.122"/>
    <n v="5"/>
    <n v="618.19979999999987"/>
    <n v="584.85"/>
    <n v="33.349799999999846"/>
    <n v="5.3946636669891926E-2"/>
    <n v="202503"/>
    <n v="202301"/>
    <s v="Mar-2023"/>
    <x v="3"/>
  </r>
  <r>
    <x v="531"/>
    <d v="2025-04-22T00:00:00"/>
    <x v="19"/>
    <x v="2"/>
    <d v="2025-05-12T00:00:00"/>
    <n v="20"/>
    <x v="3"/>
    <x v="7"/>
    <s v="Lyon"/>
    <s v="Europe &gt; France &gt; Lyon"/>
    <s v="Enterprise"/>
    <x v="2"/>
    <x v="11"/>
    <x v="5"/>
    <x v="531"/>
    <n v="59.51"/>
    <n v="67.040000000000006"/>
    <s v="Low"/>
    <n v="0.114"/>
    <n v="9"/>
    <n v="534.57695999999999"/>
    <n v="535.59"/>
    <n v="-1.0130400000000463"/>
    <n v="-1.8950311663264469E-3"/>
    <n v="202504"/>
    <n v="202301"/>
    <s v="Apr-2023"/>
    <x v="18"/>
  </r>
  <r>
    <x v="532"/>
    <d v="2023-08-17T00:00:00"/>
    <x v="25"/>
    <x v="3"/>
    <d v="2023-09-03T00:00:00"/>
    <n v="17"/>
    <x v="0"/>
    <x v="11"/>
    <s v="Durban"/>
    <s v="Africa &gt; South Africa &gt; Durban"/>
    <s v="Enterprise"/>
    <x v="0"/>
    <x v="8"/>
    <x v="3"/>
    <x v="532"/>
    <n v="676.37"/>
    <n v="1276.67"/>
    <s v="Medium"/>
    <n v="6.6000000000000003E-2"/>
    <n v="10"/>
    <n v="11924.0978"/>
    <n v="6763.7"/>
    <n v="5160.3977999999997"/>
    <n v="0.4327705027712872"/>
    <n v="202308"/>
    <n v="202301"/>
    <s v="Aug-2023"/>
    <x v="25"/>
  </r>
  <r>
    <x v="533"/>
    <d v="2025-06-24T00:00:00"/>
    <x v="16"/>
    <x v="2"/>
    <d v="2025-07-14T00:00:00"/>
    <n v="20"/>
    <x v="0"/>
    <x v="11"/>
    <s v="Johannesburg"/>
    <s v="Africa &gt; South Africa &gt; Johannesburg"/>
    <s v="Enterprise"/>
    <x v="2"/>
    <x v="1"/>
    <x v="4"/>
    <x v="533"/>
    <n v="1151.06"/>
    <n v="2821.36"/>
    <s v="High"/>
    <n v="0.248"/>
    <n v="20"/>
    <n v="42433.254400000005"/>
    <n v="23021.199999999997"/>
    <n v="19412.054400000008"/>
    <n v="0.45747267501594235"/>
    <n v="202506"/>
    <n v="202301"/>
    <s v="Jun-2023"/>
    <x v="16"/>
  </r>
  <r>
    <x v="534"/>
    <d v="2025-01-10T00:00:00"/>
    <x v="10"/>
    <x v="0"/>
    <d v="2025-02-06T00:00:00"/>
    <n v="27"/>
    <x v="2"/>
    <x v="5"/>
    <s v="Brasília"/>
    <s v="Americas &gt; Brazil &gt; Brasília"/>
    <s v="Non-Profit"/>
    <x v="0"/>
    <x v="5"/>
    <x v="4"/>
    <x v="534"/>
    <n v="725.62"/>
    <n v="1559.19"/>
    <s v="Medium"/>
    <n v="0.19"/>
    <n v="12"/>
    <n v="15155.326800000001"/>
    <n v="8707.44"/>
    <n v="6447.8868000000002"/>
    <n v="0.42545349797405885"/>
    <n v="202501"/>
    <n v="202301"/>
    <s v="Jan-2023"/>
    <x v="24"/>
  </r>
  <r>
    <x v="535"/>
    <d v="2023-07-01T00:00:00"/>
    <x v="24"/>
    <x v="3"/>
    <d v="2023-07-11T00:00:00"/>
    <n v="10"/>
    <x v="3"/>
    <x v="7"/>
    <s v="Paris"/>
    <s v="Europe &gt; France &gt; Paris"/>
    <s v="Corporate"/>
    <x v="4"/>
    <x v="9"/>
    <x v="2"/>
    <x v="535"/>
    <n v="479.5"/>
    <n v="656.66"/>
    <s v="Low"/>
    <n v="0.14899999999999999"/>
    <n v="14"/>
    <n v="7823.4472399999995"/>
    <n v="6713"/>
    <n v="1110.4472399999995"/>
    <n v="0.14193835606412289"/>
    <n v="202307"/>
    <n v="202301"/>
    <s v="Jul-2023"/>
    <x v="23"/>
  </r>
  <r>
    <x v="536"/>
    <d v="2024-08-16T00:00:00"/>
    <x v="21"/>
    <x v="3"/>
    <d v="2024-08-26T00:00:00"/>
    <n v="10"/>
    <x v="2"/>
    <x v="10"/>
    <s v="Chicago"/>
    <s v="Americas &gt; USA &gt; Chicago"/>
    <s v="Corporate"/>
    <x v="3"/>
    <x v="4"/>
    <x v="4"/>
    <x v="387"/>
    <n v="1291.7"/>
    <n v="2657.84"/>
    <s v="High"/>
    <n v="8.6999999999999994E-2"/>
    <n v="21"/>
    <n v="50958.766320000002"/>
    <n v="27125.7"/>
    <n v="23833.066320000002"/>
    <n v="0.46769315745083367"/>
    <n v="202408"/>
    <n v="202301"/>
    <s v="Aug-2023"/>
    <x v="20"/>
  </r>
  <r>
    <x v="537"/>
    <d v="2023-07-07T00:00:00"/>
    <x v="24"/>
    <x v="3"/>
    <d v="2023-07-13T00:00:00"/>
    <n v="6"/>
    <x v="0"/>
    <x v="11"/>
    <s v="Cape Town"/>
    <s v="Africa &gt; South Africa &gt; Cape Town"/>
    <s v="Small Business"/>
    <x v="2"/>
    <x v="5"/>
    <x v="6"/>
    <x v="536"/>
    <n v="612.59"/>
    <n v="1424.74"/>
    <s v="Medium"/>
    <n v="4.3999999999999997E-2"/>
    <n v="15"/>
    <n v="20430.771599999996"/>
    <n v="9188.85"/>
    <n v="11241.921599999996"/>
    <n v="0.55024459281802152"/>
    <n v="202307"/>
    <n v="202301"/>
    <s v="Jul-2023"/>
    <x v="23"/>
  </r>
  <r>
    <x v="538"/>
    <d v="2023-12-28T00:00:00"/>
    <x v="4"/>
    <x v="1"/>
    <d v="2024-01-01T00:00:00"/>
    <n v="4"/>
    <x v="0"/>
    <x v="11"/>
    <s v="Cape Town"/>
    <s v="Africa &gt; South Africa &gt; Cape Town"/>
    <s v="Education"/>
    <x v="3"/>
    <x v="8"/>
    <x v="1"/>
    <x v="537"/>
    <n v="1141.8"/>
    <n v="2318.7399999999998"/>
    <s v="High"/>
    <n v="0.107"/>
    <n v="32"/>
    <n v="66260.314239999992"/>
    <n v="36537.599999999999"/>
    <n v="29722.714239999994"/>
    <n v="0.44857490612468304"/>
    <n v="202312"/>
    <n v="202301"/>
    <s v="Dec-2023"/>
    <x v="27"/>
  </r>
  <r>
    <x v="539"/>
    <d v="2023-01-26T00:00:00"/>
    <x v="5"/>
    <x v="0"/>
    <d v="2023-02-15T00:00:00"/>
    <n v="20"/>
    <x v="3"/>
    <x v="6"/>
    <s v="Berlin"/>
    <s v="Europe &gt; Germany &gt; Berlin"/>
    <s v="Small Business"/>
    <x v="1"/>
    <x v="7"/>
    <x v="2"/>
    <x v="538"/>
    <n v="492.62"/>
    <n v="366.7"/>
    <s v="Low"/>
    <n v="8.8999999999999996E-2"/>
    <n v="10"/>
    <n v="3340.6370000000002"/>
    <n v="4926.2"/>
    <n v="-1585.5629999999996"/>
    <n v="-0.47462894052840809"/>
    <n v="202301"/>
    <n v="202301"/>
    <s v="Jan-2023"/>
    <x v="5"/>
  </r>
  <r>
    <x v="540"/>
    <d v="2023-07-08T00:00:00"/>
    <x v="24"/>
    <x v="3"/>
    <d v="2023-07-09T00:00:00"/>
    <n v="1"/>
    <x v="0"/>
    <x v="0"/>
    <s v="Nairobi"/>
    <s v="Africa &gt; Kenya &gt; Nairobi"/>
    <s v="Consumer"/>
    <x v="1"/>
    <x v="14"/>
    <x v="4"/>
    <x v="539"/>
    <n v="1258.72"/>
    <n v="2797.41"/>
    <s v="High"/>
    <n v="0"/>
    <n v="7"/>
    <n v="19581.87"/>
    <n v="8811.0400000000009"/>
    <n v="10770.829999999998"/>
    <n v="0.55004093071805704"/>
    <n v="202307"/>
    <n v="202301"/>
    <s v="Jul-2023"/>
    <x v="23"/>
  </r>
  <r>
    <x v="541"/>
    <d v="2024-06-07T00:00:00"/>
    <x v="17"/>
    <x v="2"/>
    <d v="2024-06-09T00:00:00"/>
    <n v="2"/>
    <x v="1"/>
    <x v="9"/>
    <s v="Shanghai"/>
    <s v="Asia &gt; China &gt; Shanghai"/>
    <s v="Corporate"/>
    <x v="0"/>
    <x v="7"/>
    <x v="5"/>
    <x v="540"/>
    <n v="1370.28"/>
    <n v="2209.66"/>
    <s v="High"/>
    <n v="0.13300000000000001"/>
    <n v="16"/>
    <n v="30652.403519999996"/>
    <n v="21924.48"/>
    <n v="8727.9235199999966"/>
    <n v="0.28473863442079589"/>
    <n v="202406"/>
    <n v="202301"/>
    <s v="Jun-2023"/>
    <x v="17"/>
  </r>
  <r>
    <x v="542"/>
    <d v="2023-02-11T00:00:00"/>
    <x v="2"/>
    <x v="0"/>
    <d v="2023-02-12T00:00:00"/>
    <n v="1"/>
    <x v="0"/>
    <x v="1"/>
    <s v="Port Harcourt"/>
    <s v="Africa &gt; Nigeria &gt; Port Harcourt"/>
    <s v="Non-Profit"/>
    <x v="4"/>
    <x v="14"/>
    <x v="6"/>
    <x v="541"/>
    <n v="944.61"/>
    <n v="839.04"/>
    <s v="Medium"/>
    <n v="5.8999999999999997E-2"/>
    <n v="6"/>
    <n v="4737.2198399999997"/>
    <n v="5667.66"/>
    <n v="-930.44016000000011"/>
    <n v="-0.19641059343363726"/>
    <n v="202302"/>
    <n v="202301"/>
    <s v="Feb-2023"/>
    <x v="2"/>
  </r>
  <r>
    <x v="543"/>
    <d v="2023-07-01T00:00:00"/>
    <x v="24"/>
    <x v="3"/>
    <d v="2023-07-08T00:00:00"/>
    <n v="7"/>
    <x v="3"/>
    <x v="6"/>
    <s v="Frankfurt"/>
    <s v="Europe &gt; Germany &gt; Frankfurt"/>
    <s v="Small Business"/>
    <x v="3"/>
    <x v="13"/>
    <x v="4"/>
    <x v="542"/>
    <n v="460.21"/>
    <n v="1139.1500000000001"/>
    <s v="Low"/>
    <n v="0.115"/>
    <n v="14"/>
    <n v="14114.068500000001"/>
    <n v="6442.94"/>
    <n v="7671.1285000000016"/>
    <n v="0.54350937151821255"/>
    <n v="202307"/>
    <n v="202301"/>
    <s v="Jul-2023"/>
    <x v="23"/>
  </r>
  <r>
    <x v="544"/>
    <d v="2025-08-20T00:00:00"/>
    <x v="28"/>
    <x v="3"/>
    <d v="2025-08-26T00:00:00"/>
    <n v="6"/>
    <x v="2"/>
    <x v="10"/>
    <s v="New York"/>
    <s v="Americas &gt; USA &gt; New York"/>
    <s v="Corporate"/>
    <x v="0"/>
    <x v="12"/>
    <x v="2"/>
    <x v="543"/>
    <n v="1304.95"/>
    <n v="1712.03"/>
    <s v="High"/>
    <n v="0.21199999999999999"/>
    <n v="8"/>
    <n v="10792.637119999999"/>
    <n v="10439.6"/>
    <n v="353.03711999999905"/>
    <n v="3.2710922833287949E-2"/>
    <n v="202508"/>
    <n v="202301"/>
    <s v="Aug-2023"/>
    <x v="29"/>
  </r>
  <r>
    <x v="545"/>
    <d v="2024-03-04T00:00:00"/>
    <x v="0"/>
    <x v="0"/>
    <d v="2024-03-16T00:00:00"/>
    <n v="12"/>
    <x v="0"/>
    <x v="11"/>
    <s v="Johannesburg"/>
    <s v="Africa &gt; South Africa &gt; Johannesburg"/>
    <s v="Enterprise"/>
    <x v="3"/>
    <x v="12"/>
    <x v="5"/>
    <x v="544"/>
    <n v="441.08"/>
    <n v="1054.29"/>
    <s v="Low"/>
    <n v="0.23699999999999999"/>
    <n v="6"/>
    <n v="4826.5396199999996"/>
    <n v="2646.48"/>
    <n v="2180.0596199999995"/>
    <n v="0.45168169985932899"/>
    <n v="202403"/>
    <n v="202301"/>
    <s v="Mar-2023"/>
    <x v="0"/>
  </r>
  <r>
    <x v="546"/>
    <d v="2023-09-08T00:00:00"/>
    <x v="27"/>
    <x v="3"/>
    <d v="2023-10-02T00:00:00"/>
    <n v="24"/>
    <x v="2"/>
    <x v="3"/>
    <s v="Toronto"/>
    <s v="Americas &gt; Canada &gt; Toronto"/>
    <s v="Education"/>
    <x v="4"/>
    <x v="8"/>
    <x v="6"/>
    <x v="545"/>
    <n v="1299.03"/>
    <n v="2451.2199999999998"/>
    <s v="High"/>
    <n v="0.20799999999999999"/>
    <n v="8"/>
    <n v="15530.929919999999"/>
    <n v="10392.24"/>
    <n v="5138.6899199999989"/>
    <n v="0.3308681416032041"/>
    <n v="202309"/>
    <n v="202301"/>
    <s v="Sept-2023"/>
    <x v="28"/>
  </r>
  <r>
    <x v="547"/>
    <d v="2023-02-28T00:00:00"/>
    <x v="2"/>
    <x v="0"/>
    <d v="2023-03-06T00:00:00"/>
    <n v="6"/>
    <x v="3"/>
    <x v="6"/>
    <s v="Frankfurt"/>
    <s v="Europe &gt; Germany &gt; Frankfurt"/>
    <s v="Small Business"/>
    <x v="2"/>
    <x v="14"/>
    <x v="1"/>
    <x v="546"/>
    <n v="880.02"/>
    <n v="1251.21"/>
    <s v="Medium"/>
    <n v="0.123"/>
    <n v="29"/>
    <n v="31822.023930000003"/>
    <n v="25520.579999999998"/>
    <n v="6301.4439300000049"/>
    <n v="0.19802146915172672"/>
    <n v="202302"/>
    <n v="202301"/>
    <s v="Feb-2023"/>
    <x v="2"/>
  </r>
  <r>
    <x v="548"/>
    <d v="2024-07-13T00:00:00"/>
    <x v="14"/>
    <x v="3"/>
    <d v="2024-08-03T00:00:00"/>
    <n v="21"/>
    <x v="2"/>
    <x v="5"/>
    <s v="Rio de Janeiro"/>
    <s v="Americas &gt; Brazil &gt; Rio de Janeiro"/>
    <s v="Corporate"/>
    <x v="2"/>
    <x v="12"/>
    <x v="5"/>
    <x v="547"/>
    <n v="702.98"/>
    <n v="1104.8"/>
    <s v="Medium"/>
    <n v="0.17499999999999999"/>
    <n v="12"/>
    <n v="10937.519999999999"/>
    <n v="8435.76"/>
    <n v="2501.7599999999984"/>
    <n v="0.22873192460448061"/>
    <n v="202407"/>
    <n v="202301"/>
    <s v="Jul-2023"/>
    <x v="14"/>
  </r>
  <r>
    <x v="549"/>
    <d v="2024-12-07T00:00:00"/>
    <x v="6"/>
    <x v="1"/>
    <d v="2024-12-26T00:00:00"/>
    <n v="19"/>
    <x v="3"/>
    <x v="8"/>
    <s v="London"/>
    <s v="Europe &gt; United Kingdom &gt; London"/>
    <s v="Enterprise"/>
    <x v="1"/>
    <x v="14"/>
    <x v="2"/>
    <x v="548"/>
    <n v="1035.24"/>
    <n v="2383.41"/>
    <s v="High"/>
    <n v="0.17"/>
    <n v="15"/>
    <n v="29673.454499999993"/>
    <n v="15528.6"/>
    <n v="14144.854499999992"/>
    <n v="0.47668378145860962"/>
    <n v="202412"/>
    <n v="202301"/>
    <s v="Dec-2023"/>
    <x v="6"/>
  </r>
  <r>
    <x v="550"/>
    <d v="2025-08-06T00:00:00"/>
    <x v="28"/>
    <x v="3"/>
    <d v="2025-08-23T00:00:00"/>
    <n v="17"/>
    <x v="2"/>
    <x v="5"/>
    <s v="Brasília"/>
    <s v="Americas &gt; Brazil &gt; Brasília"/>
    <s v="Consumer"/>
    <x v="3"/>
    <x v="8"/>
    <x v="5"/>
    <x v="549"/>
    <n v="86.64"/>
    <n v="213.06"/>
    <s v="Low"/>
    <n v="0.21199999999999999"/>
    <n v="11"/>
    <n v="1846.8040799999999"/>
    <n v="953.04"/>
    <n v="893.76407999999992"/>
    <n v="0.48395175735154322"/>
    <n v="202508"/>
    <n v="202301"/>
    <s v="Aug-2023"/>
    <x v="29"/>
  </r>
  <r>
    <x v="551"/>
    <d v="2023-03-03T00:00:00"/>
    <x v="22"/>
    <x v="0"/>
    <d v="2023-03-20T00:00:00"/>
    <n v="17"/>
    <x v="1"/>
    <x v="2"/>
    <s v="Nagoya"/>
    <s v="Asia &gt; Japan &gt; Nagoya"/>
    <s v="Small Business"/>
    <x v="1"/>
    <x v="14"/>
    <x v="2"/>
    <x v="550"/>
    <n v="1171.17"/>
    <n v="2030.64"/>
    <s v="High"/>
    <n v="0.157"/>
    <n v="11"/>
    <n v="18830.12472"/>
    <n v="12882.87"/>
    <n v="5947.254719999999"/>
    <n v="0.31583724528830415"/>
    <n v="202303"/>
    <n v="202303"/>
    <s v="Mar-2023"/>
    <x v="5"/>
  </r>
  <r>
    <x v="552"/>
    <d v="2025-02-16T00:00:00"/>
    <x v="26"/>
    <x v="0"/>
    <d v="2025-03-17T00:00:00"/>
    <n v="29"/>
    <x v="3"/>
    <x v="6"/>
    <s v="Munich"/>
    <s v="Europe &gt; Germany &gt; Munich"/>
    <s v="Consumer"/>
    <x v="0"/>
    <x v="4"/>
    <x v="6"/>
    <x v="551"/>
    <n v="730.42"/>
    <n v="956.7"/>
    <s v="Medium"/>
    <n v="4.2000000000000003E-2"/>
    <n v="22"/>
    <n v="20163.409200000002"/>
    <n v="16069.24"/>
    <n v="4094.1692000000021"/>
    <n v="0.20304945256975698"/>
    <n v="202502"/>
    <n v="202301"/>
    <s v="Feb-2023"/>
    <x v="26"/>
  </r>
  <r>
    <x v="553"/>
    <d v="2025-02-15T00:00:00"/>
    <x v="26"/>
    <x v="0"/>
    <d v="2025-03-01T00:00:00"/>
    <n v="14"/>
    <x v="0"/>
    <x v="0"/>
    <s v="Mombasa"/>
    <s v="Africa &gt; Kenya &gt; Mombasa"/>
    <s v="Education"/>
    <x v="4"/>
    <x v="4"/>
    <x v="6"/>
    <x v="552"/>
    <n v="1162.8599999999999"/>
    <n v="1447.68"/>
    <s v="High"/>
    <n v="8.6999999999999994E-2"/>
    <n v="12"/>
    <n v="15860.782080000001"/>
    <n v="13954.32"/>
    <n v="1906.4620800000012"/>
    <n v="0.12019975247021369"/>
    <n v="202502"/>
    <n v="202301"/>
    <s v="Feb-2023"/>
    <x v="26"/>
  </r>
  <r>
    <x v="554"/>
    <d v="2024-08-31T00:00:00"/>
    <x v="21"/>
    <x v="3"/>
    <d v="2024-09-26T00:00:00"/>
    <n v="26"/>
    <x v="1"/>
    <x v="2"/>
    <s v="Tokyo"/>
    <s v="Asia &gt; Japan &gt; Tokyo"/>
    <s v="Education"/>
    <x v="1"/>
    <x v="2"/>
    <x v="3"/>
    <x v="553"/>
    <n v="1189.03"/>
    <n v="2949.62"/>
    <s v="High"/>
    <n v="0.125"/>
    <n v="13"/>
    <n v="33551.927499999998"/>
    <n v="15457.39"/>
    <n v="18094.537499999999"/>
    <n v="0.53929949330034765"/>
    <n v="202408"/>
    <n v="202303"/>
    <s v="Aug-2023"/>
    <x v="17"/>
  </r>
  <r>
    <x v="555"/>
    <d v="2023-05-07T00:00:00"/>
    <x v="15"/>
    <x v="2"/>
    <d v="2023-05-20T00:00:00"/>
    <n v="13"/>
    <x v="1"/>
    <x v="4"/>
    <s v="Mumbai"/>
    <s v="Asia &gt; India &gt; Mumbai"/>
    <s v="Enterprise"/>
    <x v="0"/>
    <x v="14"/>
    <x v="6"/>
    <x v="554"/>
    <n v="1443.28"/>
    <n v="2580.5700000000002"/>
    <s v="High"/>
    <n v="0"/>
    <n v="18"/>
    <n v="46450.26"/>
    <n v="25979.040000000001"/>
    <n v="20471.22"/>
    <n v="0.4407127107577008"/>
    <n v="202305"/>
    <n v="202301"/>
    <s v="May-2023"/>
    <x v="15"/>
  </r>
  <r>
    <x v="556"/>
    <d v="2025-05-14T00:00:00"/>
    <x v="8"/>
    <x v="2"/>
    <d v="2025-05-16T00:00:00"/>
    <n v="2"/>
    <x v="2"/>
    <x v="3"/>
    <s v="Vancouver"/>
    <s v="Americas &gt; Canada &gt; Vancouver"/>
    <s v="Non-Profit"/>
    <x v="3"/>
    <x v="9"/>
    <x v="1"/>
    <x v="555"/>
    <n v="883.5"/>
    <n v="1978.91"/>
    <s v="Medium"/>
    <n v="5.3999999999999999E-2"/>
    <n v="27"/>
    <n v="50545.319219999998"/>
    <n v="23854.5"/>
    <n v="26690.819219999998"/>
    <n v="0.52805718970390547"/>
    <n v="202505"/>
    <n v="202301"/>
    <s v="May-2023"/>
    <x v="8"/>
  </r>
  <r>
    <x v="557"/>
    <d v="2024-03-11T00:00:00"/>
    <x v="0"/>
    <x v="0"/>
    <d v="2024-03-29T00:00:00"/>
    <n v="18"/>
    <x v="2"/>
    <x v="10"/>
    <s v="New York"/>
    <s v="Americas &gt; USA &gt; New York"/>
    <s v="Corporate"/>
    <x v="0"/>
    <x v="12"/>
    <x v="5"/>
    <x v="556"/>
    <n v="710.98"/>
    <n v="1481.45"/>
    <s v="Medium"/>
    <n v="0.21099999999999999"/>
    <n v="9"/>
    <n v="10519.776450000001"/>
    <n v="6398.82"/>
    <n v="4120.9564500000015"/>
    <n v="0.39173422264120461"/>
    <n v="202403"/>
    <n v="202301"/>
    <s v="Mar-2023"/>
    <x v="0"/>
  </r>
  <r>
    <x v="558"/>
    <d v="2024-05-18T00:00:00"/>
    <x v="7"/>
    <x v="2"/>
    <d v="2024-05-22T00:00:00"/>
    <n v="4"/>
    <x v="0"/>
    <x v="0"/>
    <s v="Nairobi"/>
    <s v="Africa &gt; Kenya &gt; Nairobi"/>
    <s v="Corporate"/>
    <x v="4"/>
    <x v="10"/>
    <x v="6"/>
    <x v="557"/>
    <n v="857.42"/>
    <n v="1658.92"/>
    <s v="Medium"/>
    <n v="0.122"/>
    <n v="9"/>
    <n v="13108.78584"/>
    <n v="7716.78"/>
    <n v="5392.0058400000007"/>
    <n v="0.41132763215544305"/>
    <n v="202405"/>
    <n v="202301"/>
    <s v="May-2023"/>
    <x v="7"/>
  </r>
  <r>
    <x v="559"/>
    <d v="2024-01-08T00:00:00"/>
    <x v="9"/>
    <x v="0"/>
    <d v="2024-01-12T00:00:00"/>
    <n v="4"/>
    <x v="1"/>
    <x v="4"/>
    <s v="Bengaluru"/>
    <s v="Asia &gt; India &gt; Bengaluru"/>
    <s v="Corporate"/>
    <x v="4"/>
    <x v="6"/>
    <x v="1"/>
    <x v="558"/>
    <n v="802.32"/>
    <n v="602.34"/>
    <s v="Medium"/>
    <n v="0.12"/>
    <n v="25"/>
    <n v="13251.48"/>
    <n v="20058"/>
    <n v="-6806.52"/>
    <n v="-0.51364224977134632"/>
    <n v="202401"/>
    <n v="202301"/>
    <s v="Jan-2023"/>
    <x v="9"/>
  </r>
  <r>
    <x v="560"/>
    <d v="2024-10-25T00:00:00"/>
    <x v="1"/>
    <x v="1"/>
    <d v="2024-11-05T00:00:00"/>
    <n v="11"/>
    <x v="2"/>
    <x v="10"/>
    <s v="New York"/>
    <s v="Americas &gt; USA &gt; New York"/>
    <s v="Corporate"/>
    <x v="3"/>
    <x v="13"/>
    <x v="0"/>
    <x v="559"/>
    <n v="446.66"/>
    <n v="527.64"/>
    <s v="Low"/>
    <n v="0.14499999999999999"/>
    <n v="15"/>
    <n v="6766.9829999999993"/>
    <n v="6699.9000000000005"/>
    <n v="67.082999999998719"/>
    <n v="9.9132804087137105E-3"/>
    <n v="202410"/>
    <n v="202301"/>
    <s v="Oct-2023"/>
    <x v="1"/>
  </r>
  <r>
    <x v="561"/>
    <d v="2024-11-30T00:00:00"/>
    <x v="18"/>
    <x v="1"/>
    <d v="2024-12-19T00:00:00"/>
    <n v="19"/>
    <x v="0"/>
    <x v="0"/>
    <s v="Kisumu"/>
    <s v="Africa &gt; Kenya &gt; Kisumu"/>
    <s v="Corporate"/>
    <x v="1"/>
    <x v="4"/>
    <x v="3"/>
    <x v="560"/>
    <n v="1195.98"/>
    <n v="1841.9"/>
    <s v="High"/>
    <n v="5.5E-2"/>
    <n v="19"/>
    <n v="33071.3145"/>
    <n v="22723.62"/>
    <n v="10347.694500000001"/>
    <n v="0.31289032977506842"/>
    <n v="202411"/>
    <n v="202301"/>
    <s v="Nov-2023"/>
    <x v="10"/>
  </r>
  <r>
    <x v="562"/>
    <d v="2023-04-13T00:00:00"/>
    <x v="12"/>
    <x v="2"/>
    <d v="2023-05-02T00:00:00"/>
    <n v="19"/>
    <x v="2"/>
    <x v="3"/>
    <s v="Montreal"/>
    <s v="Americas &gt; Canada &gt; Montreal"/>
    <s v="Consumer"/>
    <x v="3"/>
    <x v="6"/>
    <x v="5"/>
    <x v="561"/>
    <n v="671.05"/>
    <n v="1645.48"/>
    <s v="Medium"/>
    <n v="0.13700000000000001"/>
    <n v="6"/>
    <n v="8520.2954399999999"/>
    <n v="4026.2999999999997"/>
    <n v="4493.9954400000006"/>
    <n v="0.52744596377517172"/>
    <n v="202304"/>
    <n v="202301"/>
    <s v="Apr-2023"/>
    <x v="12"/>
  </r>
  <r>
    <x v="563"/>
    <d v="2025-02-04T00:00:00"/>
    <x v="26"/>
    <x v="0"/>
    <d v="2025-02-08T00:00:00"/>
    <n v="4"/>
    <x v="3"/>
    <x v="8"/>
    <s v="Manchester"/>
    <s v="Europe &gt; United Kingdom &gt; Manchester"/>
    <s v="Enterprise"/>
    <x v="2"/>
    <x v="4"/>
    <x v="2"/>
    <x v="562"/>
    <n v="586.21"/>
    <n v="727.22"/>
    <s v="Medium"/>
    <n v="6.8000000000000005E-2"/>
    <n v="15"/>
    <n v="10166.535600000001"/>
    <n v="8793.1500000000015"/>
    <n v="1373.3855999999996"/>
    <n v="0.13508884973559721"/>
    <n v="202502"/>
    <n v="202301"/>
    <s v="Feb-2023"/>
    <x v="26"/>
  </r>
  <r>
    <x v="564"/>
    <d v="2024-01-24T00:00:00"/>
    <x v="9"/>
    <x v="0"/>
    <d v="2024-02-04T00:00:00"/>
    <n v="11"/>
    <x v="3"/>
    <x v="8"/>
    <s v="Manchester"/>
    <s v="Europe &gt; United Kingdom &gt; Manchester"/>
    <s v="Consumer"/>
    <x v="0"/>
    <x v="5"/>
    <x v="4"/>
    <x v="563"/>
    <n v="525.34"/>
    <n v="1233.79"/>
    <s v="Medium"/>
    <n v="0.14299999999999999"/>
    <n v="4"/>
    <n v="4229.4321199999995"/>
    <n v="2101.36"/>
    <n v="2128.0721199999994"/>
    <n v="0.50315788494082736"/>
    <n v="202401"/>
    <n v="202301"/>
    <s v="Jan-2023"/>
    <x v="9"/>
  </r>
  <r>
    <x v="565"/>
    <d v="2024-02-08T00:00:00"/>
    <x v="31"/>
    <x v="0"/>
    <d v="2024-02-09T00:00:00"/>
    <n v="1"/>
    <x v="0"/>
    <x v="0"/>
    <s v="Mombasa"/>
    <s v="Africa &gt; Kenya &gt; Mombasa"/>
    <s v="Corporate"/>
    <x v="4"/>
    <x v="9"/>
    <x v="0"/>
    <x v="564"/>
    <n v="1233.52"/>
    <n v="1543.76"/>
    <s v="High"/>
    <n v="0.126"/>
    <n v="13"/>
    <n v="17540.201120000002"/>
    <n v="16035.76"/>
    <n v="1504.4411200000013"/>
    <n v="8.5771030201277493E-2"/>
    <n v="202402"/>
    <n v="202301"/>
    <s v="Feb-2023"/>
    <x v="32"/>
  </r>
  <r>
    <x v="566"/>
    <d v="2025-06-26T00:00:00"/>
    <x v="16"/>
    <x v="2"/>
    <d v="2025-07-11T00:00:00"/>
    <n v="15"/>
    <x v="0"/>
    <x v="1"/>
    <s v="Port Harcourt"/>
    <s v="Africa &gt; Nigeria &gt; Port Harcourt"/>
    <s v="Small Business"/>
    <x v="1"/>
    <x v="8"/>
    <x v="4"/>
    <x v="565"/>
    <n v="1170.1500000000001"/>
    <n v="2115.19"/>
    <s v="High"/>
    <n v="9.1999999999999998E-2"/>
    <n v="23"/>
    <n v="44173.627960000005"/>
    <n v="26913.45"/>
    <n v="17260.177960000005"/>
    <n v="0.39073489674946776"/>
    <n v="202506"/>
    <n v="202301"/>
    <s v="Jun-2023"/>
    <x v="16"/>
  </r>
  <r>
    <x v="567"/>
    <d v="2024-11-04T00:00:00"/>
    <x v="18"/>
    <x v="1"/>
    <d v="2024-11-07T00:00:00"/>
    <n v="3"/>
    <x v="3"/>
    <x v="7"/>
    <s v="Lyon"/>
    <s v="Europe &gt; France &gt; Lyon"/>
    <s v="Corporate"/>
    <x v="1"/>
    <x v="7"/>
    <x v="5"/>
    <x v="566"/>
    <n v="740.68"/>
    <n v="1837.19"/>
    <s v="Medium"/>
    <n v="0.19700000000000001"/>
    <n v="17"/>
    <n v="25079.480689999997"/>
    <n v="12591.56"/>
    <n v="12487.920689999997"/>
    <n v="0.4979337827748298"/>
    <n v="202411"/>
    <n v="202301"/>
    <s v="Nov-2023"/>
    <x v="10"/>
  </r>
  <r>
    <x v="568"/>
    <d v="2024-02-20T00:00:00"/>
    <x v="31"/>
    <x v="0"/>
    <d v="2024-02-20T00:00:00"/>
    <n v="0"/>
    <x v="2"/>
    <x v="10"/>
    <s v="New York"/>
    <s v="Americas &gt; USA &gt; New York"/>
    <s v="Enterprise"/>
    <x v="1"/>
    <x v="0"/>
    <x v="2"/>
    <x v="567"/>
    <n v="1407.05"/>
    <n v="2858.93"/>
    <s v="High"/>
    <n v="0"/>
    <n v="12"/>
    <n v="34307.159999999996"/>
    <n v="16884.599999999999"/>
    <n v="17422.559999999998"/>
    <n v="0.50784034586366222"/>
    <n v="202402"/>
    <n v="202301"/>
    <s v="Feb-2023"/>
    <x v="32"/>
  </r>
  <r>
    <x v="569"/>
    <d v="2025-04-13T00:00:00"/>
    <x v="19"/>
    <x v="2"/>
    <d v="2025-04-14T00:00:00"/>
    <n v="1"/>
    <x v="1"/>
    <x v="2"/>
    <s v="Osaka"/>
    <s v="Asia &gt; Japan &gt; Osaka"/>
    <s v="Enterprise"/>
    <x v="1"/>
    <x v="3"/>
    <x v="0"/>
    <x v="568"/>
    <n v="138.9"/>
    <n v="289.92"/>
    <s v="Low"/>
    <n v="2.9000000000000001E-2"/>
    <n v="12"/>
    <n v="3378.1478400000001"/>
    <n v="1666.8000000000002"/>
    <n v="1711.3478399999999"/>
    <n v="0.50659353025828491"/>
    <n v="202504"/>
    <n v="202303"/>
    <s v="Apr-2023"/>
    <x v="26"/>
  </r>
  <r>
    <x v="570"/>
    <d v="2023-06-01T00:00:00"/>
    <x v="23"/>
    <x v="2"/>
    <d v="2023-06-01T00:00:00"/>
    <n v="0"/>
    <x v="1"/>
    <x v="4"/>
    <s v="Bengaluru"/>
    <s v="Asia &gt; India &gt; Bengaluru"/>
    <s v="Corporate"/>
    <x v="0"/>
    <x v="6"/>
    <x v="6"/>
    <x v="569"/>
    <n v="669.37"/>
    <n v="997.2"/>
    <s v="Medium"/>
    <n v="8.2000000000000003E-2"/>
    <n v="5"/>
    <n v="4577.1480000000001"/>
    <n v="3346.85"/>
    <n v="1230.2980000000002"/>
    <n v="0.26879139586484863"/>
    <n v="202306"/>
    <n v="202301"/>
    <s v="Jun-2023"/>
    <x v="22"/>
  </r>
  <r>
    <x v="571"/>
    <d v="2025-03-24T00:00:00"/>
    <x v="3"/>
    <x v="0"/>
    <d v="2025-04-04T00:00:00"/>
    <n v="11"/>
    <x v="1"/>
    <x v="4"/>
    <s v="Mumbai"/>
    <s v="Asia &gt; India &gt; Mumbai"/>
    <s v="Education"/>
    <x v="2"/>
    <x v="1"/>
    <x v="3"/>
    <x v="570"/>
    <n v="23.83"/>
    <n v="47.29"/>
    <s v="Low"/>
    <n v="6.4000000000000001E-2"/>
    <n v="19"/>
    <n v="841.00536"/>
    <n v="452.77"/>
    <n v="388.23536000000001"/>
    <n v="0.46163244429262618"/>
    <n v="202503"/>
    <n v="202301"/>
    <s v="Mar-2023"/>
    <x v="3"/>
  </r>
  <r>
    <x v="572"/>
    <d v="2024-01-02T00:00:00"/>
    <x v="9"/>
    <x v="0"/>
    <d v="2024-01-02T00:00:00"/>
    <n v="0"/>
    <x v="2"/>
    <x v="3"/>
    <s v="Vancouver"/>
    <s v="Americas &gt; Canada &gt; Vancouver"/>
    <s v="Education"/>
    <x v="4"/>
    <x v="8"/>
    <x v="4"/>
    <x v="571"/>
    <n v="444.41"/>
    <n v="754.24"/>
    <s v="Low"/>
    <n v="0.20699999999999999"/>
    <n v="32"/>
    <n v="19139.594240000002"/>
    <n v="14221.12"/>
    <n v="4918.4742400000014"/>
    <n v="0.25697902360546598"/>
    <n v="202401"/>
    <n v="202301"/>
    <s v="Jan-2023"/>
    <x v="9"/>
  </r>
  <r>
    <x v="573"/>
    <d v="2023-12-19T00:00:00"/>
    <x v="4"/>
    <x v="1"/>
    <d v="2024-01-01T00:00:00"/>
    <n v="13"/>
    <x v="2"/>
    <x v="3"/>
    <s v="Toronto"/>
    <s v="Americas &gt; Canada &gt; Toronto"/>
    <s v="Enterprise"/>
    <x v="0"/>
    <x v="11"/>
    <x v="5"/>
    <x v="572"/>
    <n v="856.1"/>
    <n v="901.48"/>
    <s v="Medium"/>
    <n v="5.6000000000000001E-2"/>
    <n v="17"/>
    <n v="14466.95104"/>
    <n v="14553.7"/>
    <n v="-86.748960000000807"/>
    <n v="-5.9963540182134192E-3"/>
    <n v="202312"/>
    <n v="202301"/>
    <s v="Dec-2023"/>
    <x v="27"/>
  </r>
  <r>
    <x v="574"/>
    <d v="2023-04-26T00:00:00"/>
    <x v="12"/>
    <x v="2"/>
    <d v="2023-04-26T00:00:00"/>
    <n v="0"/>
    <x v="3"/>
    <x v="7"/>
    <s v="Marseille"/>
    <s v="Europe &gt; France &gt; Marseille"/>
    <s v="Consumer"/>
    <x v="4"/>
    <x v="12"/>
    <x v="0"/>
    <x v="573"/>
    <n v="81.489999999999995"/>
    <n v="113.08"/>
    <s v="Low"/>
    <n v="0.121"/>
    <n v="5"/>
    <n v="496.98660000000001"/>
    <n v="407.45"/>
    <n v="89.536600000000021"/>
    <n v="0.18015898215364362"/>
    <n v="202304"/>
    <n v="202301"/>
    <s v="Apr-2023"/>
    <x v="12"/>
  </r>
  <r>
    <x v="575"/>
    <d v="2025-08-03T00:00:00"/>
    <x v="28"/>
    <x v="3"/>
    <d v="2025-08-16T00:00:00"/>
    <n v="13"/>
    <x v="2"/>
    <x v="3"/>
    <s v="Montreal"/>
    <s v="Americas &gt; Canada &gt; Montreal"/>
    <s v="Enterprise"/>
    <x v="3"/>
    <x v="7"/>
    <x v="2"/>
    <x v="574"/>
    <n v="698.66"/>
    <n v="868.62"/>
    <s v="Medium"/>
    <n v="7.1999999999999995E-2"/>
    <n v="15"/>
    <n v="12091.190399999999"/>
    <n v="10479.9"/>
    <n v="1611.2903999999999"/>
    <n v="0.13326151906432637"/>
    <n v="202508"/>
    <n v="202301"/>
    <s v="Aug-2023"/>
    <x v="29"/>
  </r>
  <r>
    <x v="576"/>
    <d v="2023-08-02T00:00:00"/>
    <x v="25"/>
    <x v="3"/>
    <d v="2023-08-19T00:00:00"/>
    <n v="17"/>
    <x v="2"/>
    <x v="3"/>
    <s v="Vancouver"/>
    <s v="Americas &gt; Canada &gt; Vancouver"/>
    <s v="Corporate"/>
    <x v="1"/>
    <x v="9"/>
    <x v="2"/>
    <x v="575"/>
    <n v="175.38"/>
    <n v="347.9"/>
    <s v="Low"/>
    <n v="7.1999999999999995E-2"/>
    <n v="43"/>
    <n v="13882.6016"/>
    <n v="7541.34"/>
    <n v="6341.2615999999998"/>
    <n v="0.45677761148169804"/>
    <n v="202308"/>
    <n v="202301"/>
    <s v="Aug-2023"/>
    <x v="25"/>
  </r>
  <r>
    <x v="577"/>
    <d v="2023-06-15T00:00:00"/>
    <x v="23"/>
    <x v="2"/>
    <d v="2023-07-12T00:00:00"/>
    <n v="27"/>
    <x v="3"/>
    <x v="8"/>
    <s v="Manchester"/>
    <s v="Europe &gt; United Kingdom &gt; Manchester"/>
    <s v="Consumer"/>
    <x v="4"/>
    <x v="2"/>
    <x v="6"/>
    <x v="576"/>
    <n v="751.28"/>
    <n v="1111.8800000000001"/>
    <s v="Medium"/>
    <n v="0.13500000000000001"/>
    <n v="7"/>
    <n v="6732.4334000000008"/>
    <n v="5258.96"/>
    <n v="1473.4734000000008"/>
    <n v="0.21886193482433863"/>
    <n v="202306"/>
    <n v="202301"/>
    <s v="Jun-2023"/>
    <x v="22"/>
  </r>
  <r>
    <x v="578"/>
    <d v="2024-11-11T00:00:00"/>
    <x v="18"/>
    <x v="1"/>
    <d v="2024-11-24T00:00:00"/>
    <n v="13"/>
    <x v="3"/>
    <x v="8"/>
    <s v="London"/>
    <s v="Europe &gt; United Kingdom &gt; London"/>
    <s v="Corporate"/>
    <x v="0"/>
    <x v="6"/>
    <x v="2"/>
    <x v="577"/>
    <n v="164.53"/>
    <n v="327.72"/>
    <s v="Low"/>
    <n v="6.7000000000000004E-2"/>
    <n v="14"/>
    <n v="4280.6786400000001"/>
    <n v="2303.42"/>
    <n v="1977.25864"/>
    <n v="0.46190307805960412"/>
    <n v="202411"/>
    <n v="202301"/>
    <s v="Nov-2023"/>
    <x v="10"/>
  </r>
  <r>
    <x v="579"/>
    <d v="2025-07-11T00:00:00"/>
    <x v="13"/>
    <x v="3"/>
    <d v="2025-08-03T00:00:00"/>
    <n v="23"/>
    <x v="0"/>
    <x v="0"/>
    <s v="Nakuru"/>
    <s v="Africa &gt; Kenya &gt; Nakuru"/>
    <s v="Small Business"/>
    <x v="0"/>
    <x v="0"/>
    <x v="3"/>
    <x v="578"/>
    <n v="389.93"/>
    <n v="486.13"/>
    <s v="Low"/>
    <n v="0.13200000000000001"/>
    <n v="17"/>
    <n v="7173.3342799999991"/>
    <n v="6628.81"/>
    <n v="544.52427999999873"/>
    <n v="7.5909508569562828E-2"/>
    <n v="202507"/>
    <n v="202301"/>
    <s v="Jul-2023"/>
    <x v="13"/>
  </r>
  <r>
    <x v="580"/>
    <d v="2023-06-03T00:00:00"/>
    <x v="23"/>
    <x v="2"/>
    <d v="2023-07-01T00:00:00"/>
    <n v="28"/>
    <x v="2"/>
    <x v="5"/>
    <s v="Brasília"/>
    <s v="Americas &gt; Brazil &gt; Brasília"/>
    <s v="Small Business"/>
    <x v="2"/>
    <x v="8"/>
    <x v="0"/>
    <x v="579"/>
    <n v="860.4"/>
    <n v="2066.6"/>
    <s v="Medium"/>
    <n v="0.01"/>
    <n v="3"/>
    <n v="6137.8019999999988"/>
    <n v="2581.1999999999998"/>
    <n v="3556.601999999999"/>
    <n v="0.57945857491004105"/>
    <n v="202306"/>
    <n v="202301"/>
    <s v="Jun-2023"/>
    <x v="22"/>
  </r>
  <r>
    <x v="581"/>
    <d v="2023-01-29T00:00:00"/>
    <x v="5"/>
    <x v="0"/>
    <d v="2023-02-06T00:00:00"/>
    <n v="8"/>
    <x v="2"/>
    <x v="5"/>
    <s v="Brasília"/>
    <s v="Americas &gt; Brazil &gt; Brasília"/>
    <s v="Corporate"/>
    <x v="2"/>
    <x v="14"/>
    <x v="5"/>
    <x v="580"/>
    <n v="41.84"/>
    <n v="86.2"/>
    <s v="Low"/>
    <n v="0.22600000000000001"/>
    <n v="27"/>
    <n v="1801.4076000000002"/>
    <n v="1129.68"/>
    <n v="671.72760000000017"/>
    <n v="0.37289039970742882"/>
    <n v="202301"/>
    <n v="202301"/>
    <s v="Jan-2023"/>
    <x v="5"/>
  </r>
  <r>
    <x v="582"/>
    <d v="2024-09-06T00:00:00"/>
    <x v="29"/>
    <x v="3"/>
    <d v="2024-09-08T00:00:00"/>
    <n v="2"/>
    <x v="1"/>
    <x v="2"/>
    <s v="Osaka"/>
    <s v="Asia &gt; Japan &gt; Osaka"/>
    <s v="Corporate"/>
    <x v="4"/>
    <x v="8"/>
    <x v="4"/>
    <x v="581"/>
    <n v="1368.17"/>
    <n v="2307.75"/>
    <s v="High"/>
    <n v="0.16300000000000001"/>
    <n v="21"/>
    <n v="40563.321749999996"/>
    <n v="28731.57"/>
    <n v="11831.751749999996"/>
    <n v="0.29168596750831921"/>
    <n v="202409"/>
    <n v="202303"/>
    <s v="Sept-2023"/>
    <x v="14"/>
  </r>
  <r>
    <x v="583"/>
    <d v="2024-08-03T00:00:00"/>
    <x v="21"/>
    <x v="3"/>
    <d v="2024-08-09T00:00:00"/>
    <n v="6"/>
    <x v="0"/>
    <x v="0"/>
    <s v="Mombasa"/>
    <s v="Africa &gt; Kenya &gt; Mombasa"/>
    <s v="Consumer"/>
    <x v="2"/>
    <x v="10"/>
    <x v="4"/>
    <x v="582"/>
    <n v="643.21"/>
    <n v="1112.81"/>
    <s v="Medium"/>
    <n v="0.14099999999999999"/>
    <n v="4"/>
    <n v="3823.6151599999998"/>
    <n v="2572.84"/>
    <n v="1250.7751599999997"/>
    <n v="0.32711847496702562"/>
    <n v="202408"/>
    <n v="202301"/>
    <s v="Aug-2023"/>
    <x v="20"/>
  </r>
  <r>
    <x v="584"/>
    <d v="2025-04-17T00:00:00"/>
    <x v="19"/>
    <x v="2"/>
    <d v="2025-04-17T00:00:00"/>
    <n v="0"/>
    <x v="2"/>
    <x v="5"/>
    <s v="São Paulo"/>
    <s v="Americas &gt; Brazil &gt; São Paulo"/>
    <s v="Corporate"/>
    <x v="3"/>
    <x v="4"/>
    <x v="3"/>
    <x v="583"/>
    <n v="719.41"/>
    <n v="1125.99"/>
    <s v="Medium"/>
    <n v="4.1000000000000002E-2"/>
    <n v="21"/>
    <n v="22676.312610000001"/>
    <n v="15107.609999999999"/>
    <n v="7568.7026100000021"/>
    <n v="0.33377131194876403"/>
    <n v="202504"/>
    <n v="202301"/>
    <s v="Apr-2023"/>
    <x v="18"/>
  </r>
  <r>
    <x v="585"/>
    <d v="2023-05-03T00:00:00"/>
    <x v="15"/>
    <x v="2"/>
    <d v="2023-05-16T00:00:00"/>
    <n v="13"/>
    <x v="2"/>
    <x v="10"/>
    <s v="New York"/>
    <s v="Americas &gt; USA &gt; New York"/>
    <s v="Corporate"/>
    <x v="2"/>
    <x v="4"/>
    <x v="3"/>
    <x v="584"/>
    <n v="64.5"/>
    <n v="123.62"/>
    <s v="Low"/>
    <n v="0"/>
    <n v="3"/>
    <n v="370.86"/>
    <n v="193.5"/>
    <n v="177.36"/>
    <n v="0.47823976702798904"/>
    <n v="202305"/>
    <n v="202301"/>
    <s v="May-2023"/>
    <x v="15"/>
  </r>
  <r>
    <x v="586"/>
    <d v="2024-03-13T00:00:00"/>
    <x v="0"/>
    <x v="0"/>
    <d v="2024-04-06T00:00:00"/>
    <n v="24"/>
    <x v="0"/>
    <x v="1"/>
    <s v="Abuja"/>
    <s v="Africa &gt; Nigeria &gt; Abuja"/>
    <s v="Consumer"/>
    <x v="3"/>
    <x v="4"/>
    <x v="0"/>
    <x v="585"/>
    <n v="1232.78"/>
    <n v="1731.75"/>
    <s v="High"/>
    <n v="9.2999999999999999E-2"/>
    <n v="16"/>
    <n v="25131.155999999999"/>
    <n v="19724.48"/>
    <n v="5406.6759999999995"/>
    <n v="0.21513837246484005"/>
    <n v="202403"/>
    <n v="202301"/>
    <s v="Mar-2023"/>
    <x v="0"/>
  </r>
  <r>
    <x v="587"/>
    <d v="2024-06-16T00:00:00"/>
    <x v="17"/>
    <x v="2"/>
    <d v="2024-06-21T00:00:00"/>
    <n v="5"/>
    <x v="1"/>
    <x v="2"/>
    <s v="Tokyo"/>
    <s v="Asia &gt; Japan &gt; Tokyo"/>
    <s v="Small Business"/>
    <x v="3"/>
    <x v="9"/>
    <x v="3"/>
    <x v="586"/>
    <n v="1367.13"/>
    <n v="3062.01"/>
    <s v="High"/>
    <n v="0.10299999999999999"/>
    <n v="25"/>
    <n v="68665.574250000005"/>
    <n v="34178.25"/>
    <n v="34487.324250000005"/>
    <n v="0.50225057645971705"/>
    <n v="202406"/>
    <n v="202303"/>
    <s v="Jun-2023"/>
    <x v="19"/>
  </r>
  <r>
    <x v="588"/>
    <d v="2025-02-15T00:00:00"/>
    <x v="26"/>
    <x v="0"/>
    <d v="2025-02-27T00:00:00"/>
    <n v="12"/>
    <x v="3"/>
    <x v="7"/>
    <s v="Lyon"/>
    <s v="Europe &gt; France &gt; Lyon"/>
    <s v="Non-Profit"/>
    <x v="4"/>
    <x v="11"/>
    <x v="6"/>
    <x v="587"/>
    <n v="1027.26"/>
    <n v="2200.41"/>
    <s v="High"/>
    <n v="8.7999999999999995E-2"/>
    <n v="6"/>
    <n v="12040.64352"/>
    <n v="6163.5599999999995"/>
    <n v="5877.0835200000001"/>
    <n v="0.48810377204822358"/>
    <n v="202502"/>
    <n v="202301"/>
    <s v="Feb-2023"/>
    <x v="26"/>
  </r>
  <r>
    <x v="589"/>
    <d v="2023-04-03T00:00:00"/>
    <x v="12"/>
    <x v="2"/>
    <d v="2023-04-16T00:00:00"/>
    <n v="13"/>
    <x v="3"/>
    <x v="7"/>
    <s v="Marseille"/>
    <s v="Europe &gt; France &gt; Marseille"/>
    <s v="Non-Profit"/>
    <x v="2"/>
    <x v="12"/>
    <x v="6"/>
    <x v="588"/>
    <n v="790.54"/>
    <n v="601.49"/>
    <s v="Medium"/>
    <n v="0"/>
    <n v="15"/>
    <n v="9022.35"/>
    <n v="11858.099999999999"/>
    <n v="-2835.7499999999982"/>
    <n v="-0.31430281467688553"/>
    <n v="202304"/>
    <n v="202301"/>
    <s v="Apr-2023"/>
    <x v="12"/>
  </r>
  <r>
    <x v="590"/>
    <d v="2025-08-30T00:00:00"/>
    <x v="28"/>
    <x v="3"/>
    <d v="2025-09-22T00:00:00"/>
    <n v="23"/>
    <x v="3"/>
    <x v="7"/>
    <s v="Marseille"/>
    <s v="Europe &gt; France &gt; Marseille"/>
    <s v="Corporate"/>
    <x v="4"/>
    <x v="6"/>
    <x v="0"/>
    <x v="589"/>
    <n v="663.9"/>
    <n v="947.77"/>
    <s v="Medium"/>
    <n v="0.17399999999999999"/>
    <n v="15"/>
    <n v="11742.8703"/>
    <n v="9958.5"/>
    <n v="1784.3703000000005"/>
    <n v="0.1519535049280073"/>
    <n v="202508"/>
    <n v="202301"/>
    <s v="Aug-2023"/>
    <x v="29"/>
  </r>
  <r>
    <x v="591"/>
    <d v="2023-02-27T00:00:00"/>
    <x v="2"/>
    <x v="0"/>
    <d v="2023-02-28T00:00:00"/>
    <n v="1"/>
    <x v="2"/>
    <x v="10"/>
    <s v="San Francisco"/>
    <s v="Americas &gt; USA &gt; San Francisco"/>
    <s v="Non-Profit"/>
    <x v="1"/>
    <x v="4"/>
    <x v="2"/>
    <x v="590"/>
    <n v="1015.91"/>
    <n v="2331.48"/>
    <s v="High"/>
    <n v="0.14599999999999999"/>
    <n v="26"/>
    <n v="51768.181920000003"/>
    <n v="26413.66"/>
    <n v="25354.521920000003"/>
    <n v="0.48977037592669626"/>
    <n v="202302"/>
    <n v="202301"/>
    <s v="Feb-2023"/>
    <x v="2"/>
  </r>
  <r>
    <x v="592"/>
    <d v="2024-07-31T00:00:00"/>
    <x v="14"/>
    <x v="3"/>
    <d v="2024-08-15T00:00:00"/>
    <n v="15"/>
    <x v="1"/>
    <x v="2"/>
    <s v="Tokyo"/>
    <s v="Asia &gt; Japan &gt; Tokyo"/>
    <s v="Corporate"/>
    <x v="2"/>
    <x v="9"/>
    <x v="5"/>
    <x v="591"/>
    <n v="1252.52"/>
    <n v="1417.24"/>
    <s v="High"/>
    <n v="0.192"/>
    <n v="5"/>
    <n v="5725.6496000000006"/>
    <n v="6262.6"/>
    <n v="-536.95039999999972"/>
    <n v="-9.3779821943696953E-2"/>
    <n v="202407"/>
    <n v="202303"/>
    <s v="Jul-2023"/>
    <x v="7"/>
  </r>
  <r>
    <x v="593"/>
    <d v="2025-06-15T00:00:00"/>
    <x v="16"/>
    <x v="2"/>
    <d v="2025-07-12T00:00:00"/>
    <n v="27"/>
    <x v="3"/>
    <x v="7"/>
    <s v="Marseille"/>
    <s v="Europe &gt; France &gt; Marseille"/>
    <s v="Consumer"/>
    <x v="4"/>
    <x v="0"/>
    <x v="6"/>
    <x v="592"/>
    <n v="318.83"/>
    <n v="699.5"/>
    <s v="Low"/>
    <n v="0.08"/>
    <n v="13"/>
    <n v="8366.02"/>
    <n v="4144.79"/>
    <n v="4221.2300000000005"/>
    <n v="0.50456848059172699"/>
    <n v="202506"/>
    <n v="202301"/>
    <s v="Jun-2023"/>
    <x v="16"/>
  </r>
  <r>
    <x v="594"/>
    <d v="2024-06-30T00:00:00"/>
    <x v="17"/>
    <x v="2"/>
    <d v="2024-07-21T00:00:00"/>
    <n v="21"/>
    <x v="0"/>
    <x v="0"/>
    <s v="Kisumu"/>
    <s v="Africa &gt; Kenya &gt; Kisumu"/>
    <s v="Small Business"/>
    <x v="0"/>
    <x v="11"/>
    <x v="4"/>
    <x v="593"/>
    <n v="753.43"/>
    <n v="1787.2"/>
    <s v="Medium"/>
    <n v="7.2999999999999995E-2"/>
    <n v="9"/>
    <n v="14910.609600000002"/>
    <n v="6780.87"/>
    <n v="8129.7396000000017"/>
    <n v="0.54523187301476939"/>
    <n v="202406"/>
    <n v="202301"/>
    <s v="Jun-2023"/>
    <x v="17"/>
  </r>
  <r>
    <x v="595"/>
    <d v="2025-02-17T00:00:00"/>
    <x v="26"/>
    <x v="0"/>
    <d v="2025-02-19T00:00:00"/>
    <n v="2"/>
    <x v="2"/>
    <x v="3"/>
    <s v="Toronto"/>
    <s v="Americas &gt; Canada &gt; Toronto"/>
    <s v="Small Business"/>
    <x v="0"/>
    <x v="14"/>
    <x v="0"/>
    <x v="594"/>
    <n v="1133.47"/>
    <n v="1698.75"/>
    <s v="High"/>
    <n v="4.2999999999999997E-2"/>
    <n v="5"/>
    <n v="8128.5187499999993"/>
    <n v="5667.35"/>
    <n v="2461.1687499999989"/>
    <n v="0.30278194904821976"/>
    <n v="202502"/>
    <n v="202301"/>
    <s v="Feb-2023"/>
    <x v="26"/>
  </r>
  <r>
    <x v="596"/>
    <d v="2023-01-07T00:00:00"/>
    <x v="5"/>
    <x v="0"/>
    <d v="2023-01-30T00:00:00"/>
    <n v="23"/>
    <x v="0"/>
    <x v="11"/>
    <s v="Cape Town"/>
    <s v="Africa &gt; South Africa &gt; Cape Town"/>
    <s v="Consumer"/>
    <x v="1"/>
    <x v="8"/>
    <x v="1"/>
    <x v="595"/>
    <n v="299.02"/>
    <n v="724.7"/>
    <s v="Low"/>
    <n v="0.14000000000000001"/>
    <n v="5"/>
    <n v="3116.21"/>
    <n v="1495.1"/>
    <n v="1621.1100000000001"/>
    <n v="0.52021847051386139"/>
    <n v="202301"/>
    <n v="202301"/>
    <s v="Jan-2023"/>
    <x v="5"/>
  </r>
  <r>
    <x v="597"/>
    <d v="2025-03-10T00:00:00"/>
    <x v="3"/>
    <x v="0"/>
    <d v="2025-04-04T00:00:00"/>
    <n v="25"/>
    <x v="1"/>
    <x v="2"/>
    <s v="Osaka"/>
    <s v="Asia &gt; Japan &gt; Osaka"/>
    <s v="Corporate"/>
    <x v="4"/>
    <x v="10"/>
    <x v="1"/>
    <x v="596"/>
    <n v="783.72"/>
    <n v="1355.94"/>
    <s v="Medium"/>
    <n v="0.187"/>
    <n v="4"/>
    <n v="4409.5168800000001"/>
    <n v="3134.88"/>
    <n v="1274.63688"/>
    <n v="0.28906497348525856"/>
    <n v="202503"/>
    <n v="202303"/>
    <s v="Mar-2023"/>
    <x v="24"/>
  </r>
  <r>
    <x v="598"/>
    <d v="2024-08-17T00:00:00"/>
    <x v="21"/>
    <x v="3"/>
    <d v="2024-08-19T00:00:00"/>
    <n v="2"/>
    <x v="2"/>
    <x v="5"/>
    <s v="Rio de Janeiro"/>
    <s v="Americas &gt; Brazil &gt; Rio de Janeiro"/>
    <s v="Consumer"/>
    <x v="4"/>
    <x v="12"/>
    <x v="5"/>
    <x v="597"/>
    <n v="165.3"/>
    <n v="275.07"/>
    <s v="Low"/>
    <n v="0.13300000000000001"/>
    <n v="25"/>
    <n v="5962.1422499999999"/>
    <n v="4132.5"/>
    <n v="1829.6422499999999"/>
    <n v="0.30687665159280625"/>
    <n v="202408"/>
    <n v="202301"/>
    <s v="Aug-2023"/>
    <x v="20"/>
  </r>
  <r>
    <x v="599"/>
    <d v="2024-03-09T00:00:00"/>
    <x v="0"/>
    <x v="0"/>
    <d v="2024-03-22T00:00:00"/>
    <n v="13"/>
    <x v="3"/>
    <x v="8"/>
    <s v="Manchester"/>
    <s v="Europe &gt; United Kingdom &gt; Manchester"/>
    <s v="Consumer"/>
    <x v="1"/>
    <x v="6"/>
    <x v="4"/>
    <x v="598"/>
    <n v="985.45"/>
    <n v="1802.44"/>
    <s v="Medium"/>
    <n v="8.9999999999999993E-3"/>
    <n v="19"/>
    <n v="33938.142760000002"/>
    <n v="18723.55"/>
    <n v="15214.592760000003"/>
    <n v="0.44830363486867486"/>
    <n v="202403"/>
    <n v="202301"/>
    <s v="Mar-2023"/>
    <x v="0"/>
  </r>
  <r>
    <x v="600"/>
    <d v="2024-08-19T00:00:00"/>
    <x v="21"/>
    <x v="3"/>
    <d v="2024-09-02T00:00:00"/>
    <n v="14"/>
    <x v="2"/>
    <x v="3"/>
    <s v="Toronto"/>
    <s v="Americas &gt; Canada &gt; Toronto"/>
    <s v="Consumer"/>
    <x v="3"/>
    <x v="0"/>
    <x v="1"/>
    <x v="599"/>
    <n v="1337.01"/>
    <n v="1269.78"/>
    <s v="High"/>
    <n v="0.16"/>
    <n v="7"/>
    <n v="7466.3063999999986"/>
    <n v="9359.07"/>
    <n v="-1892.7636000000011"/>
    <n v="-0.25350735672996244"/>
    <n v="202408"/>
    <n v="202301"/>
    <s v="Aug-2023"/>
    <x v="20"/>
  </r>
  <r>
    <x v="601"/>
    <d v="2025-08-11T00:00:00"/>
    <x v="28"/>
    <x v="3"/>
    <d v="2025-08-28T00:00:00"/>
    <n v="17"/>
    <x v="3"/>
    <x v="7"/>
    <s v="Paris"/>
    <s v="Europe &gt; France &gt; Paris"/>
    <s v="Education"/>
    <x v="1"/>
    <x v="9"/>
    <x v="2"/>
    <x v="600"/>
    <n v="416.16"/>
    <n v="571.9"/>
    <s v="Low"/>
    <n v="7.0999999999999994E-2"/>
    <n v="2"/>
    <n v="1062.5902000000001"/>
    <n v="832.32"/>
    <n v="230.27020000000005"/>
    <n v="0.21670649701079497"/>
    <n v="202508"/>
    <n v="202301"/>
    <s v="Aug-2023"/>
    <x v="29"/>
  </r>
  <r>
    <x v="602"/>
    <d v="2025-05-16T00:00:00"/>
    <x v="8"/>
    <x v="2"/>
    <d v="2025-05-18T00:00:00"/>
    <n v="2"/>
    <x v="1"/>
    <x v="2"/>
    <s v="Tokyo"/>
    <s v="Asia &gt; Japan &gt; Tokyo"/>
    <s v="Enterprise"/>
    <x v="0"/>
    <x v="1"/>
    <x v="1"/>
    <x v="601"/>
    <n v="1144.3800000000001"/>
    <n v="2755.04"/>
    <s v="High"/>
    <n v="0.15"/>
    <n v="17"/>
    <n v="39810.328000000001"/>
    <n v="19454.460000000003"/>
    <n v="20355.867999999999"/>
    <n v="0.51132128326096682"/>
    <n v="202505"/>
    <n v="202303"/>
    <s v="May-2023"/>
    <x v="3"/>
  </r>
  <r>
    <x v="603"/>
    <d v="2023-04-10T00:00:00"/>
    <x v="12"/>
    <x v="2"/>
    <d v="2023-04-25T00:00:00"/>
    <n v="15"/>
    <x v="3"/>
    <x v="8"/>
    <s v="London"/>
    <s v="Europe &gt; United Kingdom &gt; London"/>
    <s v="Small Business"/>
    <x v="0"/>
    <x v="14"/>
    <x v="1"/>
    <x v="602"/>
    <n v="405.66"/>
    <n v="962.51"/>
    <s v="Low"/>
    <n v="0.19"/>
    <n v="7"/>
    <n v="5457.4317000000001"/>
    <n v="2839.6200000000003"/>
    <n v="2617.8116999999997"/>
    <n v="0.47967832561239376"/>
    <n v="202304"/>
    <n v="202301"/>
    <s v="Apr-2023"/>
    <x v="12"/>
  </r>
  <r>
    <x v="604"/>
    <d v="2023-09-17T00:00:00"/>
    <x v="27"/>
    <x v="3"/>
    <d v="2023-10-02T00:00:00"/>
    <n v="15"/>
    <x v="2"/>
    <x v="5"/>
    <s v="Rio de Janeiro"/>
    <s v="Americas &gt; Brazil &gt; Rio de Janeiro"/>
    <s v="Small Business"/>
    <x v="0"/>
    <x v="5"/>
    <x v="4"/>
    <x v="603"/>
    <n v="689.33"/>
    <n v="668.27"/>
    <s v="Medium"/>
    <n v="0.186"/>
    <n v="13"/>
    <n v="7071.6331400000008"/>
    <n v="8961.2900000000009"/>
    <n v="-1889.6568600000001"/>
    <n v="-0.26721647214861033"/>
    <n v="202309"/>
    <n v="202301"/>
    <s v="Sept-2023"/>
    <x v="28"/>
  </r>
  <r>
    <x v="605"/>
    <d v="2023-04-22T00:00:00"/>
    <x v="12"/>
    <x v="2"/>
    <d v="2023-05-14T00:00:00"/>
    <n v="22"/>
    <x v="1"/>
    <x v="2"/>
    <s v="Nagoya"/>
    <s v="Asia &gt; Japan &gt; Nagoya"/>
    <s v="Enterprise"/>
    <x v="0"/>
    <x v="8"/>
    <x v="6"/>
    <x v="604"/>
    <n v="1209.22"/>
    <n v="1404.33"/>
    <s v="High"/>
    <n v="0.10299999999999999"/>
    <n v="11"/>
    <n v="13856.52411"/>
    <n v="13301.42"/>
    <n v="555.10411000000022"/>
    <n v="4.0060848275751328E-2"/>
    <n v="202304"/>
    <n v="202303"/>
    <s v="Apr-2023"/>
    <x v="2"/>
  </r>
  <r>
    <x v="606"/>
    <d v="2025-06-19T00:00:00"/>
    <x v="16"/>
    <x v="2"/>
    <d v="2025-06-21T00:00:00"/>
    <n v="2"/>
    <x v="0"/>
    <x v="11"/>
    <s v="Johannesburg"/>
    <s v="Africa &gt; South Africa &gt; Johannesburg"/>
    <s v="Small Business"/>
    <x v="5"/>
    <x v="10"/>
    <x v="3"/>
    <x v="605"/>
    <n v="1466.27"/>
    <n v="3589.89"/>
    <s v="High"/>
    <n v="9.7000000000000003E-2"/>
    <n v="9"/>
    <n v="29175.036029999999"/>
    <n v="13196.43"/>
    <n v="15978.606029999999"/>
    <n v="0.54768076425234147"/>
    <n v="202506"/>
    <n v="202301"/>
    <s v="Jun-2023"/>
    <x v="16"/>
  </r>
  <r>
    <x v="607"/>
    <d v="2024-11-27T00:00:00"/>
    <x v="18"/>
    <x v="1"/>
    <d v="2024-12-24T00:00:00"/>
    <n v="27"/>
    <x v="0"/>
    <x v="0"/>
    <s v="Mombasa"/>
    <s v="Africa &gt; Kenya &gt; Mombasa"/>
    <s v="Corporate"/>
    <x v="3"/>
    <x v="5"/>
    <x v="1"/>
    <x v="606"/>
    <n v="143.33000000000001"/>
    <n v="233.51"/>
    <s v="Low"/>
    <n v="0.16300000000000001"/>
    <n v="14"/>
    <n v="2736.27018"/>
    <n v="2006.6200000000001"/>
    <n v="729.65017999999986"/>
    <n v="0.26665867476580835"/>
    <n v="202411"/>
    <n v="202301"/>
    <s v="Nov-2023"/>
    <x v="10"/>
  </r>
  <r>
    <x v="608"/>
    <d v="2024-01-28T00:00:00"/>
    <x v="9"/>
    <x v="0"/>
    <d v="2024-01-29T00:00:00"/>
    <n v="1"/>
    <x v="0"/>
    <x v="11"/>
    <s v="Cape Town"/>
    <s v="Africa &gt; South Africa &gt; Cape Town"/>
    <s v="Enterprise"/>
    <x v="4"/>
    <x v="7"/>
    <x v="0"/>
    <x v="607"/>
    <n v="109.75"/>
    <n v="124.25"/>
    <s v="Low"/>
    <n v="0.12"/>
    <n v="19"/>
    <n v="2077.46"/>
    <n v="2085.25"/>
    <n v="-7.7899999999999636"/>
    <n v="-3.7497713554051405E-3"/>
    <n v="202401"/>
    <n v="202301"/>
    <s v="Jan-2023"/>
    <x v="9"/>
  </r>
  <r>
    <x v="609"/>
    <d v="2023-04-16T00:00:00"/>
    <x v="12"/>
    <x v="2"/>
    <d v="2023-04-23T00:00:00"/>
    <n v="7"/>
    <x v="2"/>
    <x v="10"/>
    <s v="Austin"/>
    <s v="Americas &gt; USA &gt; Austin"/>
    <s v="Corporate"/>
    <x v="3"/>
    <x v="7"/>
    <x v="1"/>
    <x v="608"/>
    <n v="1099.1500000000001"/>
    <n v="1431.37"/>
    <s v="High"/>
    <n v="0.104"/>
    <n v="8"/>
    <n v="10260.060159999999"/>
    <n v="8793.2000000000007"/>
    <n v="1466.8601599999984"/>
    <n v="0.14296798821109433"/>
    <n v="202304"/>
    <n v="202301"/>
    <s v="Apr-2023"/>
    <x v="12"/>
  </r>
  <r>
    <x v="610"/>
    <d v="2024-02-01T00:00:00"/>
    <x v="31"/>
    <x v="0"/>
    <d v="2024-02-01T00:00:00"/>
    <n v="0"/>
    <x v="2"/>
    <x v="10"/>
    <s v="Austin"/>
    <s v="Americas &gt; USA &gt; Austin"/>
    <s v="Consumer"/>
    <x v="3"/>
    <x v="10"/>
    <x v="1"/>
    <x v="609"/>
    <n v="714.43"/>
    <n v="1595.52"/>
    <s v="Medium"/>
    <n v="0.19400000000000001"/>
    <n v="14"/>
    <n v="18003.847679999999"/>
    <n v="10002.019999999999"/>
    <n v="8001.8276800000003"/>
    <n v="0.44445097638151093"/>
    <n v="202402"/>
    <n v="202301"/>
    <s v="Feb-2023"/>
    <x v="32"/>
  </r>
  <r>
    <x v="611"/>
    <d v="2024-10-19T00:00:00"/>
    <x v="1"/>
    <x v="1"/>
    <d v="2024-11-06T00:00:00"/>
    <n v="18"/>
    <x v="2"/>
    <x v="10"/>
    <s v="Chicago"/>
    <s v="Americas &gt; USA &gt; Chicago"/>
    <s v="Education"/>
    <x v="5"/>
    <x v="0"/>
    <x v="5"/>
    <x v="610"/>
    <n v="942.02"/>
    <n v="1028.46"/>
    <s v="Medium"/>
    <n v="0"/>
    <n v="9"/>
    <n v="9256.14"/>
    <n v="8478.18"/>
    <n v="777.95999999999913"/>
    <n v="8.4047994088248354E-2"/>
    <n v="202410"/>
    <n v="202301"/>
    <s v="Oct-2023"/>
    <x v="1"/>
  </r>
  <r>
    <x v="612"/>
    <d v="2024-06-25T00:00:00"/>
    <x v="17"/>
    <x v="2"/>
    <d v="2024-06-30T00:00:00"/>
    <n v="5"/>
    <x v="0"/>
    <x v="0"/>
    <s v="Kisumu"/>
    <s v="Africa &gt; Kenya &gt; Kisumu"/>
    <s v="Education"/>
    <x v="4"/>
    <x v="12"/>
    <x v="2"/>
    <x v="611"/>
    <n v="1323.55"/>
    <n v="3230.35"/>
    <s v="High"/>
    <n v="2.1999999999999999E-2"/>
    <n v="26"/>
    <n v="82141.339799999987"/>
    <n v="34412.299999999996"/>
    <n v="47729.039799999991"/>
    <n v="0.58105991351263542"/>
    <n v="202406"/>
    <n v="202301"/>
    <s v="Jun-2023"/>
    <x v="17"/>
  </r>
  <r>
    <x v="613"/>
    <d v="2023-07-30T00:00:00"/>
    <x v="24"/>
    <x v="3"/>
    <d v="2023-08-19T00:00:00"/>
    <n v="20"/>
    <x v="3"/>
    <x v="7"/>
    <s v="Paris"/>
    <s v="Europe &gt; France &gt; Paris"/>
    <s v="Enterprise"/>
    <x v="2"/>
    <x v="3"/>
    <x v="2"/>
    <x v="612"/>
    <n v="1418.51"/>
    <n v="2789.61"/>
    <s v="High"/>
    <n v="0.17100000000000001"/>
    <n v="8"/>
    <n v="18500.693520000001"/>
    <n v="11348.08"/>
    <n v="7152.6135200000008"/>
    <n v="0.38661326464695689"/>
    <n v="202307"/>
    <n v="202301"/>
    <s v="Jul-2023"/>
    <x v="23"/>
  </r>
  <r>
    <x v="614"/>
    <d v="2025-03-11T00:00:00"/>
    <x v="3"/>
    <x v="0"/>
    <d v="2025-03-27T00:00:00"/>
    <n v="16"/>
    <x v="1"/>
    <x v="2"/>
    <s v="Tokyo"/>
    <s v="Asia &gt; Japan &gt; Tokyo"/>
    <s v="Enterprise"/>
    <x v="3"/>
    <x v="5"/>
    <x v="1"/>
    <x v="613"/>
    <n v="1317.58"/>
    <n v="1897.74"/>
    <s v="High"/>
    <n v="8.1000000000000003E-2"/>
    <n v="6"/>
    <n v="10464.138360000001"/>
    <n v="7905.48"/>
    <n v="2558.6583600000013"/>
    <n v="0.24451687009230266"/>
    <n v="202503"/>
    <n v="202303"/>
    <s v="Mar-2023"/>
    <x v="24"/>
  </r>
  <r>
    <x v="615"/>
    <d v="2023-10-09T00:00:00"/>
    <x v="32"/>
    <x v="1"/>
    <d v="2023-10-11T00:00:00"/>
    <n v="2"/>
    <x v="0"/>
    <x v="1"/>
    <s v="Port Harcourt"/>
    <s v="Africa &gt; Nigeria &gt; Port Harcourt"/>
    <s v="Education"/>
    <x v="2"/>
    <x v="11"/>
    <x v="2"/>
    <x v="614"/>
    <n v="391.16"/>
    <n v="902.47"/>
    <s v="Low"/>
    <n v="4.0000000000000001E-3"/>
    <n v="12"/>
    <n v="10786.32144"/>
    <n v="4693.92"/>
    <n v="6092.4014399999996"/>
    <n v="0.56482661618139207"/>
    <n v="202310"/>
    <n v="202301"/>
    <s v="Oct-2023"/>
    <x v="4"/>
  </r>
  <r>
    <x v="616"/>
    <d v="2024-12-17T00:00:00"/>
    <x v="6"/>
    <x v="1"/>
    <d v="2025-01-16T00:00:00"/>
    <n v="30"/>
    <x v="3"/>
    <x v="8"/>
    <s v="Manchester"/>
    <s v="Europe &gt; United Kingdom &gt; Manchester"/>
    <s v="Corporate"/>
    <x v="0"/>
    <x v="14"/>
    <x v="5"/>
    <x v="615"/>
    <n v="722.87"/>
    <n v="33.659999999999997"/>
    <s v="Medium"/>
    <n v="0.10199999999999999"/>
    <n v="28"/>
    <n v="846.34703999999988"/>
    <n v="20240.36"/>
    <n v="-19394.01296"/>
    <n v="-22.914965189693348"/>
    <n v="202412"/>
    <n v="202301"/>
    <s v="Dec-2023"/>
    <x v="6"/>
  </r>
  <r>
    <x v="617"/>
    <d v="2025-07-11T00:00:00"/>
    <x v="13"/>
    <x v="3"/>
    <d v="2025-07-16T00:00:00"/>
    <n v="5"/>
    <x v="3"/>
    <x v="8"/>
    <s v="London"/>
    <s v="Europe &gt; United Kingdom &gt; London"/>
    <s v="Enterprise"/>
    <x v="1"/>
    <x v="11"/>
    <x v="1"/>
    <x v="616"/>
    <n v="930.03"/>
    <n v="1086.68"/>
    <s v="Medium"/>
    <n v="0.109"/>
    <n v="26"/>
    <n v="25174.028880000002"/>
    <n v="24180.78"/>
    <n v="993.24888000000283"/>
    <n v="3.9455300728168656E-2"/>
    <n v="202507"/>
    <n v="202301"/>
    <s v="Jul-2023"/>
    <x v="13"/>
  </r>
  <r>
    <x v="618"/>
    <d v="2024-10-13T00:00:00"/>
    <x v="1"/>
    <x v="1"/>
    <d v="2024-10-24T00:00:00"/>
    <n v="11"/>
    <x v="3"/>
    <x v="7"/>
    <s v="Paris"/>
    <s v="Europe &gt; France &gt; Paris"/>
    <s v="Education"/>
    <x v="3"/>
    <x v="9"/>
    <x v="0"/>
    <x v="617"/>
    <n v="816.7"/>
    <n v="1010.75"/>
    <s v="Medium"/>
    <n v="4.7E-2"/>
    <n v="43"/>
    <n v="41419.524249999995"/>
    <n v="35118.1"/>
    <n v="6301.4242499999964"/>
    <n v="0.15213656757537472"/>
    <n v="202410"/>
    <n v="202301"/>
    <s v="Oct-2023"/>
    <x v="1"/>
  </r>
  <r>
    <x v="619"/>
    <d v="2023-09-08T00:00:00"/>
    <x v="27"/>
    <x v="3"/>
    <d v="2023-09-14T00:00:00"/>
    <n v="6"/>
    <x v="0"/>
    <x v="0"/>
    <s v="Nakuru"/>
    <s v="Africa &gt; Kenya &gt; Nakuru"/>
    <s v="Education"/>
    <x v="4"/>
    <x v="2"/>
    <x v="6"/>
    <x v="618"/>
    <n v="251.03"/>
    <n v="411.48"/>
    <s v="Low"/>
    <n v="0.16500000000000001"/>
    <n v="3"/>
    <n v="1030.7574"/>
    <n v="753.09"/>
    <n v="277.66739999999993"/>
    <n v="0.26938191275658069"/>
    <n v="202309"/>
    <n v="202301"/>
    <s v="Sept-2023"/>
    <x v="28"/>
  </r>
  <r>
    <x v="620"/>
    <d v="2025-04-17T00:00:00"/>
    <x v="19"/>
    <x v="2"/>
    <d v="2025-05-03T00:00:00"/>
    <n v="16"/>
    <x v="2"/>
    <x v="5"/>
    <s v="Rio de Janeiro"/>
    <s v="Americas &gt; Brazil &gt; Rio de Janeiro"/>
    <s v="Consumer"/>
    <x v="2"/>
    <x v="1"/>
    <x v="2"/>
    <x v="619"/>
    <n v="168.68"/>
    <n v="413.34"/>
    <s v="Low"/>
    <n v="0.186"/>
    <n v="7"/>
    <n v="2355.2113199999999"/>
    <n v="1180.76"/>
    <n v="1174.4513199999999"/>
    <n v="0.49866069767361682"/>
    <n v="202504"/>
    <n v="202301"/>
    <s v="Apr-2023"/>
    <x v="18"/>
  </r>
  <r>
    <x v="621"/>
    <d v="2024-07-28T00:00:00"/>
    <x v="14"/>
    <x v="3"/>
    <d v="2024-08-23T00:00:00"/>
    <n v="26"/>
    <x v="1"/>
    <x v="4"/>
    <s v="Hyderabad"/>
    <s v="Asia &gt; India &gt; Hyderabad"/>
    <s v="Corporate"/>
    <x v="0"/>
    <x v="1"/>
    <x v="2"/>
    <x v="620"/>
    <n v="1339.24"/>
    <n v="1558.89"/>
    <s v="High"/>
    <n v="0.192"/>
    <n v="24"/>
    <n v="30229.994880000002"/>
    <n v="32141.760000000002"/>
    <n v="-1911.76512"/>
    <n v="-6.3240669659021781E-2"/>
    <n v="202407"/>
    <n v="202301"/>
    <s v="Jul-2023"/>
    <x v="14"/>
  </r>
  <r>
    <x v="622"/>
    <d v="2025-07-19T00:00:00"/>
    <x v="13"/>
    <x v="3"/>
    <d v="2025-07-31T00:00:00"/>
    <n v="12"/>
    <x v="0"/>
    <x v="0"/>
    <s v="Nairobi"/>
    <s v="Africa &gt; Kenya &gt; Nairobi"/>
    <s v="Small Business"/>
    <x v="2"/>
    <x v="7"/>
    <x v="6"/>
    <x v="621"/>
    <n v="619.64"/>
    <n v="861.16"/>
    <s v="Medium"/>
    <n v="0.113"/>
    <n v="14"/>
    <n v="10693.88488"/>
    <n v="8674.9599999999991"/>
    <n v="2018.9248800000005"/>
    <n v="0.18879246435276761"/>
    <n v="202507"/>
    <n v="202301"/>
    <s v="Jul-2023"/>
    <x v="13"/>
  </r>
  <r>
    <x v="623"/>
    <d v="2023-08-03T00:00:00"/>
    <x v="25"/>
    <x v="3"/>
    <d v="2023-08-04T00:00:00"/>
    <n v="1"/>
    <x v="1"/>
    <x v="9"/>
    <s v="Shanghai"/>
    <s v="Asia &gt; China &gt; Shanghai"/>
    <s v="Non-Profit"/>
    <x v="4"/>
    <x v="1"/>
    <x v="2"/>
    <x v="622"/>
    <n v="1021.97"/>
    <n v="2296.25"/>
    <s v="High"/>
    <n v="0.161"/>
    <n v="26"/>
    <n v="50090.397499999999"/>
    <n v="26571.22"/>
    <n v="23519.177499999998"/>
    <n v="0.46953465482081669"/>
    <n v="202308"/>
    <n v="202301"/>
    <s v="Aug-2023"/>
    <x v="25"/>
  </r>
  <r>
    <x v="624"/>
    <d v="2023-11-19T00:00:00"/>
    <x v="30"/>
    <x v="1"/>
    <d v="2023-12-12T00:00:00"/>
    <n v="23"/>
    <x v="1"/>
    <x v="4"/>
    <s v="Delhi"/>
    <s v="Asia &gt; India &gt; Delhi"/>
    <s v="Small Business"/>
    <x v="4"/>
    <x v="0"/>
    <x v="2"/>
    <x v="623"/>
    <n v="1349.04"/>
    <n v="2636.6"/>
    <s v="High"/>
    <n v="0.114"/>
    <n v="14"/>
    <n v="32704.386400000003"/>
    <n v="18886.559999999998"/>
    <n v="13817.826400000005"/>
    <n v="0.42250682312143928"/>
    <n v="202311"/>
    <n v="202301"/>
    <s v="Nov-2023"/>
    <x v="31"/>
  </r>
  <r>
    <x v="625"/>
    <d v="2023-12-22T00:00:00"/>
    <x v="4"/>
    <x v="1"/>
    <d v="2024-01-16T00:00:00"/>
    <n v="25"/>
    <x v="1"/>
    <x v="4"/>
    <s v="Hyderabad"/>
    <s v="Asia &gt; India &gt; Hyderabad"/>
    <s v="Small Business"/>
    <x v="0"/>
    <x v="8"/>
    <x v="0"/>
    <x v="624"/>
    <n v="1346.81"/>
    <n v="978.09"/>
    <s v="High"/>
    <n v="0.159"/>
    <n v="17"/>
    <n v="13983.752729999998"/>
    <n v="22895.77"/>
    <n v="-8912.0172700000021"/>
    <n v="-0.6373122753293996"/>
    <n v="202312"/>
    <n v="202301"/>
    <s v="Dec-2023"/>
    <x v="27"/>
  </r>
  <r>
    <x v="626"/>
    <d v="2023-08-03T00:00:00"/>
    <x v="25"/>
    <x v="3"/>
    <d v="2023-08-30T00:00:00"/>
    <n v="27"/>
    <x v="1"/>
    <x v="9"/>
    <s v="Shanghai"/>
    <s v="Asia &gt; China &gt; Shanghai"/>
    <s v="Consumer"/>
    <x v="3"/>
    <x v="13"/>
    <x v="5"/>
    <x v="625"/>
    <n v="226.04"/>
    <n v="545.72"/>
    <s v="Low"/>
    <n v="0.151"/>
    <n v="11"/>
    <n v="5096.4790800000001"/>
    <n v="2486.44"/>
    <n v="2610.03908"/>
    <n v="0.51212592831834014"/>
    <n v="202308"/>
    <n v="202301"/>
    <s v="Aug-2023"/>
    <x v="25"/>
  </r>
  <r>
    <x v="627"/>
    <d v="2023-06-23T00:00:00"/>
    <x v="23"/>
    <x v="2"/>
    <d v="2023-07-18T00:00:00"/>
    <n v="25"/>
    <x v="2"/>
    <x v="3"/>
    <s v="Vancouver"/>
    <s v="Americas &gt; Canada &gt; Vancouver"/>
    <s v="Enterprise"/>
    <x v="1"/>
    <x v="13"/>
    <x v="3"/>
    <x v="626"/>
    <n v="807.02"/>
    <n v="1435.54"/>
    <s v="Medium"/>
    <n v="0"/>
    <n v="23"/>
    <n v="33017.42"/>
    <n v="18561.46"/>
    <n v="14455.96"/>
    <n v="0.43782827368098415"/>
    <n v="202306"/>
    <n v="202301"/>
    <s v="Jun-2023"/>
    <x v="22"/>
  </r>
  <r>
    <x v="628"/>
    <d v="2023-12-07T00:00:00"/>
    <x v="4"/>
    <x v="1"/>
    <d v="2024-01-02T00:00:00"/>
    <n v="26"/>
    <x v="3"/>
    <x v="6"/>
    <s v="Frankfurt"/>
    <s v="Europe &gt; Germany &gt; Frankfurt"/>
    <s v="Enterprise"/>
    <x v="3"/>
    <x v="6"/>
    <x v="0"/>
    <x v="627"/>
    <n v="1071.99"/>
    <n v="2397.3000000000002"/>
    <s v="High"/>
    <n v="6.2E-2"/>
    <n v="18"/>
    <n v="40476.013200000001"/>
    <n v="19295.82"/>
    <n v="21180.193200000002"/>
    <n v="0.52327765324476183"/>
    <n v="202312"/>
    <n v="202301"/>
    <s v="Dec-2023"/>
    <x v="27"/>
  </r>
  <r>
    <x v="629"/>
    <d v="2023-11-19T00:00:00"/>
    <x v="30"/>
    <x v="1"/>
    <d v="2023-12-19T00:00:00"/>
    <n v="30"/>
    <x v="1"/>
    <x v="2"/>
    <s v="Nagoya"/>
    <s v="Asia &gt; Japan &gt; Nagoya"/>
    <s v="Consumer"/>
    <x v="0"/>
    <x v="15"/>
    <x v="3"/>
    <x v="628"/>
    <n v="807.11"/>
    <n v="1853.86"/>
    <s v="Medium"/>
    <n v="0.13900000000000001"/>
    <n v="8"/>
    <n v="12769.38768"/>
    <n v="6456.88"/>
    <n v="6312.5076799999997"/>
    <n v="0.49434693645388639"/>
    <n v="202311"/>
    <n v="202303"/>
    <s v="Nov-2023"/>
    <x v="28"/>
  </r>
  <r>
    <x v="630"/>
    <d v="2025-02-28T00:00:00"/>
    <x v="26"/>
    <x v="0"/>
    <d v="2025-03-10T00:00:00"/>
    <n v="10"/>
    <x v="1"/>
    <x v="2"/>
    <s v="Osaka"/>
    <s v="Asia &gt; Japan &gt; Osaka"/>
    <s v="Education"/>
    <x v="3"/>
    <x v="13"/>
    <x v="4"/>
    <x v="629"/>
    <n v="51.86"/>
    <n v="45.98"/>
    <s v="Low"/>
    <n v="0.17299999999999999"/>
    <n v="7"/>
    <n v="266.17821999999995"/>
    <n v="363.02"/>
    <n v="-96.841780000000028"/>
    <n v="-0.3638230806412337"/>
    <n v="202502"/>
    <n v="202303"/>
    <s v="Feb-2023"/>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d v="2024-03-11T00:00:00"/>
    <s v="Mar-2024"/>
    <s v="Q1"/>
    <d v="2024-04-06T00:00:00"/>
    <n v="26"/>
    <x v="0"/>
    <x v="0"/>
    <s v="Kisumu"/>
    <s v="Africa &gt; Kenya &gt; Kisumu"/>
    <s v="Corporate"/>
    <s v="Retail"/>
    <s v="C. Otieno"/>
    <x v="0"/>
    <s v="CMP-8270"/>
    <n v="279.24"/>
    <n v="608.9"/>
    <s v="Low"/>
    <n v="0.112"/>
    <n v="9"/>
    <n v="4866.3287999999993"/>
    <n v="1545646.9975800004"/>
    <n v="2513.16"/>
    <n v="2353.1687999999995"/>
    <n v="0.48356140670149533"/>
    <n v="202403"/>
    <n v="202301"/>
    <s v="Mar-2023"/>
    <n v="14"/>
    <s v="Late"/>
    <n v="0"/>
  </r>
  <r>
    <x v="1"/>
    <d v="2024-10-23T00:00:00"/>
    <s v="Oct-2024"/>
    <s v="Q4"/>
    <d v="2024-10-24T00:00:00"/>
    <n v="1"/>
    <x v="0"/>
    <x v="1"/>
    <s v="Port Harcourt"/>
    <s v="Africa &gt; Nigeria &gt; Port Harcourt"/>
    <s v="Education"/>
    <s v="Online"/>
    <s v="J. Njeri"/>
    <x v="1"/>
    <s v="PRN-9322"/>
    <n v="1084.3900000000001"/>
    <n v="759.33"/>
    <s v="High"/>
    <n v="0.23699999999999999"/>
    <n v="31"/>
    <n v="17960.432489999999"/>
    <n v="1540780.6687800002"/>
    <n v="33616.090000000004"/>
    <n v="-15655.657510000005"/>
    <n v="-0.87167486187856302"/>
    <n v="202410"/>
    <n v="202301"/>
    <s v="Oct-2023"/>
    <n v="21"/>
    <s v="On Time"/>
    <n v="1"/>
  </r>
  <r>
    <x v="2"/>
    <d v="2023-02-28T00:00:00"/>
    <s v="Feb-2023"/>
    <s v="Q1"/>
    <d v="2023-03-25T00:00:00"/>
    <n v="25"/>
    <x v="0"/>
    <x v="0"/>
    <s v="Nairobi"/>
    <s v="Africa &gt; Kenya &gt; Nairobi"/>
    <s v="Corporate"/>
    <s v="Retail"/>
    <s v="I. Johnson"/>
    <x v="2"/>
    <s v="NET-9666"/>
    <n v="1460.76"/>
    <n v="30.66"/>
    <s v="High"/>
    <n v="0.13100000000000001"/>
    <n v="12"/>
    <n v="319.72248000000002"/>
    <n v="1540780.6687800002"/>
    <n v="17529.12"/>
    <n v="-17209.397519999999"/>
    <n v="-53.826047890032626"/>
    <n v="202302"/>
    <n v="202301"/>
    <s v="Feb-2023"/>
    <n v="1"/>
    <s v="Late"/>
    <n v="0"/>
  </r>
  <r>
    <x v="3"/>
    <d v="2025-03-29T00:00:00"/>
    <s v="Mar-2025"/>
    <s v="Q1"/>
    <d v="2025-04-02T00:00:00"/>
    <n v="4"/>
    <x v="0"/>
    <x v="1"/>
    <s v="Lagos"/>
    <s v="Africa &gt; Nigeria &gt; Lagos"/>
    <s v="Non-Profit"/>
    <s v="Marketplace"/>
    <s v="G. Dubois"/>
    <x v="3"/>
    <s v="PHN-4556"/>
    <n v="259.93"/>
    <n v="255.94"/>
    <s v="Low"/>
    <n v="7.1999999999999995E-2"/>
    <n v="22"/>
    <n v="5225.2710400000005"/>
    <n v="1540780.6687800002"/>
    <n v="5718.46"/>
    <n v="-493.1889599999995"/>
    <n v="-9.4385335463861311E-2"/>
    <n v="202503"/>
    <n v="202301"/>
    <s v="Mar-2023"/>
    <n v="26"/>
    <s v="On Time"/>
    <n v="1"/>
  </r>
  <r>
    <x v="4"/>
    <d v="2023-12-06T00:00:00"/>
    <s v="Dec-2023"/>
    <s v="Q4"/>
    <d v="2023-12-31T00:00:00"/>
    <n v="25"/>
    <x v="1"/>
    <x v="2"/>
    <s v="Osaka"/>
    <s v="Asia &gt; Japan &gt; Osaka"/>
    <s v="Consumer"/>
    <s v="Retail"/>
    <s v="L. Okafor"/>
    <x v="1"/>
    <s v="PRN-8041"/>
    <n v="663.03"/>
    <n v="813.51"/>
    <s v="Medium"/>
    <n v="0.10199999999999999"/>
    <n v="15"/>
    <n v="10957.9797"/>
    <n v="1540780.6687800002"/>
    <n v="9945.4499999999989"/>
    <n v="1012.529700000001"/>
    <n v="9.2401129379715952E-2"/>
    <n v="202312"/>
    <n v="202303"/>
    <s v="Dec-2023"/>
    <n v="9"/>
    <s v="Late"/>
    <n v="0"/>
  </r>
  <r>
    <x v="5"/>
    <d v="2023-01-02T00:00:00"/>
    <s v="Jan-2023"/>
    <s v="Q1"/>
    <d v="2023-01-05T00:00:00"/>
    <n v="3"/>
    <x v="2"/>
    <x v="3"/>
    <s v="Toronto"/>
    <s v="Americas &gt; Canada &gt; Toronto"/>
    <s v="Corporate"/>
    <s v="Distributor"/>
    <s v="B. Chen"/>
    <x v="4"/>
    <s v="LAP-8555"/>
    <n v="315.87"/>
    <n v="591.67999999999995"/>
    <s v="Low"/>
    <n v="0"/>
    <n v="7"/>
    <n v="4141.7599999999993"/>
    <n v="1540780.6687800002"/>
    <n v="2211.09"/>
    <n v="1930.6699999999992"/>
    <n v="0.46614724175229844"/>
    <n v="202301"/>
    <n v="202301"/>
    <s v="Jan-2023"/>
    <n v="0"/>
    <s v="On Time"/>
    <n v="1"/>
  </r>
  <r>
    <x v="6"/>
    <d v="2024-12-27T00:00:00"/>
    <s v="Dec-2024"/>
    <s v="Q4"/>
    <d v="2025-01-14T00:00:00"/>
    <n v="18"/>
    <x v="1"/>
    <x v="4"/>
    <s v="Bengaluru"/>
    <s v="Asia &gt; India &gt; Bengaluru"/>
    <s v="Small Business"/>
    <s v="Marketplace"/>
    <s v="E. Garcia"/>
    <x v="5"/>
    <s v="MON-8629"/>
    <n v="586.07000000000005"/>
    <n v="845.97"/>
    <s v="Medium"/>
    <n v="0.14699999999999999"/>
    <n v="4"/>
    <n v="2886.4496399999998"/>
    <n v="1540780.6687800002"/>
    <n v="2344.2800000000002"/>
    <n v="542.16963999999962"/>
    <n v="0.18783270370862928"/>
    <n v="202412"/>
    <n v="202301"/>
    <s v="Dec-2023"/>
    <n v="23"/>
    <s v="Late"/>
    <n v="0"/>
  </r>
  <r>
    <x v="7"/>
    <d v="2023-01-15T00:00:00"/>
    <s v="Jan-2023"/>
    <s v="Q1"/>
    <d v="2023-01-17T00:00:00"/>
    <n v="2"/>
    <x v="0"/>
    <x v="1"/>
    <s v="Abuja"/>
    <s v="Africa &gt; Nigeria &gt; Abuja"/>
    <s v="Education"/>
    <s v="Online"/>
    <s v="O. Wang"/>
    <x v="1"/>
    <s v="PRN-6276"/>
    <n v="28.38"/>
    <n v="47.22"/>
    <s v="Low"/>
    <n v="0.19400000000000001"/>
    <n v="18"/>
    <n v="685.06776000000002"/>
    <n v="1540780.6687800002"/>
    <n v="510.84"/>
    <n v="174.22776000000005"/>
    <n v="0.25432193743871417"/>
    <n v="202301"/>
    <n v="202301"/>
    <s v="Jan-2023"/>
    <n v="0"/>
    <s v="On Time"/>
    <n v="1"/>
  </r>
  <r>
    <x v="8"/>
    <d v="2024-05-04T00:00:00"/>
    <s v="May-2024"/>
    <s v="Q2"/>
    <d v="2024-05-29T00:00:00"/>
    <n v="25"/>
    <x v="0"/>
    <x v="1"/>
    <s v="Abuja"/>
    <s v="Africa &gt; Nigeria &gt; Abuja"/>
    <s v="Non-Profit"/>
    <s v="Marketplace"/>
    <s v="O. Wang"/>
    <x v="5"/>
    <s v="MON-6892"/>
    <n v="1295.3399999999999"/>
    <n v="2530.81"/>
    <s v="High"/>
    <n v="3.1E-2"/>
    <n v="6"/>
    <n v="14714.12934"/>
    <n v="1540780.6687800002"/>
    <n v="7772.0399999999991"/>
    <n v="6942.0893400000004"/>
    <n v="0.4717974933880798"/>
    <n v="202405"/>
    <n v="202301"/>
    <s v="May-2023"/>
    <n v="16"/>
    <s v="Late"/>
    <n v="0"/>
  </r>
  <r>
    <x v="9"/>
    <d v="2025-05-21T00:00:00"/>
    <s v="May-2025"/>
    <s v="Q2"/>
    <d v="2025-06-09T00:00:00"/>
    <n v="19"/>
    <x v="2"/>
    <x v="5"/>
    <s v="São Paulo"/>
    <s v="Americas &gt; Brazil &gt; São Paulo"/>
    <s v="Non-Profit"/>
    <s v="Online"/>
    <s v="A. Patel"/>
    <x v="0"/>
    <s v="CMP-3731"/>
    <n v="1331.38"/>
    <n v="2309.56"/>
    <s v="High"/>
    <n v="0.14899999999999999"/>
    <n v="31"/>
    <n v="60928.502359999999"/>
    <n v="1540780.6687800002"/>
    <n v="41272.780000000006"/>
    <n v="19655.722359999992"/>
    <n v="0.32260307735553528"/>
    <n v="202505"/>
    <n v="202301"/>
    <s v="May-2023"/>
    <n v="28"/>
    <s v="Late"/>
    <n v="0"/>
  </r>
  <r>
    <x v="10"/>
    <d v="2024-01-28T00:00:00"/>
    <s v="Jan-2024"/>
    <s v="Q1"/>
    <d v="2024-02-09T00:00:00"/>
    <n v="12"/>
    <x v="3"/>
    <x v="6"/>
    <s v="Berlin"/>
    <s v="Europe &gt; Germany &gt; Berlin"/>
    <s v="Corporate"/>
    <s v="Online"/>
    <s v="G. Dubois"/>
    <x v="6"/>
    <s v="ACC-7938"/>
    <n v="644.16999999999996"/>
    <n v="700.12"/>
    <s v="Medium"/>
    <n v="6.0000000000000001E-3"/>
    <n v="23"/>
    <n v="16006.14344"/>
    <n v="1479852.1664200001"/>
    <n v="14815.91"/>
    <n v="1190.23344"/>
    <n v="7.436103796405813E-2"/>
    <n v="202401"/>
    <n v="202301"/>
    <s v="Jan-2023"/>
    <n v="12"/>
    <s v="Late"/>
    <n v="0"/>
  </r>
  <r>
    <x v="11"/>
    <d v="2025-01-03T00:00:00"/>
    <s v="Jan-2025"/>
    <s v="Q1"/>
    <d v="2025-01-23T00:00:00"/>
    <n v="20"/>
    <x v="1"/>
    <x v="2"/>
    <s v="Osaka"/>
    <s v="Asia &gt; Japan &gt; Osaka"/>
    <s v="Corporate"/>
    <s v="Distributor"/>
    <s v="F. Müller"/>
    <x v="3"/>
    <s v="PHN-7019"/>
    <n v="908.6"/>
    <n v="691.37"/>
    <s v="Medium"/>
    <n v="0.25"/>
    <n v="20"/>
    <n v="10370.549999999999"/>
    <n v="1479852.1664200001"/>
    <n v="18172"/>
    <n v="-7801.4500000000007"/>
    <n v="-0.75226964818645115"/>
    <n v="202501"/>
    <n v="202303"/>
    <s v="Jan-2023"/>
    <n v="22"/>
    <s v="Late"/>
    <n v="0"/>
  </r>
  <r>
    <x v="12"/>
    <d v="2025-03-06T00:00:00"/>
    <s v="Mar-2025"/>
    <s v="Q1"/>
    <d v="2025-03-31T00:00:00"/>
    <n v="25"/>
    <x v="2"/>
    <x v="5"/>
    <s v="Brasília"/>
    <s v="Americas &gt; Brazil &gt; Brasília"/>
    <s v="Non-Profit"/>
    <s v="Online"/>
    <s v="J. Njeri"/>
    <x v="0"/>
    <s v="CMP-3693"/>
    <n v="331.57"/>
    <n v="548.4"/>
    <s v="Low"/>
    <n v="9.4E-2"/>
    <n v="10"/>
    <n v="4968.5039999999999"/>
    <n v="1479852.1664200001"/>
    <n v="3315.7"/>
    <n v="1652.8040000000001"/>
    <n v="0.33265626836568918"/>
    <n v="202503"/>
    <n v="202301"/>
    <s v="Mar-2023"/>
    <n v="26"/>
    <s v="Late"/>
    <n v="0"/>
  </r>
  <r>
    <x v="13"/>
    <d v="2024-01-20T00:00:00"/>
    <s v="Jan-2024"/>
    <s v="Q1"/>
    <d v="2024-02-13T00:00:00"/>
    <n v="24"/>
    <x v="3"/>
    <x v="7"/>
    <s v="Marseille"/>
    <s v="Europe &gt; France &gt; Marseille"/>
    <s v="Corporate"/>
    <s v="Retail"/>
    <s v="H. Kim"/>
    <x v="1"/>
    <s v="PRN-8392"/>
    <n v="643.53"/>
    <n v="1439.01"/>
    <s v="Medium"/>
    <n v="0"/>
    <n v="15"/>
    <n v="21585.15"/>
    <n v="1474883.6624200002"/>
    <n v="9652.9499999999989"/>
    <n v="11932.200000000003"/>
    <n v="0.55279671440782208"/>
    <n v="202401"/>
    <n v="202301"/>
    <s v="Jan-2023"/>
    <n v="12"/>
    <s v="Late"/>
    <n v="0"/>
  </r>
  <r>
    <x v="14"/>
    <d v="2025-09-01T00:00:00"/>
    <s v="Sept-2025"/>
    <s v="Q3"/>
    <d v="2025-09-30T00:00:00"/>
    <n v="29"/>
    <x v="2"/>
    <x v="5"/>
    <s v="Brasília"/>
    <s v="Americas &gt; Brazil &gt; Brasília"/>
    <s v="Education"/>
    <s v="Retail"/>
    <s v="K. Singh"/>
    <x v="6"/>
    <s v="ACC-1663"/>
    <n v="780.59"/>
    <n v="631.57000000000005"/>
    <s v="Medium"/>
    <n v="0"/>
    <n v="12"/>
    <n v="7578.84"/>
    <n v="1474883.6624200002"/>
    <n v="9367.08"/>
    <n v="-1788.2399999999998"/>
    <n v="-0.23595167598207639"/>
    <n v="202509"/>
    <n v="202301"/>
    <s v="Sept-2023"/>
    <n v="32"/>
    <s v="Late"/>
    <n v="0"/>
  </r>
  <r>
    <x v="15"/>
    <d v="2023-04-23T00:00:00"/>
    <s v="Apr-2023"/>
    <s v="Q2"/>
    <d v="2023-04-24T00:00:00"/>
    <n v="1"/>
    <x v="0"/>
    <x v="0"/>
    <s v="Nairobi"/>
    <s v="Africa &gt; Kenya &gt; Nairobi"/>
    <s v="Small Business"/>
    <s v="Direct"/>
    <s v="E. Garcia"/>
    <x v="4"/>
    <s v="LAP-1698"/>
    <n v="756.51"/>
    <n v="850.8"/>
    <s v="Medium"/>
    <n v="7.3999999999999996E-2"/>
    <n v="9"/>
    <n v="7090.5672000000004"/>
    <n v="1474883.6624200002"/>
    <n v="6808.59"/>
    <n v="281.97720000000027"/>
    <n v="3.9767932810791252E-2"/>
    <n v="202304"/>
    <n v="202301"/>
    <s v="Apr-2023"/>
    <n v="3"/>
    <s v="On Time"/>
    <n v="1"/>
  </r>
  <r>
    <x v="16"/>
    <d v="2024-12-10T00:00:00"/>
    <s v="Dec-2024"/>
    <s v="Q4"/>
    <d v="2025-01-08T00:00:00"/>
    <n v="29"/>
    <x v="3"/>
    <x v="7"/>
    <s v="Marseille"/>
    <s v="Europe &gt; France &gt; Marseille"/>
    <s v="Small Business"/>
    <s v="Retail"/>
    <s v="K. Singh"/>
    <x v="1"/>
    <s v="PRN-6791"/>
    <n v="891.08"/>
    <n v="1040.0999999999999"/>
    <s v="Medium"/>
    <n v="0.109"/>
    <n v="28"/>
    <n v="25948.414799999995"/>
    <n v="1474883.6624200002"/>
    <n v="24950.240000000002"/>
    <n v="998.17479999999341"/>
    <n v="3.8467660074556598E-2"/>
    <n v="202412"/>
    <n v="202301"/>
    <s v="Dec-2023"/>
    <n v="23"/>
    <s v="Late"/>
    <n v="0"/>
  </r>
  <r>
    <x v="17"/>
    <d v="2025-09-08T00:00:00"/>
    <s v="Sept-2025"/>
    <s v="Q3"/>
    <d v="2025-09-16T00:00:00"/>
    <n v="8"/>
    <x v="1"/>
    <x v="2"/>
    <s v="Osaka"/>
    <s v="Asia &gt; Japan &gt; Osaka"/>
    <s v="Corporate"/>
    <s v="Distributor"/>
    <s v="C. Otieno"/>
    <x v="3"/>
    <s v="PHN-1197"/>
    <n v="1225.57"/>
    <n v="2705.57"/>
    <s v="High"/>
    <n v="0.183"/>
    <n v="16"/>
    <n v="35367.211040000002"/>
    <n v="1474883.6624200002"/>
    <n v="19609.12"/>
    <n v="15758.091040000003"/>
    <n v="0.44555650775453404"/>
    <n v="202509"/>
    <n v="202303"/>
    <s v="Sept-2023"/>
    <n v="30"/>
    <s v="Late"/>
    <n v="0"/>
  </r>
  <r>
    <x v="18"/>
    <d v="2025-07-20T00:00:00"/>
    <s v="Jul-2025"/>
    <s v="Q3"/>
    <d v="2025-08-05T00:00:00"/>
    <n v="16"/>
    <x v="2"/>
    <x v="5"/>
    <s v="Brasília"/>
    <s v="Americas &gt; Brazil &gt; Brasília"/>
    <s v="Enterprise"/>
    <s v="Marketplace"/>
    <s v="G. Dubois"/>
    <x v="6"/>
    <s v="ACC-8098"/>
    <n v="1068.17"/>
    <n v="2375.37"/>
    <s v="High"/>
    <n v="0.109"/>
    <n v="18"/>
    <n v="38096.18406"/>
    <n v="1474883.6624200002"/>
    <n v="19227.060000000001"/>
    <n v="18869.124059999998"/>
    <n v="0.49530220744108822"/>
    <n v="202507"/>
    <n v="202301"/>
    <s v="Jul-2023"/>
    <n v="30"/>
    <s v="Late"/>
    <n v="0"/>
  </r>
  <r>
    <x v="19"/>
    <d v="2025-05-21T00:00:00"/>
    <s v="May-2025"/>
    <s v="Q2"/>
    <d v="2025-05-23T00:00:00"/>
    <n v="2"/>
    <x v="3"/>
    <x v="8"/>
    <s v="Birmingham"/>
    <s v="Europe &gt; United Kingdom &gt; Birmingham"/>
    <s v="Enterprise"/>
    <s v="Online"/>
    <s v="M. Rossi"/>
    <x v="4"/>
    <s v="LAP-3385"/>
    <n v="1015.16"/>
    <n v="2148.14"/>
    <s v="High"/>
    <n v="3.7999999999999999E-2"/>
    <n v="19"/>
    <n v="39263.702919999996"/>
    <n v="1474883.6624200002"/>
    <n v="19288.04"/>
    <n v="19975.662919999995"/>
    <n v="0.50875647059322227"/>
    <n v="202505"/>
    <n v="202301"/>
    <s v="May-2023"/>
    <n v="28"/>
    <s v="On Time"/>
    <n v="1"/>
  </r>
  <r>
    <x v="20"/>
    <d v="2024-07-25T00:00:00"/>
    <s v="Jul-2024"/>
    <s v="Q3"/>
    <d v="2024-07-26T00:00:00"/>
    <n v="1"/>
    <x v="0"/>
    <x v="0"/>
    <s v="Mombasa"/>
    <s v="Africa &gt; Kenya &gt; Mombasa"/>
    <s v="Non-Profit"/>
    <s v="Direct"/>
    <s v="J. Njeri"/>
    <x v="4"/>
    <s v="LAP-9815"/>
    <n v="1494.4"/>
    <n v="3661.07"/>
    <s v="High"/>
    <n v="7.1999999999999995E-2"/>
    <n v="7"/>
    <n v="23782.310720000001"/>
    <n v="1474883.6624200002"/>
    <n v="10460.800000000001"/>
    <n v="13321.51072"/>
    <n v="0.56014366630897339"/>
    <n v="202407"/>
    <n v="202301"/>
    <s v="Jul-2023"/>
    <n v="18"/>
    <s v="On Time"/>
    <n v="1"/>
  </r>
  <r>
    <x v="21"/>
    <d v="2023-05-11T00:00:00"/>
    <s v="May-2023"/>
    <s v="Q2"/>
    <d v="2023-05-28T00:00:00"/>
    <n v="17"/>
    <x v="1"/>
    <x v="9"/>
    <s v="Shenzhen"/>
    <s v="Asia &gt; China &gt; Shenzhen"/>
    <s v="Enterprise"/>
    <s v="Marketplace"/>
    <s v="E. Garcia"/>
    <x v="2"/>
    <s v="NET-3255"/>
    <n v="1331.19"/>
    <n v="2903.09"/>
    <s v="High"/>
    <n v="0.14299999999999999"/>
    <n v="8"/>
    <n v="19903.585040000002"/>
    <n v="1474883.6624200002"/>
    <n v="10649.52"/>
    <n v="9254.0650400000013"/>
    <n v="0.46494463290920784"/>
    <n v="202305"/>
    <n v="202301"/>
    <s v="May-2023"/>
    <n v="4"/>
    <s v="Late"/>
    <n v="0"/>
  </r>
  <r>
    <x v="22"/>
    <d v="2025-06-14T00:00:00"/>
    <s v="Jun-2025"/>
    <s v="Q2"/>
    <d v="2025-06-29T00:00:00"/>
    <n v="15"/>
    <x v="0"/>
    <x v="1"/>
    <s v="Port Harcourt"/>
    <s v="Africa &gt; Nigeria &gt; Port Harcourt"/>
    <s v="Consumer"/>
    <s v="Marketplace"/>
    <s v="M. Rossi"/>
    <x v="6"/>
    <s v="ACC-3961"/>
    <n v="730.99"/>
    <n v="1242.8399999999999"/>
    <s v="Medium"/>
    <n v="0.12"/>
    <n v="10"/>
    <n v="10936.992"/>
    <n v="1474883.6624200002"/>
    <n v="7309.9"/>
    <n v="3627.0920000000006"/>
    <n v="0.33163524303574515"/>
    <n v="202506"/>
    <n v="202301"/>
    <s v="Jun-2023"/>
    <n v="29"/>
    <s v="Late"/>
    <n v="0"/>
  </r>
  <r>
    <x v="23"/>
    <d v="2024-05-18T00:00:00"/>
    <s v="May-2024"/>
    <s v="Q2"/>
    <d v="2024-05-23T00:00:00"/>
    <n v="5"/>
    <x v="2"/>
    <x v="10"/>
    <s v="Chicago"/>
    <s v="Americas &gt; USA &gt; Chicago"/>
    <s v="Enterprise"/>
    <s v="Retail"/>
    <s v="H. Kim"/>
    <x v="4"/>
    <s v="LAP-4987"/>
    <n v="1274.5899999999999"/>
    <n v="2553.69"/>
    <s v="High"/>
    <n v="0.01"/>
    <n v="8"/>
    <n v="20225.2248"/>
    <n v="1474883.6624200002"/>
    <n v="10196.719999999999"/>
    <n v="10028.504800000001"/>
    <n v="0.49584145042481803"/>
    <n v="202405"/>
    <n v="202301"/>
    <s v="May-2023"/>
    <n v="16"/>
    <s v="On Time"/>
    <n v="1"/>
  </r>
  <r>
    <x v="24"/>
    <d v="2023-02-07T00:00:00"/>
    <s v="Feb-2023"/>
    <s v="Q1"/>
    <d v="2023-02-12T00:00:00"/>
    <n v="5"/>
    <x v="2"/>
    <x v="5"/>
    <s v="São Paulo"/>
    <s v="Americas &gt; Brazil &gt; São Paulo"/>
    <s v="Education"/>
    <s v="Online"/>
    <s v="N. Brown"/>
    <x v="0"/>
    <s v="CMP-2693"/>
    <n v="948.55"/>
    <n v="2089.16"/>
    <s v="Medium"/>
    <n v="7.0000000000000001E-3"/>
    <n v="12"/>
    <n v="24894.430559999997"/>
    <n v="1474883.6624200002"/>
    <n v="11382.599999999999"/>
    <n v="13511.830559999999"/>
    <n v="0.54276519912492427"/>
    <n v="202302"/>
    <n v="202301"/>
    <s v="Feb-2023"/>
    <n v="1"/>
    <s v="On Time"/>
    <n v="1"/>
  </r>
  <r>
    <x v="25"/>
    <d v="2024-06-30T00:00:00"/>
    <s v="Jun-2024"/>
    <s v="Q2"/>
    <d v="2024-07-14T00:00:00"/>
    <n v="14"/>
    <x v="2"/>
    <x v="5"/>
    <s v="Brasília"/>
    <s v="Americas &gt; Brazil &gt; Brasília"/>
    <s v="Education"/>
    <s v="Retail"/>
    <s v="C. Otieno"/>
    <x v="6"/>
    <s v="ACC-8683"/>
    <n v="1491.85"/>
    <n v="2583.02"/>
    <s v="High"/>
    <n v="0.16800000000000001"/>
    <n v="4"/>
    <n v="8596.2905599999995"/>
    <n v="1449989.2318600002"/>
    <n v="5967.4"/>
    <n v="2628.8905599999998"/>
    <n v="0.30581685689321325"/>
    <n v="202406"/>
    <n v="202301"/>
    <s v="Jun-2023"/>
    <n v="17"/>
    <s v="Late"/>
    <n v="0"/>
  </r>
  <r>
    <x v="26"/>
    <d v="2024-11-30T00:00:00"/>
    <s v="Nov-2024"/>
    <s v="Q4"/>
    <d v="2024-12-30T00:00:00"/>
    <n v="30"/>
    <x v="3"/>
    <x v="7"/>
    <s v="Marseille"/>
    <s v="Europe &gt; France &gt; Marseille"/>
    <s v="Consumer"/>
    <s v="Marketplace"/>
    <s v="F. Müller"/>
    <x v="1"/>
    <s v="PRN-4170"/>
    <n v="117.64"/>
    <n v="175.67"/>
    <s v="Low"/>
    <n v="0"/>
    <n v="10"/>
    <n v="1756.6999999999998"/>
    <n v="1449989.2318600002"/>
    <n v="1176.4000000000001"/>
    <n v="580.29999999999973"/>
    <n v="0.33033528775545046"/>
    <n v="202411"/>
    <n v="202301"/>
    <s v="Nov-2023"/>
    <n v="22"/>
    <s v="Late"/>
    <n v="0"/>
  </r>
  <r>
    <x v="27"/>
    <d v="2024-07-19T00:00:00"/>
    <s v="Jul-2024"/>
    <s v="Q3"/>
    <d v="2024-07-19T00:00:00"/>
    <n v="0"/>
    <x v="0"/>
    <x v="0"/>
    <s v="Kisumu"/>
    <s v="Africa &gt; Kenya &gt; Kisumu"/>
    <s v="Small Business"/>
    <s v="Retail"/>
    <s v="A. Patel"/>
    <x v="3"/>
    <s v="PHN-6854"/>
    <n v="857.24"/>
    <n v="758.23"/>
    <s v="Medium"/>
    <n v="0.125"/>
    <n v="6"/>
    <n v="3980.7075"/>
    <n v="1449989.2318600002"/>
    <n v="5143.4400000000005"/>
    <n v="-1162.7325000000005"/>
    <n v="-0.29209192084572921"/>
    <n v="202407"/>
    <n v="202301"/>
    <s v="Jul-2023"/>
    <n v="18"/>
    <s v="On Time"/>
    <n v="1"/>
  </r>
  <r>
    <x v="28"/>
    <d v="2023-04-14T00:00:00"/>
    <s v="Apr-2023"/>
    <s v="Q2"/>
    <d v="2023-05-14T00:00:00"/>
    <n v="30"/>
    <x v="0"/>
    <x v="0"/>
    <s v="Nakuru"/>
    <s v="Africa &gt; Kenya &gt; Nakuru"/>
    <s v="Consumer"/>
    <s v="Marketplace"/>
    <s v="M. Rossi"/>
    <x v="3"/>
    <s v="PHN-1784"/>
    <n v="209.25"/>
    <n v="434.8"/>
    <s v="Low"/>
    <n v="0"/>
    <n v="9"/>
    <n v="3913.2000000000003"/>
    <n v="1449989.2318600002"/>
    <n v="1883.25"/>
    <n v="2029.9500000000003"/>
    <n v="0.51874425022999082"/>
    <n v="202304"/>
    <n v="202301"/>
    <s v="Apr-2023"/>
    <n v="3"/>
    <s v="Late"/>
    <n v="0"/>
  </r>
  <r>
    <x v="29"/>
    <d v="2025-04-07T00:00:00"/>
    <s v="Apr-2025"/>
    <s v="Q2"/>
    <d v="2025-04-11T00:00:00"/>
    <n v="4"/>
    <x v="3"/>
    <x v="7"/>
    <s v="Lyon"/>
    <s v="Europe &gt; France &gt; Lyon"/>
    <s v="Education"/>
    <s v="Retail"/>
    <s v="E. Garcia"/>
    <x v="2"/>
    <s v="NET-9716"/>
    <n v="754.77"/>
    <n v="1666.18"/>
    <s v="Medium"/>
    <n v="0.13900000000000001"/>
    <n v="14"/>
    <n v="20084.133720000002"/>
    <n v="1449989.2318600002"/>
    <n v="10566.779999999999"/>
    <n v="9517.3537200000028"/>
    <n v="0.47387424584424653"/>
    <n v="202504"/>
    <n v="202301"/>
    <s v="Apr-2023"/>
    <n v="27"/>
    <s v="On Time"/>
    <n v="1"/>
  </r>
  <r>
    <x v="30"/>
    <d v="2024-12-27T00:00:00"/>
    <s v="Dec-2024"/>
    <s v="Q4"/>
    <d v="2025-01-15T00:00:00"/>
    <n v="19"/>
    <x v="1"/>
    <x v="4"/>
    <s v="Delhi"/>
    <s v="Asia &gt; India &gt; Delhi"/>
    <s v="Non-Profit"/>
    <s v="Distributor"/>
    <s v="G. Dubois"/>
    <x v="0"/>
    <s v="CMP-6919"/>
    <n v="495.59"/>
    <n v="631.78"/>
    <s v="Low"/>
    <n v="8.6999999999999994E-2"/>
    <n v="17"/>
    <n v="9805.8573800000013"/>
    <n v="1449989.2318600002"/>
    <n v="8425.0299999999988"/>
    <n v="1380.8273800000024"/>
    <n v="0.14081658813601899"/>
    <n v="202412"/>
    <n v="202301"/>
    <s v="Dec-2023"/>
    <n v="23"/>
    <s v="Late"/>
    <n v="0"/>
  </r>
  <r>
    <x v="31"/>
    <d v="2023-02-23T00:00:00"/>
    <s v="Feb-2023"/>
    <s v="Q1"/>
    <d v="2023-03-25T00:00:00"/>
    <n v="30"/>
    <x v="2"/>
    <x v="3"/>
    <s v="Montreal"/>
    <s v="Americas &gt; Canada &gt; Montreal"/>
    <s v="Enterprise"/>
    <s v="Online"/>
    <s v="D. Smith"/>
    <x v="3"/>
    <s v="PHN-4854"/>
    <n v="1242.6600000000001"/>
    <n v="1794.07"/>
    <s v="High"/>
    <n v="8.8999999999999996E-2"/>
    <n v="16"/>
    <n v="26150.364320000001"/>
    <n v="1440183.3744800002"/>
    <n v="19882.560000000001"/>
    <n v="6267.8043199999993"/>
    <n v="0.23968325042440553"/>
    <n v="202302"/>
    <n v="202301"/>
    <s v="Feb-2023"/>
    <n v="1"/>
    <s v="Late"/>
    <n v="0"/>
  </r>
  <r>
    <x v="32"/>
    <d v="2025-07-24T00:00:00"/>
    <s v="Jul-2025"/>
    <s v="Q3"/>
    <d v="2025-08-06T00:00:00"/>
    <n v="13"/>
    <x v="0"/>
    <x v="11"/>
    <s v="Johannesburg"/>
    <s v="Africa &gt; South Africa &gt; Johannesburg"/>
    <s v="Education"/>
    <s v="Marketplace"/>
    <s v="D. Smith"/>
    <x v="2"/>
    <s v="NET-7966"/>
    <n v="1463.9"/>
    <n v="2633.02"/>
    <s v="High"/>
    <n v="8.4000000000000005E-2"/>
    <n v="4"/>
    <n v="9647.3852800000004"/>
    <n v="1440183.3744800002"/>
    <n v="5855.6"/>
    <n v="3791.7852800000001"/>
    <n v="0.39303761277791527"/>
    <n v="202507"/>
    <n v="202301"/>
    <s v="Jul-2023"/>
    <n v="30"/>
    <s v="Late"/>
    <n v="0"/>
  </r>
  <r>
    <x v="33"/>
    <d v="2024-04-18T00:00:00"/>
    <s v="Apr-2024"/>
    <s v="Q2"/>
    <d v="2024-05-08T00:00:00"/>
    <n v="20"/>
    <x v="3"/>
    <x v="8"/>
    <s v="London"/>
    <s v="Europe &gt; United Kingdom &gt; London"/>
    <s v="Non-Profit"/>
    <s v="Not Provided"/>
    <s v="D. Smith"/>
    <x v="4"/>
    <s v="LAP-9932"/>
    <n v="645.33000000000004"/>
    <n v="1321.85"/>
    <s v="Medium"/>
    <n v="0"/>
    <n v="10"/>
    <n v="13218.5"/>
    <n v="1440183.3744800002"/>
    <n v="6453.3"/>
    <n v="6765.2"/>
    <n v="0.51179785906116426"/>
    <n v="202404"/>
    <n v="202301"/>
    <s v="Apr-2023"/>
    <n v="15"/>
    <s v="Late"/>
    <n v="0"/>
  </r>
  <r>
    <x v="34"/>
    <d v="2024-08-23T00:00:00"/>
    <s v="Aug-2024"/>
    <s v="Q3"/>
    <d v="2024-08-25T00:00:00"/>
    <n v="2"/>
    <x v="0"/>
    <x v="11"/>
    <s v="Johannesburg"/>
    <s v="Africa &gt; South Africa &gt; Johannesburg"/>
    <s v="Education"/>
    <s v="Retail"/>
    <s v="E. Garcia"/>
    <x v="0"/>
    <s v="CMP-1559"/>
    <n v="1432.52"/>
    <n v="3036.87"/>
    <s v="High"/>
    <n v="0"/>
    <n v="9"/>
    <n v="27331.829999999998"/>
    <n v="1440183.3744800002"/>
    <n v="12892.68"/>
    <n v="14439.149999999998"/>
    <n v="0.52829064135112791"/>
    <n v="202408"/>
    <n v="202301"/>
    <s v="Aug-2023"/>
    <n v="19"/>
    <s v="On Time"/>
    <n v="1"/>
  </r>
  <r>
    <x v="35"/>
    <d v="2023-03-27T00:00:00"/>
    <s v="Mar-2023"/>
    <s v="Q1"/>
    <d v="2023-04-22T00:00:00"/>
    <n v="26"/>
    <x v="1"/>
    <x v="4"/>
    <s v="Delhi"/>
    <s v="Asia &gt; India &gt; Delhi"/>
    <s v="Non-Profit"/>
    <s v="Marketplace"/>
    <s v="J. Njeri"/>
    <x v="1"/>
    <s v="PRN-4506"/>
    <n v="178.53"/>
    <n v="199.37"/>
    <s v="Low"/>
    <n v="0.10100000000000001"/>
    <n v="37"/>
    <n v="6631.6443100000006"/>
    <n v="1412851.5444800002"/>
    <n v="6605.61"/>
    <n v="26.034310000000914"/>
    <n v="3.9257699573457538E-3"/>
    <n v="202303"/>
    <n v="202301"/>
    <s v="Mar-2023"/>
    <n v="2"/>
    <s v="Late"/>
    <n v="0"/>
  </r>
  <r>
    <x v="36"/>
    <d v="2024-03-07T00:00:00"/>
    <s v="Mar-2024"/>
    <s v="Q1"/>
    <d v="2024-03-25T00:00:00"/>
    <n v="18"/>
    <x v="3"/>
    <x v="6"/>
    <s v="Munich"/>
    <s v="Europe &gt; Germany &gt; Munich"/>
    <s v="Corporate"/>
    <s v="Online"/>
    <s v="B. Chen"/>
    <x v="0"/>
    <s v="CMP-7617"/>
    <n v="712.84"/>
    <n v="927.51"/>
    <s v="Medium"/>
    <n v="0.24299999999999999"/>
    <n v="27"/>
    <n v="18957.37689"/>
    <n v="1412851.5444800002"/>
    <n v="19246.68"/>
    <n v="-289.30311000000074"/>
    <n v="-1.5260714163076427E-2"/>
    <n v="202403"/>
    <n v="202301"/>
    <s v="Mar-2023"/>
    <n v="14"/>
    <s v="Late"/>
    <n v="0"/>
  </r>
  <r>
    <x v="37"/>
    <d v="2025-06-24T00:00:00"/>
    <s v="Jun-2025"/>
    <s v="Q2"/>
    <d v="2025-07-10T00:00:00"/>
    <n v="16"/>
    <x v="1"/>
    <x v="9"/>
    <s v="Shanghai"/>
    <s v="Asia &gt; China &gt; Shanghai"/>
    <s v="Enterprise"/>
    <s v="Direct"/>
    <s v="N. Brown"/>
    <x v="0"/>
    <s v="CMP-8390"/>
    <n v="757.19"/>
    <n v="1735.41"/>
    <s v="Medium"/>
    <n v="0.13600000000000001"/>
    <n v="8"/>
    <n v="11995.153920000001"/>
    <n v="1393894.1675900002"/>
    <n v="6057.52"/>
    <n v="5937.6339200000002"/>
    <n v="0.4950027285685718"/>
    <n v="202506"/>
    <n v="202301"/>
    <s v="Jun-2023"/>
    <n v="29"/>
    <s v="Late"/>
    <n v="0"/>
  </r>
  <r>
    <x v="38"/>
    <d v="2024-04-19T00:00:00"/>
    <s v="Apr-2024"/>
    <s v="Q2"/>
    <d v="2024-05-06T00:00:00"/>
    <n v="17"/>
    <x v="0"/>
    <x v="1"/>
    <s v="Port Harcourt"/>
    <s v="Africa &gt; Nigeria &gt; Port Harcourt"/>
    <s v="Non-Profit"/>
    <s v="Online"/>
    <s v="A. Patel"/>
    <x v="1"/>
    <s v="PRN-7303"/>
    <n v="865.33"/>
    <n v="1395.64"/>
    <s v="Medium"/>
    <n v="0.17499999999999999"/>
    <n v="13"/>
    <n v="14968.239"/>
    <n v="1381899.01367"/>
    <n v="11249.29"/>
    <n v="3718.9489999999987"/>
    <n v="0.24845601409758347"/>
    <n v="202404"/>
    <n v="202301"/>
    <s v="Apr-2023"/>
    <n v="15"/>
    <s v="Late"/>
    <n v="0"/>
  </r>
  <r>
    <x v="39"/>
    <d v="2023-06-17T00:00:00"/>
    <s v="Jun-2023"/>
    <s v="Q2"/>
    <d v="2023-06-24T00:00:00"/>
    <n v="7"/>
    <x v="2"/>
    <x v="10"/>
    <s v="San Francisco"/>
    <s v="Americas &gt; USA &gt; San Francisco"/>
    <s v="Corporate"/>
    <s v="Retail"/>
    <s v="I. Johnson"/>
    <x v="1"/>
    <s v="PRN-6536"/>
    <n v="313.99"/>
    <n v="454.42"/>
    <s v="Low"/>
    <n v="0.129"/>
    <n v="9"/>
    <n v="3562.1983800000003"/>
    <n v="1381899.01367"/>
    <n v="2825.91"/>
    <n v="736.28838000000042"/>
    <n v="0.20669493988147858"/>
    <n v="202306"/>
    <n v="202301"/>
    <s v="Jun-2023"/>
    <n v="5"/>
    <s v="On Time"/>
    <n v="1"/>
  </r>
  <r>
    <x v="40"/>
    <d v="2024-08-27T00:00:00"/>
    <s v="Aug-2024"/>
    <s v="Q3"/>
    <d v="2024-09-19T00:00:00"/>
    <n v="23"/>
    <x v="3"/>
    <x v="6"/>
    <s v="Berlin"/>
    <s v="Europe &gt; Germany &gt; Berlin"/>
    <s v="Small Business"/>
    <s v="Direct"/>
    <s v="D. Smith"/>
    <x v="5"/>
    <s v="MON-9967"/>
    <n v="1024.01"/>
    <n v="1580.97"/>
    <s v="High"/>
    <n v="3.6999999999999998E-2"/>
    <n v="27"/>
    <n v="41106.800970000004"/>
    <n v="1381899.01367"/>
    <n v="27648.27"/>
    <n v="13458.530970000003"/>
    <n v="0.3274039976942531"/>
    <n v="202408"/>
    <n v="202301"/>
    <s v="Aug-2023"/>
    <n v="19"/>
    <s v="Late"/>
    <n v="0"/>
  </r>
  <r>
    <x v="41"/>
    <d v="2024-01-11T00:00:00"/>
    <s v="Jan-2024"/>
    <s v="Q1"/>
    <d v="2024-02-02T00:00:00"/>
    <n v="22"/>
    <x v="0"/>
    <x v="11"/>
    <s v="Durban"/>
    <s v="Africa &gt; South Africa &gt; Durban"/>
    <s v="Consumer"/>
    <s v="Online"/>
    <s v="K. Singh"/>
    <x v="2"/>
    <s v="NET-1412"/>
    <n v="1206.2"/>
    <n v="1759.79"/>
    <s v="High"/>
    <n v="0"/>
    <n v="6"/>
    <n v="10558.74"/>
    <n v="1381899.01367"/>
    <n v="7237.2000000000007"/>
    <n v="3321.5399999999991"/>
    <n v="0.31457730751964713"/>
    <n v="202401"/>
    <n v="202301"/>
    <s v="Jan-2023"/>
    <n v="12"/>
    <s v="Late"/>
    <n v="0"/>
  </r>
  <r>
    <x v="42"/>
    <d v="2024-10-25T00:00:00"/>
    <s v="Oct-2024"/>
    <s v="Q4"/>
    <d v="2024-11-14T00:00:00"/>
    <n v="20"/>
    <x v="0"/>
    <x v="0"/>
    <s v="Mombasa"/>
    <s v="Africa &gt; Kenya &gt; Mombasa"/>
    <s v="Corporate"/>
    <s v="Direct"/>
    <s v="H. Kim"/>
    <x v="1"/>
    <s v="PRN-3143"/>
    <n v="1396.48"/>
    <n v="3204.5"/>
    <s v="High"/>
    <n v="0.318"/>
    <n v="14"/>
    <n v="30596.565999999999"/>
    <n v="1381899.01367"/>
    <n v="19550.72"/>
    <n v="11045.845999999998"/>
    <n v="0.36101587348070363"/>
    <n v="202410"/>
    <n v="202301"/>
    <s v="Oct-2023"/>
    <n v="21"/>
    <s v="Late"/>
    <n v="0"/>
  </r>
  <r>
    <x v="43"/>
    <d v="2025-05-29T00:00:00"/>
    <s v="May-2025"/>
    <s v="Q2"/>
    <d v="2025-06-20T00:00:00"/>
    <n v="22"/>
    <x v="3"/>
    <x v="6"/>
    <s v="Berlin"/>
    <s v="Europe &gt; Germany &gt; Berlin"/>
    <s v="Corporate"/>
    <s v="Direct"/>
    <s v="A. Patel"/>
    <x v="1"/>
    <s v="PRN-9787"/>
    <n v="483.47"/>
    <n v="1135.43"/>
    <s v="Low"/>
    <n v="0.14599999999999999"/>
    <n v="11"/>
    <n v="10666.229420000001"/>
    <n v="1381899.01367"/>
    <n v="5318.17"/>
    <n v="5348.0594200000014"/>
    <n v="0.50140112399719983"/>
    <n v="202505"/>
    <n v="202301"/>
    <s v="May-2023"/>
    <n v="28"/>
    <s v="Late"/>
    <n v="0"/>
  </r>
  <r>
    <x v="44"/>
    <d v="2024-05-20T00:00:00"/>
    <s v="May-2024"/>
    <s v="Q2"/>
    <d v="2024-06-02T00:00:00"/>
    <n v="13"/>
    <x v="2"/>
    <x v="3"/>
    <s v="Vancouver"/>
    <s v="Americas &gt; Canada &gt; Vancouver"/>
    <s v="Enterprise"/>
    <s v="Marketplace"/>
    <s v="K. Singh"/>
    <x v="0"/>
    <s v="CMP-5946"/>
    <n v="675.43"/>
    <n v="996.36"/>
    <s v="Medium"/>
    <n v="0.182"/>
    <n v="22"/>
    <n v="17930.494560000003"/>
    <n v="1381899.01367"/>
    <n v="14859.46"/>
    <n v="3071.0345600000037"/>
    <n v="0.17127439233332575"/>
    <n v="202405"/>
    <n v="202301"/>
    <s v="May-2023"/>
    <n v="16"/>
    <s v="Late"/>
    <n v="0"/>
  </r>
  <r>
    <x v="45"/>
    <d v="2023-04-19T00:00:00"/>
    <s v="Apr-2023"/>
    <s v="Q2"/>
    <d v="2023-04-30T00:00:00"/>
    <n v="11"/>
    <x v="1"/>
    <x v="4"/>
    <s v="Delhi"/>
    <s v="Asia &gt; India &gt; Delhi"/>
    <s v="Small Business"/>
    <s v="Retail"/>
    <s v="A. Patel"/>
    <x v="2"/>
    <s v="NET-2062"/>
    <n v="826.55"/>
    <n v="1397.05"/>
    <s v="Medium"/>
    <n v="0.16900000000000001"/>
    <n v="28"/>
    <n v="32506.559399999998"/>
    <n v="1363968.51911"/>
    <n v="23143.399999999998"/>
    <n v="9363.1594000000005"/>
    <n v="0.28803907804527601"/>
    <n v="202304"/>
    <n v="202301"/>
    <s v="Apr-2023"/>
    <n v="3"/>
    <s v="Late"/>
    <n v="0"/>
  </r>
  <r>
    <x v="46"/>
    <d v="2023-06-23T00:00:00"/>
    <s v="Jun-2023"/>
    <s v="Q2"/>
    <d v="2023-07-03T00:00:00"/>
    <n v="10"/>
    <x v="0"/>
    <x v="1"/>
    <s v="Abuja"/>
    <s v="Africa &gt; Nigeria &gt; Abuja"/>
    <s v="Consumer"/>
    <s v="Online"/>
    <s v="J. Njeri"/>
    <x v="1"/>
    <s v="PRN-2542"/>
    <n v="337.75"/>
    <n v="548.89"/>
    <s v="Low"/>
    <n v="0"/>
    <n v="13"/>
    <n v="7135.57"/>
    <n v="1363968.51911"/>
    <n v="4390.75"/>
    <n v="2744.8199999999997"/>
    <n v="0.38466723751571352"/>
    <n v="202306"/>
    <n v="202301"/>
    <s v="Jun-2023"/>
    <n v="5"/>
    <s v="Late"/>
    <n v="0"/>
  </r>
  <r>
    <x v="47"/>
    <d v="2024-05-14T00:00:00"/>
    <s v="May-2024"/>
    <s v="Q2"/>
    <d v="2024-05-28T00:00:00"/>
    <n v="14"/>
    <x v="3"/>
    <x v="8"/>
    <s v="Birmingham"/>
    <s v="Europe &gt; United Kingdom &gt; Birmingham"/>
    <s v="Consumer"/>
    <s v="Retail"/>
    <s v="B. Chen"/>
    <x v="2"/>
    <s v="NET-2365"/>
    <n v="1421.14"/>
    <n v="3524"/>
    <s v="High"/>
    <n v="0"/>
    <n v="31"/>
    <n v="109244"/>
    <n v="1363968.51911"/>
    <n v="44055.340000000004"/>
    <n v="65188.659999999996"/>
    <n v="0.59672531214528945"/>
    <n v="202405"/>
    <n v="202301"/>
    <s v="May-2023"/>
    <n v="16"/>
    <s v="Late"/>
    <n v="0"/>
  </r>
  <r>
    <x v="48"/>
    <d v="2024-10-14T00:00:00"/>
    <s v="Oct-2024"/>
    <s v="Q4"/>
    <d v="2024-11-08T00:00:00"/>
    <n v="25"/>
    <x v="0"/>
    <x v="1"/>
    <s v="Lagos"/>
    <s v="Africa &gt; Nigeria &gt; Lagos"/>
    <s v="Enterprise"/>
    <s v="Online"/>
    <s v="O. Wang"/>
    <x v="2"/>
    <s v="NET-5268"/>
    <n v="859.35"/>
    <n v="1825.61"/>
    <s v="Medium"/>
    <n v="0.187"/>
    <n v="24"/>
    <n v="35621.302319999995"/>
    <n v="1363968.51911"/>
    <n v="20624.400000000001"/>
    <n v="14996.902319999994"/>
    <n v="0.42100937762681989"/>
    <n v="202410"/>
    <n v="202301"/>
    <s v="Oct-2023"/>
    <n v="21"/>
    <s v="Late"/>
    <n v="0"/>
  </r>
  <r>
    <x v="49"/>
    <d v="2023-07-10T00:00:00"/>
    <s v="Jul-2023"/>
    <s v="Q3"/>
    <d v="2023-08-01T00:00:00"/>
    <n v="22"/>
    <x v="3"/>
    <x v="7"/>
    <s v="Marseille"/>
    <s v="Europe &gt; France &gt; Marseille"/>
    <s v="Consumer"/>
    <s v="Marketplace"/>
    <s v="B. Chen"/>
    <x v="1"/>
    <s v="PRN-1504"/>
    <n v="1303.56"/>
    <n v="1791.37"/>
    <s v="High"/>
    <n v="0.126"/>
    <n v="22"/>
    <n v="34444.462359999998"/>
    <n v="1363968.51911"/>
    <n v="28678.32"/>
    <n v="5766.142359999998"/>
    <n v="0.16740404596055358"/>
    <n v="202307"/>
    <n v="202301"/>
    <s v="Jul-2023"/>
    <n v="6"/>
    <s v="Late"/>
    <n v="0"/>
  </r>
  <r>
    <x v="50"/>
    <d v="2024-11-06T00:00:00"/>
    <s v="Nov-2024"/>
    <s v="Q4"/>
    <d v="2024-11-22T00:00:00"/>
    <n v="16"/>
    <x v="2"/>
    <x v="3"/>
    <s v="Toronto"/>
    <s v="Americas &gt; Canada &gt; Toronto"/>
    <s v="Non-Profit"/>
    <s v="Distributor"/>
    <s v="D. Smith"/>
    <x v="6"/>
    <s v="ACC-6348"/>
    <n v="1454.11"/>
    <n v="2629.75"/>
    <s v="High"/>
    <n v="0.29199999999999998"/>
    <n v="8"/>
    <n v="14894.903999999999"/>
    <n v="1363968.51911"/>
    <n v="11632.88"/>
    <n v="3262.0239999999994"/>
    <n v="0.21900268709351867"/>
    <n v="202411"/>
    <n v="202301"/>
    <s v="Nov-2023"/>
    <n v="22"/>
    <s v="Late"/>
    <n v="0"/>
  </r>
  <r>
    <x v="51"/>
    <d v="2024-10-17T00:00:00"/>
    <s v="Oct-2024"/>
    <s v="Q4"/>
    <d v="2024-11-06T00:00:00"/>
    <n v="20"/>
    <x v="1"/>
    <x v="4"/>
    <s v="Bengaluru"/>
    <s v="Asia &gt; India &gt; Bengaluru"/>
    <s v="Enterprise"/>
    <s v="Distributor"/>
    <s v="O. Wang"/>
    <x v="5"/>
    <s v="MON-4330"/>
    <n v="72.94"/>
    <n v="106.3"/>
    <s v="Low"/>
    <n v="0.29499999999999998"/>
    <n v="8"/>
    <n v="599.53200000000004"/>
    <n v="1363968.51911"/>
    <n v="583.52"/>
    <n v="16.012000000000057"/>
    <n v="2.6707498515508857E-2"/>
    <n v="202410"/>
    <n v="202301"/>
    <s v="Oct-2023"/>
    <n v="21"/>
    <s v="Late"/>
    <n v="0"/>
  </r>
  <r>
    <x v="52"/>
    <d v="2023-03-31T00:00:00"/>
    <s v="Mar-2023"/>
    <s v="Q1"/>
    <d v="2023-04-05T00:00:00"/>
    <n v="5"/>
    <x v="0"/>
    <x v="0"/>
    <s v="Nakuru"/>
    <s v="Africa &gt; Kenya &gt; Nakuru"/>
    <s v="Education"/>
    <s v="Marketplace"/>
    <s v="B. Chen"/>
    <x v="4"/>
    <s v="LAP-7819"/>
    <n v="533.26"/>
    <n v="385.72"/>
    <s v="Medium"/>
    <n v="0"/>
    <n v="15"/>
    <n v="5785.8"/>
    <n v="1363968.51911"/>
    <n v="7998.9"/>
    <n v="-2213.0999999999995"/>
    <n v="-0.38250544436378708"/>
    <n v="202303"/>
    <n v="202301"/>
    <s v="Mar-2023"/>
    <n v="2"/>
    <s v="On Time"/>
    <n v="1"/>
  </r>
  <r>
    <x v="53"/>
    <d v="2025-01-21T00:00:00"/>
    <s v="Jan-2025"/>
    <s v="Q1"/>
    <d v="2025-02-16T00:00:00"/>
    <n v="26"/>
    <x v="3"/>
    <x v="7"/>
    <s v="Lyon"/>
    <s v="Europe &gt; France &gt; Lyon"/>
    <s v="Corporate"/>
    <s v="Distributor"/>
    <s v="O. Wang"/>
    <x v="4"/>
    <s v="LAP-3779"/>
    <n v="204.11"/>
    <n v="236.87"/>
    <s v="Low"/>
    <n v="0.182"/>
    <n v="13"/>
    <n v="2518.8755800000004"/>
    <n v="1363968.51911"/>
    <n v="2653.4300000000003"/>
    <n v="-134.55441999999994"/>
    <n v="-5.3418446337075494E-2"/>
    <n v="202501"/>
    <n v="202301"/>
    <s v="Jan-2023"/>
    <n v="24"/>
    <s v="Late"/>
    <n v="0"/>
  </r>
  <r>
    <x v="54"/>
    <d v="2023-08-30T00:00:00"/>
    <s v="Aug-2023"/>
    <s v="Q3"/>
    <d v="2023-09-01T00:00:00"/>
    <n v="2"/>
    <x v="3"/>
    <x v="6"/>
    <s v="Munich"/>
    <s v="Europe &gt; Germany &gt; Munich"/>
    <s v="Corporate"/>
    <s v="Direct"/>
    <s v="N. Brown"/>
    <x v="2"/>
    <s v="NET-9989"/>
    <n v="44.42"/>
    <n v="41.9"/>
    <s v="Low"/>
    <n v="0.14399999999999999"/>
    <n v="6"/>
    <n v="215.19839999999996"/>
    <n v="1363968.51911"/>
    <n v="266.52"/>
    <n v="-51.321600000000018"/>
    <n v="-0.23848504449847224"/>
    <n v="202308"/>
    <n v="202301"/>
    <s v="Aug-2023"/>
    <n v="7"/>
    <s v="On Time"/>
    <n v="1"/>
  </r>
  <r>
    <x v="55"/>
    <d v="2025-04-06T00:00:00"/>
    <s v="Apr-2025"/>
    <s v="Q2"/>
    <d v="2025-04-30T00:00:00"/>
    <n v="24"/>
    <x v="2"/>
    <x v="5"/>
    <s v="Brasília"/>
    <s v="Americas &gt; Brazil &gt; Brasília"/>
    <s v="Education"/>
    <s v="Online"/>
    <s v="K. Singh"/>
    <x v="5"/>
    <s v="MON-4925"/>
    <n v="855.78"/>
    <n v="977.38"/>
    <s v="Medium"/>
    <n v="0.14699999999999999"/>
    <n v="38"/>
    <n v="31680.795320000001"/>
    <n v="1363968.51911"/>
    <n v="32519.64"/>
    <n v="-838.84467999999833"/>
    <n v="-2.6478018355506307E-2"/>
    <n v="202504"/>
    <n v="202301"/>
    <s v="Apr-2023"/>
    <n v="27"/>
    <s v="Late"/>
    <n v="0"/>
  </r>
  <r>
    <x v="56"/>
    <d v="2025-02-09T00:00:00"/>
    <s v="Feb-2025"/>
    <s v="Q1"/>
    <d v="2025-03-01T00:00:00"/>
    <n v="20"/>
    <x v="2"/>
    <x v="5"/>
    <s v="São Paulo"/>
    <s v="Americas &gt; Brazil &gt; São Paulo"/>
    <s v="Corporate"/>
    <s v="Distributor"/>
    <s v="B. Chen"/>
    <x v="4"/>
    <s v="LAP-6989"/>
    <n v="1154.6400000000001"/>
    <n v="2794.13"/>
    <s v="High"/>
    <n v="3.5000000000000003E-2"/>
    <n v="11"/>
    <n v="29659.68995"/>
    <n v="1363968.51911"/>
    <n v="12701.04"/>
    <n v="16958.649949999999"/>
    <n v="0.57177435025749479"/>
    <n v="202502"/>
    <n v="202301"/>
    <s v="Feb-2023"/>
    <n v="25"/>
    <s v="Late"/>
    <n v="0"/>
  </r>
  <r>
    <x v="57"/>
    <d v="2024-12-17T00:00:00"/>
    <s v="Dec-2024"/>
    <s v="Q4"/>
    <d v="2024-12-18T00:00:00"/>
    <n v="1"/>
    <x v="3"/>
    <x v="6"/>
    <s v="Munich"/>
    <s v="Europe &gt; Germany &gt; Munich"/>
    <s v="Education"/>
    <s v="Retail"/>
    <s v="L. Okafor"/>
    <x v="6"/>
    <s v="ACC-5780"/>
    <n v="346.82"/>
    <n v="701.95"/>
    <s v="Low"/>
    <n v="0.14699999999999999"/>
    <n v="8"/>
    <n v="4790.1068000000005"/>
    <n v="1363968.51911"/>
    <n v="2774.56"/>
    <n v="2015.5468000000005"/>
    <n v="0.42077283120284509"/>
    <n v="202412"/>
    <n v="202301"/>
    <s v="Dec-2023"/>
    <n v="23"/>
    <s v="On Time"/>
    <n v="1"/>
  </r>
  <r>
    <x v="58"/>
    <d v="2025-06-09T00:00:00"/>
    <s v="Jun-2025"/>
    <s v="Q2"/>
    <d v="2025-06-18T00:00:00"/>
    <n v="9"/>
    <x v="3"/>
    <x v="7"/>
    <s v="Marseille"/>
    <s v="Europe &gt; France &gt; Marseille"/>
    <s v="Small Business"/>
    <s v="Marketplace"/>
    <s v="H. Kim"/>
    <x v="6"/>
    <s v="ACC-1770"/>
    <n v="1225.5"/>
    <n v="5.27"/>
    <s v="High"/>
    <n v="7.4999999999999997E-2"/>
    <n v="56"/>
    <n v="272.98599999999999"/>
    <n v="1363968.51911"/>
    <n v="68628"/>
    <n v="-68355.013999999996"/>
    <n v="-250.39750756449047"/>
    <n v="202506"/>
    <n v="202301"/>
    <s v="Jun-2023"/>
    <n v="29"/>
    <s v="Late"/>
    <n v="0"/>
  </r>
  <r>
    <x v="59"/>
    <d v="2025-05-02T00:00:00"/>
    <s v="May-2025"/>
    <s v="Q2"/>
    <d v="2025-05-13T00:00:00"/>
    <n v="11"/>
    <x v="0"/>
    <x v="0"/>
    <s v="Nakuru"/>
    <s v="Africa &gt; Kenya &gt; Nakuru"/>
    <s v="Small Business"/>
    <s v="Online"/>
    <s v="A. Patel"/>
    <x v="6"/>
    <s v="ACC-2252"/>
    <n v="1057.5999999999999"/>
    <n v="1437.06"/>
    <s v="High"/>
    <n v="0.20499999999999999"/>
    <n v="4"/>
    <n v="4569.8508000000002"/>
    <n v="1363968.51911"/>
    <n v="4230.3999999999996"/>
    <n v="339.45080000000053"/>
    <n v="7.4280499485891424E-2"/>
    <n v="202505"/>
    <n v="202301"/>
    <s v="May-2023"/>
    <n v="28"/>
    <s v="Late"/>
    <n v="0"/>
  </r>
  <r>
    <x v="60"/>
    <d v="2024-03-10T00:00:00"/>
    <s v="Mar-2024"/>
    <s v="Q1"/>
    <d v="2024-04-09T00:00:00"/>
    <n v="30"/>
    <x v="3"/>
    <x v="7"/>
    <s v="Lyon"/>
    <s v="Europe &gt; France &gt; Lyon"/>
    <s v="Corporate"/>
    <s v="Direct"/>
    <s v="I. Johnson"/>
    <x v="0"/>
    <s v="CMP-8002"/>
    <n v="1176.56"/>
    <n v="1911.89"/>
    <s v="High"/>
    <n v="0.11899999999999999"/>
    <n v="20"/>
    <n v="33687.501800000005"/>
    <n v="1363968.51911"/>
    <n v="23531.199999999997"/>
    <n v="10156.301800000008"/>
    <n v="0.30148575160892477"/>
    <n v="202403"/>
    <n v="202301"/>
    <s v="Mar-2023"/>
    <n v="14"/>
    <s v="Late"/>
    <n v="0"/>
  </r>
  <r>
    <x v="61"/>
    <d v="2025-09-10T00:00:00"/>
    <s v="Sept-2025"/>
    <s v="Q3"/>
    <d v="2025-09-12T00:00:00"/>
    <n v="2"/>
    <x v="1"/>
    <x v="2"/>
    <s v="Tokyo"/>
    <s v="Asia &gt; Japan &gt; Tokyo"/>
    <s v="Consumer"/>
    <s v="Online"/>
    <s v="O. Wang"/>
    <x v="0"/>
    <s v="CMP-6971"/>
    <n v="1470.15"/>
    <n v="2593.7800000000002"/>
    <s v="High"/>
    <n v="0.11"/>
    <n v="12"/>
    <n v="27701.570400000001"/>
    <n v="1330281.0173099998"/>
    <n v="17641.800000000003"/>
    <n v="10059.770399999998"/>
    <n v="0.36314801849645306"/>
    <n v="202509"/>
    <n v="202303"/>
    <s v="Sept-2023"/>
    <n v="30"/>
    <s v="On Time"/>
    <n v="1"/>
  </r>
  <r>
    <x v="62"/>
    <d v="2025-04-27T00:00:00"/>
    <s v="Apr-2025"/>
    <s v="Q2"/>
    <d v="2025-05-25T00:00:00"/>
    <n v="28"/>
    <x v="3"/>
    <x v="7"/>
    <s v="Paris"/>
    <s v="Europe &gt; France &gt; Paris"/>
    <s v="Small Business"/>
    <s v="Marketplace"/>
    <s v="I. Johnson"/>
    <x v="3"/>
    <s v="PHN-8350"/>
    <n v="603.45000000000005"/>
    <n v="1244.08"/>
    <s v="Medium"/>
    <n v="0.2"/>
    <n v="11"/>
    <n v="10947.904"/>
    <n v="1302579.4469099999"/>
    <n v="6637.9500000000007"/>
    <n v="4309.9539999999997"/>
    <n v="0.39367846119220623"/>
    <n v="202504"/>
    <n v="202301"/>
    <s v="Apr-2023"/>
    <n v="27"/>
    <s v="Late"/>
    <n v="0"/>
  </r>
  <r>
    <x v="63"/>
    <d v="2024-11-02T00:00:00"/>
    <s v="Nov-2024"/>
    <s v="Q4"/>
    <d v="2024-11-18T00:00:00"/>
    <n v="16"/>
    <x v="1"/>
    <x v="4"/>
    <s v="Mumbai"/>
    <s v="Asia &gt; India &gt; Mumbai"/>
    <s v="Small Business"/>
    <s v="Distributor"/>
    <s v="O. Wang"/>
    <x v="5"/>
    <s v="MON-5188"/>
    <n v="1233.58"/>
    <n v="1912.51"/>
    <s v="High"/>
    <n v="0.255"/>
    <n v="51"/>
    <n v="72665.817450000002"/>
    <n v="1302579.4469099999"/>
    <n v="62912.579999999994"/>
    <n v="9753.2374500000078"/>
    <n v="0.134220432553601"/>
    <n v="202411"/>
    <n v="202301"/>
    <s v="Nov-2023"/>
    <n v="22"/>
    <s v="Late"/>
    <n v="0"/>
  </r>
  <r>
    <x v="64"/>
    <d v="2023-02-15T00:00:00"/>
    <s v="Feb-2023"/>
    <s v="Q1"/>
    <d v="2023-02-26T00:00:00"/>
    <n v="11"/>
    <x v="0"/>
    <x v="11"/>
    <s v="Johannesburg"/>
    <s v="Africa &gt; South Africa &gt; Johannesburg"/>
    <s v="Non-Profit"/>
    <s v="Retail"/>
    <s v="K. Singh"/>
    <x v="4"/>
    <s v="LAP-3393"/>
    <n v="498.5"/>
    <n v="755.87"/>
    <s v="Low"/>
    <n v="0.13"/>
    <n v="40"/>
    <n v="26304.275999999998"/>
    <n v="1302579.4469099999"/>
    <n v="19940"/>
    <n v="6364.275999999998"/>
    <n v="0.24194834330357537"/>
    <n v="202302"/>
    <n v="202301"/>
    <s v="Feb-2023"/>
    <n v="1"/>
    <s v="Late"/>
    <n v="0"/>
  </r>
  <r>
    <x v="65"/>
    <d v="2023-12-03T00:00:00"/>
    <s v="Dec-2023"/>
    <s v="Q4"/>
    <d v="2023-12-26T00:00:00"/>
    <n v="23"/>
    <x v="2"/>
    <x v="5"/>
    <s v="Rio de Janeiro"/>
    <s v="Americas &gt; Brazil &gt; Rio de Janeiro"/>
    <s v="Education"/>
    <s v="Retail"/>
    <s v="O. Wang"/>
    <x v="3"/>
    <s v="PHN-4644"/>
    <n v="1303.1099999999999"/>
    <n v="1145.67"/>
    <s v="High"/>
    <n v="0.184"/>
    <n v="13"/>
    <n v="12153.267360000002"/>
    <n v="1302579.4469099999"/>
    <n v="16940.43"/>
    <n v="-4787.1626399999986"/>
    <n v="-0.39389922875851208"/>
    <n v="202312"/>
    <n v="202301"/>
    <s v="Dec-2023"/>
    <n v="11"/>
    <s v="Late"/>
    <n v="0"/>
  </r>
  <r>
    <x v="66"/>
    <d v="2023-03-19T00:00:00"/>
    <s v="Mar-2023"/>
    <s v="Q1"/>
    <d v="2023-04-09T00:00:00"/>
    <n v="21"/>
    <x v="3"/>
    <x v="8"/>
    <s v="Manchester"/>
    <s v="Europe &gt; United Kingdom &gt; Manchester"/>
    <s v="Consumer"/>
    <s v="Retail"/>
    <s v="L. Okafor"/>
    <x v="6"/>
    <s v="ACC-9150"/>
    <n v="1082.17"/>
    <n v="1234.0999999999999"/>
    <s v="High"/>
    <n v="0.189"/>
    <n v="16"/>
    <n v="16013.681599999998"/>
    <n v="1302579.4469099999"/>
    <n v="17314.72"/>
    <n v="-1301.0384000000031"/>
    <n v="-8.124542703534228E-2"/>
    <n v="202303"/>
    <n v="202301"/>
    <s v="Mar-2023"/>
    <n v="2"/>
    <s v="Late"/>
    <n v="0"/>
  </r>
  <r>
    <x v="67"/>
    <d v="2024-05-22T00:00:00"/>
    <s v="May-2024"/>
    <s v="Q2"/>
    <d v="2024-06-06T00:00:00"/>
    <n v="15"/>
    <x v="1"/>
    <x v="2"/>
    <s v="Nagoya"/>
    <s v="Asia &gt; Japan &gt; Nagoya"/>
    <s v="Corporate"/>
    <s v="Distributor"/>
    <s v="C. Otieno"/>
    <x v="5"/>
    <s v="MON-6870"/>
    <n v="673.88"/>
    <n v="1228.01"/>
    <s v="Medium"/>
    <n v="0.105"/>
    <n v="13"/>
    <n v="14287.896349999999"/>
    <n v="1302579.4469099999"/>
    <n v="8760.44"/>
    <n v="5527.4563499999986"/>
    <n v="0.38686285332689996"/>
    <n v="202405"/>
    <n v="202303"/>
    <s v="May-2023"/>
    <n v="14"/>
    <s v="Late"/>
    <n v="0"/>
  </r>
  <r>
    <x v="68"/>
    <d v="2023-08-19T00:00:00"/>
    <s v="Aug-2023"/>
    <s v="Q3"/>
    <d v="2023-09-07T00:00:00"/>
    <n v="19"/>
    <x v="0"/>
    <x v="11"/>
    <s v="Johannesburg"/>
    <s v="Africa &gt; South Africa &gt; Johannesburg"/>
    <s v="Enterprise"/>
    <s v="Retail"/>
    <s v="D. Smith"/>
    <x v="5"/>
    <s v="MON-2296"/>
    <n v="494.61"/>
    <n v="605.23"/>
    <s v="Low"/>
    <n v="0.20399999999999999"/>
    <n v="18"/>
    <n v="8671.7354400000004"/>
    <n v="1302579.4469099999"/>
    <n v="8902.98"/>
    <n v="-231.24455999999918"/>
    <n v="-2.6666468505639647E-2"/>
    <n v="202308"/>
    <n v="202301"/>
    <s v="Aug-2023"/>
    <n v="7"/>
    <s v="Late"/>
    <n v="0"/>
  </r>
  <r>
    <x v="69"/>
    <d v="2023-04-21T00:00:00"/>
    <s v="Apr-2023"/>
    <s v="Q2"/>
    <d v="2023-05-10T00:00:00"/>
    <n v="19"/>
    <x v="1"/>
    <x v="9"/>
    <s v="Shanghai"/>
    <s v="Asia &gt; China &gt; Shanghai"/>
    <s v="Corporate"/>
    <s v="Retail"/>
    <s v="A. Patel"/>
    <x v="0"/>
    <s v="CMP-7371"/>
    <n v="882.33"/>
    <n v="1880.15"/>
    <s v="Medium"/>
    <n v="0.05"/>
    <n v="5"/>
    <n v="8930.7124999999996"/>
    <n v="1302579.4469099999"/>
    <n v="4411.6500000000005"/>
    <n v="4519.0624999999991"/>
    <n v="0.50601365792482955"/>
    <n v="202304"/>
    <n v="202301"/>
    <s v="Apr-2023"/>
    <n v="3"/>
    <s v="Late"/>
    <n v="0"/>
  </r>
  <r>
    <x v="70"/>
    <d v="2024-03-18T00:00:00"/>
    <s v="Mar-2024"/>
    <s v="Q1"/>
    <d v="2024-03-21T00:00:00"/>
    <n v="3"/>
    <x v="3"/>
    <x v="6"/>
    <s v="Munich"/>
    <s v="Europe &gt; Germany &gt; Munich"/>
    <s v="Small Business"/>
    <s v="Online"/>
    <s v="M. Rossi"/>
    <x v="6"/>
    <s v="ACC-2761"/>
    <n v="910.63"/>
    <n v="1269.4000000000001"/>
    <s v="Medium"/>
    <n v="6.8000000000000005E-2"/>
    <n v="9"/>
    <n v="10647.727199999999"/>
    <n v="1293648.7344099998"/>
    <n v="8195.67"/>
    <n v="2452.0571999999993"/>
    <n v="0.23028925834989455"/>
    <n v="202403"/>
    <n v="202301"/>
    <s v="Mar-2023"/>
    <n v="14"/>
    <s v="On Time"/>
    <n v="1"/>
  </r>
  <r>
    <x v="71"/>
    <d v="2025-04-09T00:00:00"/>
    <s v="Apr-2025"/>
    <s v="Q2"/>
    <d v="2025-05-06T00:00:00"/>
    <n v="27"/>
    <x v="2"/>
    <x v="5"/>
    <s v="Brasília"/>
    <s v="Americas &gt; Brazil &gt; Brasília"/>
    <s v="Enterprise"/>
    <s v="Marketplace"/>
    <s v="F. Müller"/>
    <x v="4"/>
    <s v="LAP-4517"/>
    <n v="264.19"/>
    <n v="620.92999999999995"/>
    <s v="Low"/>
    <n v="0.14199999999999999"/>
    <n v="12"/>
    <n v="6393.0952799999995"/>
    <n v="1293648.7344099998"/>
    <n v="3170.2799999999997"/>
    <n v="3222.8152799999998"/>
    <n v="0.50410875152794532"/>
    <n v="202504"/>
    <n v="202301"/>
    <s v="Apr-2023"/>
    <n v="27"/>
    <s v="Late"/>
    <n v="0"/>
  </r>
  <r>
    <x v="72"/>
    <d v="2024-04-12T00:00:00"/>
    <s v="Apr-2024"/>
    <s v="Q2"/>
    <d v="2024-05-07T00:00:00"/>
    <n v="25"/>
    <x v="0"/>
    <x v="11"/>
    <s v="Johannesburg"/>
    <s v="Africa &gt; South Africa &gt; Johannesburg"/>
    <s v="Education"/>
    <s v="Distributor"/>
    <s v="A. Patel"/>
    <x v="4"/>
    <s v="LAP-8489"/>
    <n v="1376.51"/>
    <n v="1455.91"/>
    <s v="High"/>
    <n v="0.185"/>
    <n v="17"/>
    <n v="20171.63305"/>
    <n v="1293648.7344099998"/>
    <n v="23400.67"/>
    <n v="-3229.0369499999979"/>
    <n v="-0.1600781127634085"/>
    <n v="202404"/>
    <n v="202301"/>
    <s v="Apr-2023"/>
    <n v="15"/>
    <s v="Late"/>
    <n v="0"/>
  </r>
  <r>
    <x v="73"/>
    <d v="2024-12-15T00:00:00"/>
    <s v="Dec-2024"/>
    <s v="Q4"/>
    <d v="2024-12-20T00:00:00"/>
    <n v="5"/>
    <x v="1"/>
    <x v="9"/>
    <s v="Shenzhen"/>
    <s v="Asia &gt; China &gt; Shenzhen"/>
    <s v="Small Business"/>
    <s v="Direct"/>
    <s v="J. Njeri"/>
    <x v="2"/>
    <s v="NET-1846"/>
    <n v="717.55"/>
    <n v="546.42999999999995"/>
    <s v="Medium"/>
    <n v="4.7E-2"/>
    <n v="18"/>
    <n v="9373.460219999999"/>
    <n v="1293648.7344099998"/>
    <n v="12915.9"/>
    <n v="-3542.4397800000006"/>
    <n v="-0.37792231437026369"/>
    <n v="202412"/>
    <n v="202301"/>
    <s v="Dec-2023"/>
    <n v="23"/>
    <s v="On Time"/>
    <n v="1"/>
  </r>
  <r>
    <x v="74"/>
    <d v="2023-05-20T00:00:00"/>
    <s v="May-2023"/>
    <s v="Q2"/>
    <d v="2023-05-22T00:00:00"/>
    <n v="2"/>
    <x v="0"/>
    <x v="11"/>
    <s v="Durban"/>
    <s v="Africa &gt; South Africa &gt; Durban"/>
    <s v="Corporate"/>
    <s v="Distributor"/>
    <s v="A. Patel"/>
    <x v="0"/>
    <s v="CMP-5208"/>
    <n v="917.88"/>
    <n v="1347.92"/>
    <s v="Medium"/>
    <n v="0.34300000000000003"/>
    <n v="5"/>
    <n v="4427.9172000000008"/>
    <n v="1293648.7344099998"/>
    <n v="4589.3999999999996"/>
    <n v="-161.48279999999886"/>
    <n v="-3.6469245630880096E-2"/>
    <n v="202305"/>
    <n v="202301"/>
    <s v="May-2023"/>
    <n v="4"/>
    <s v="On Time"/>
    <n v="1"/>
  </r>
  <r>
    <x v="75"/>
    <d v="2023-09-18T00:00:00"/>
    <s v="Sept-2023"/>
    <s v="Q3"/>
    <d v="2023-10-08T00:00:00"/>
    <n v="20"/>
    <x v="1"/>
    <x v="4"/>
    <s v="Delhi"/>
    <s v="Asia &gt; India &gt; Delhi"/>
    <s v="Small Business"/>
    <s v="Direct"/>
    <s v="B. Chen"/>
    <x v="0"/>
    <s v="CMP-1009"/>
    <n v="825.64"/>
    <n v="1108.43"/>
    <s v="Medium"/>
    <n v="0.114"/>
    <n v="7"/>
    <n v="6874.4828600000001"/>
    <n v="1289220.8172099998"/>
    <n v="5779.48"/>
    <n v="1095.0028600000005"/>
    <n v="0.15928512475773349"/>
    <n v="202309"/>
    <n v="202301"/>
    <s v="Sept-2023"/>
    <n v="8"/>
    <s v="Late"/>
    <n v="0"/>
  </r>
  <r>
    <x v="76"/>
    <d v="2024-08-28T00:00:00"/>
    <s v="Aug-2024"/>
    <s v="Q3"/>
    <d v="2024-09-25T00:00:00"/>
    <n v="28"/>
    <x v="2"/>
    <x v="5"/>
    <s v="Rio de Janeiro"/>
    <s v="Americas &gt; Brazil &gt; Rio de Janeiro"/>
    <s v="Non-Profit"/>
    <s v="Online"/>
    <s v="Not Provided"/>
    <x v="6"/>
    <s v="ACC-4490"/>
    <n v="1394.65"/>
    <n v="3144.1"/>
    <s v="High"/>
    <n v="0.13400000000000001"/>
    <n v="13"/>
    <n v="35396.277799999996"/>
    <n v="1282346.3343499997"/>
    <n v="18130.45"/>
    <n v="17265.827799999995"/>
    <n v="0.4877865378263021"/>
    <n v="202408"/>
    <n v="202301"/>
    <s v="Aug-2023"/>
    <n v="19"/>
    <s v="Late"/>
    <n v="0"/>
  </r>
  <r>
    <x v="77"/>
    <d v="2024-06-30T00:00:00"/>
    <s v="Jun-2024"/>
    <s v="Q2"/>
    <d v="2024-07-02T00:00:00"/>
    <n v="2"/>
    <x v="2"/>
    <x v="5"/>
    <s v="Rio de Janeiro"/>
    <s v="Americas &gt; Brazil &gt; Rio de Janeiro"/>
    <s v="Small Business"/>
    <s v="Direct"/>
    <s v="L. Okafor"/>
    <x v="6"/>
    <s v="ACC-9162"/>
    <n v="1112.98"/>
    <n v="2095.73"/>
    <s v="High"/>
    <n v="7.1999999999999995E-2"/>
    <n v="17"/>
    <n v="33062.236480000007"/>
    <n v="1282346.3343499997"/>
    <n v="18920.66"/>
    <n v="14141.576480000007"/>
    <n v="0.42772594916724777"/>
    <n v="202406"/>
    <n v="202301"/>
    <s v="Jun-2023"/>
    <n v="17"/>
    <s v="On Time"/>
    <n v="1"/>
  </r>
  <r>
    <x v="78"/>
    <d v="2023-06-14T00:00:00"/>
    <s v="Jun-2023"/>
    <s v="Q2"/>
    <d v="2023-06-16T00:00:00"/>
    <n v="2"/>
    <x v="3"/>
    <x v="8"/>
    <s v="Manchester"/>
    <s v="Europe &gt; United Kingdom &gt; Manchester"/>
    <s v="Non-Profit"/>
    <s v="Direct"/>
    <s v="K. Singh"/>
    <x v="0"/>
    <s v="CMP-5820"/>
    <n v="357.36"/>
    <n v="703.62"/>
    <s v="Low"/>
    <n v="0.25700000000000001"/>
    <n v="20"/>
    <n v="10455.7932"/>
    <n v="1282346.3343499997"/>
    <n v="7147.2000000000007"/>
    <n v="3308.5931999999993"/>
    <n v="0.31643636563125593"/>
    <n v="202306"/>
    <n v="202301"/>
    <s v="Jun-2023"/>
    <n v="5"/>
    <s v="On Time"/>
    <n v="1"/>
  </r>
  <r>
    <x v="79"/>
    <d v="2024-11-21T00:00:00"/>
    <s v="Nov-2024"/>
    <s v="Q4"/>
    <d v="2024-12-21T00:00:00"/>
    <n v="30"/>
    <x v="3"/>
    <x v="7"/>
    <s v="Marseille"/>
    <s v="Europe &gt; France &gt; Marseille"/>
    <s v="Small Business"/>
    <s v="Direct"/>
    <s v="I. Johnson"/>
    <x v="5"/>
    <s v="MON-7943"/>
    <n v="1122.68"/>
    <n v="1997.19"/>
    <s v="High"/>
    <n v="0.186"/>
    <n v="3"/>
    <n v="4877.1379800000004"/>
    <n v="1271890.5411499997"/>
    <n v="3368.04"/>
    <n v="1509.0979800000005"/>
    <n v="0.30942285951073306"/>
    <n v="202411"/>
    <n v="202301"/>
    <s v="Nov-2023"/>
    <n v="22"/>
    <s v="Late"/>
    <n v="0"/>
  </r>
  <r>
    <x v="80"/>
    <d v="2023-02-08T00:00:00"/>
    <s v="Feb-2023"/>
    <s v="Q1"/>
    <d v="2023-02-11T00:00:00"/>
    <n v="3"/>
    <x v="0"/>
    <x v="11"/>
    <s v="Cape Town"/>
    <s v="Africa &gt; South Africa &gt; Cape Town"/>
    <s v="Corporate"/>
    <s v="Direct"/>
    <s v="M. Rossi"/>
    <x v="2"/>
    <s v="NET-5018"/>
    <n v="1410.05"/>
    <n v="2763.95"/>
    <s v="High"/>
    <n v="0.161"/>
    <n v="26"/>
    <n v="60292.805299999993"/>
    <n v="1271890.5411499997"/>
    <n v="36661.299999999996"/>
    <n v="23631.505299999997"/>
    <n v="0.39194569206750779"/>
    <n v="202302"/>
    <n v="202301"/>
    <s v="Feb-2023"/>
    <n v="1"/>
    <s v="On Time"/>
    <n v="1"/>
  </r>
  <r>
    <x v="81"/>
    <d v="2023-08-19T00:00:00"/>
    <s v="Aug-2023"/>
    <s v="Q3"/>
    <d v="2023-09-12T00:00:00"/>
    <n v="24"/>
    <x v="2"/>
    <x v="3"/>
    <s v="Vancouver"/>
    <s v="Americas &gt; Canada &gt; Vancouver"/>
    <s v="Enterprise"/>
    <s v="Retail"/>
    <s v="I. Johnson"/>
    <x v="1"/>
    <s v="PRN-9669"/>
    <n v="1183.95"/>
    <n v="1503.53"/>
    <s v="High"/>
    <n v="0.24099999999999999"/>
    <n v="16"/>
    <n v="18258.868320000001"/>
    <n v="1271890.5411499997"/>
    <n v="18943.2"/>
    <n v="-684.33167999999932"/>
    <n v="-3.7479413729623705E-2"/>
    <n v="202308"/>
    <n v="202301"/>
    <s v="Aug-2023"/>
    <n v="7"/>
    <s v="Late"/>
    <n v="0"/>
  </r>
  <r>
    <x v="82"/>
    <d v="2025-05-14T00:00:00"/>
    <s v="May-2025"/>
    <s v="Q2"/>
    <d v="2025-05-24T00:00:00"/>
    <n v="10"/>
    <x v="3"/>
    <x v="7"/>
    <s v="Paris"/>
    <s v="Europe &gt; France &gt; Paris"/>
    <s v="Small Business"/>
    <s v="Marketplace"/>
    <s v="K. Singh"/>
    <x v="0"/>
    <s v="CMP-2865"/>
    <n v="170.39"/>
    <n v="388.04"/>
    <s v="Low"/>
    <n v="8.4000000000000005E-2"/>
    <n v="15"/>
    <n v="5331.6696000000002"/>
    <n v="1271890.5411499997"/>
    <n v="2555.85"/>
    <n v="2775.8196000000003"/>
    <n v="0.52062858508711796"/>
    <n v="202505"/>
    <n v="202301"/>
    <s v="May-2023"/>
    <n v="28"/>
    <s v="Late"/>
    <n v="0"/>
  </r>
  <r>
    <x v="83"/>
    <d v="2025-04-23T00:00:00"/>
    <s v="Apr-2025"/>
    <s v="Q2"/>
    <d v="2025-04-24T00:00:00"/>
    <n v="1"/>
    <x v="2"/>
    <x v="10"/>
    <s v="San Francisco"/>
    <s v="Americas &gt; USA &gt; San Francisco"/>
    <s v="Non-Profit"/>
    <s v="Distributor"/>
    <s v="D. Smith"/>
    <x v="5"/>
    <s v="MON-3371"/>
    <n v="23.24"/>
    <n v="44.57"/>
    <s v="Low"/>
    <n v="0.215"/>
    <n v="15"/>
    <n v="524.81174999999996"/>
    <n v="1266558.8715499998"/>
    <n v="348.59999999999997"/>
    <n v="176.21174999999999"/>
    <n v="0.33576182316802167"/>
    <n v="202504"/>
    <n v="202301"/>
    <s v="Apr-2023"/>
    <n v="27"/>
    <s v="On Time"/>
    <n v="1"/>
  </r>
  <r>
    <x v="84"/>
    <d v="2025-03-25T00:00:00"/>
    <s v="Mar-2025"/>
    <s v="Q1"/>
    <d v="2025-04-17T00:00:00"/>
    <n v="23"/>
    <x v="3"/>
    <x v="8"/>
    <s v="London"/>
    <s v="Europe &gt; United Kingdom &gt; London"/>
    <s v="Consumer"/>
    <s v="Retail"/>
    <s v="H. Kim"/>
    <x v="2"/>
    <s v="NET-7166"/>
    <n v="1421.19"/>
    <n v="1808.26"/>
    <s v="High"/>
    <n v="0.104"/>
    <n v="13"/>
    <n v="21062.61248"/>
    <n v="1266558.8715499998"/>
    <n v="18475.47"/>
    <n v="2587.1424799999986"/>
    <n v="0.12283103449093123"/>
    <n v="202503"/>
    <n v="202301"/>
    <s v="Mar-2023"/>
    <n v="26"/>
    <s v="Late"/>
    <n v="0"/>
  </r>
  <r>
    <x v="85"/>
    <d v="2023-12-22T00:00:00"/>
    <s v="Dec-2023"/>
    <s v="Q4"/>
    <d v="2023-12-23T00:00:00"/>
    <n v="1"/>
    <x v="0"/>
    <x v="11"/>
    <s v="Cape Town"/>
    <s v="Africa &gt; South Africa &gt; Cape Town"/>
    <s v="Non-Profit"/>
    <s v="Marketplace"/>
    <s v="D. Smith"/>
    <x v="0"/>
    <s v="CMP-4531"/>
    <n v="1186.18"/>
    <n v="1285.0899999999999"/>
    <s v="High"/>
    <n v="7.0000000000000007E-2"/>
    <n v="11"/>
    <n v="13146.470699999998"/>
    <n v="1266558.8715499998"/>
    <n v="13047.980000000001"/>
    <n v="98.49069999999665"/>
    <n v="7.4917977796121861E-3"/>
    <n v="202312"/>
    <n v="202301"/>
    <s v="Dec-2023"/>
    <n v="11"/>
    <s v="On Time"/>
    <n v="1"/>
  </r>
  <r>
    <x v="86"/>
    <d v="2024-04-06T00:00:00"/>
    <s v="Apr-2024"/>
    <s v="Q2"/>
    <d v="2024-04-25T00:00:00"/>
    <n v="19"/>
    <x v="1"/>
    <x v="9"/>
    <s v="Shanghai"/>
    <s v="Asia &gt; China &gt; Shanghai"/>
    <s v="Corporate"/>
    <s v="Retail"/>
    <s v="K. Singh"/>
    <x v="0"/>
    <s v="CMP-8196"/>
    <n v="1366.48"/>
    <n v="1678.14"/>
    <s v="High"/>
    <n v="0.154"/>
    <n v="10"/>
    <n v="14197.064400000001"/>
    <n v="1253412.4008499996"/>
    <n v="13664.8"/>
    <n v="532.26440000000184"/>
    <n v="3.7491159087790132E-2"/>
    <n v="202404"/>
    <n v="202301"/>
    <s v="Apr-2023"/>
    <n v="15"/>
    <s v="Late"/>
    <n v="0"/>
  </r>
  <r>
    <x v="87"/>
    <d v="2025-08-07T00:00:00"/>
    <s v="Aug-2025"/>
    <s v="Q3"/>
    <d v="2025-08-19T00:00:00"/>
    <n v="12"/>
    <x v="0"/>
    <x v="0"/>
    <s v="Nakuru"/>
    <s v="Africa &gt; Kenya &gt; Nakuru"/>
    <s v="Corporate"/>
    <s v="Not Provided"/>
    <s v="M. Rossi"/>
    <x v="0"/>
    <s v="CMP-2854"/>
    <n v="601.51"/>
    <n v="679.35"/>
    <s v="Medium"/>
    <n v="0.188"/>
    <n v="3"/>
    <n v="1654.8966000000003"/>
    <n v="1239215.3364499996"/>
    <n v="1804.53"/>
    <n v="-149.63339999999971"/>
    <n v="-9.0418579626062243E-2"/>
    <n v="202508"/>
    <n v="202301"/>
    <s v="Aug-2023"/>
    <n v="31"/>
    <s v="Late"/>
    <n v="0"/>
  </r>
  <r>
    <x v="88"/>
    <d v="2024-01-21T00:00:00"/>
    <s v="Jan-2024"/>
    <s v="Q1"/>
    <d v="2024-01-25T00:00:00"/>
    <n v="4"/>
    <x v="1"/>
    <x v="4"/>
    <s v="Delhi"/>
    <s v="Asia &gt; India &gt; Delhi"/>
    <s v="Consumer"/>
    <s v="Direct"/>
    <s v="C. Otieno"/>
    <x v="5"/>
    <s v="MON-8973"/>
    <n v="523.70000000000005"/>
    <n v="1109.92"/>
    <s v="Medium"/>
    <n v="0.03"/>
    <n v="11"/>
    <n v="11842.8464"/>
    <n v="1237560.4398499997"/>
    <n v="5760.7000000000007"/>
    <n v="6082.1463999999996"/>
    <n v="0.51357133197302973"/>
    <n v="202401"/>
    <n v="202301"/>
    <s v="Jan-2023"/>
    <n v="12"/>
    <s v="On Time"/>
    <n v="1"/>
  </r>
  <r>
    <x v="89"/>
    <d v="2023-06-29T00:00:00"/>
    <s v="Jun-2023"/>
    <s v="Q2"/>
    <d v="2023-07-02T00:00:00"/>
    <n v="3"/>
    <x v="1"/>
    <x v="2"/>
    <s v="Nagoya"/>
    <s v="Asia &gt; Japan &gt; Nagoya"/>
    <s v="Education"/>
    <s v="Marketplace"/>
    <s v="F. Müller"/>
    <x v="5"/>
    <s v="MON-2990"/>
    <n v="55.65"/>
    <n v="83.57"/>
    <s v="Low"/>
    <n v="6.6000000000000003E-2"/>
    <n v="8"/>
    <n v="624.43503999999996"/>
    <n v="1237560.4398499997"/>
    <n v="445.2"/>
    <n v="179.23503999999997"/>
    <n v="0.2870355257449998"/>
    <n v="202306"/>
    <n v="202303"/>
    <s v="Jun-2023"/>
    <n v="3"/>
    <s v="On Time"/>
    <n v="1"/>
  </r>
  <r>
    <x v="90"/>
    <d v="2025-04-28T00:00:00"/>
    <s v="Apr-2025"/>
    <s v="Q2"/>
    <d v="2025-05-15T00:00:00"/>
    <n v="17"/>
    <x v="1"/>
    <x v="2"/>
    <s v="Nagoya"/>
    <s v="Asia &gt; Japan &gt; Nagoya"/>
    <s v="Education"/>
    <s v="Direct"/>
    <s v="N. Brown"/>
    <x v="2"/>
    <s v="NET-1966"/>
    <n v="691.19"/>
    <n v="1284.3"/>
    <s v="Medium"/>
    <n v="7.3999999999999996E-2"/>
    <n v="7"/>
    <n v="8324.8326000000015"/>
    <n v="1237560.4398499997"/>
    <n v="4838.33"/>
    <n v="3486.5026000000016"/>
    <n v="0.41880753253825198"/>
    <n v="202504"/>
    <n v="202303"/>
    <s v="Apr-2023"/>
    <n v="25"/>
    <s v="Late"/>
    <n v="0"/>
  </r>
  <r>
    <x v="91"/>
    <d v="2025-06-09T00:00:00"/>
    <s v="Jun-2025"/>
    <s v="Q2"/>
    <d v="2025-06-25T00:00:00"/>
    <n v="16"/>
    <x v="1"/>
    <x v="4"/>
    <s v="Hyderabad"/>
    <s v="Asia &gt; India &gt; Hyderabad"/>
    <s v="Enterprise"/>
    <s v="Distributor"/>
    <s v="M. Rossi"/>
    <x v="3"/>
    <s v="PHN-3482"/>
    <n v="527.33000000000004"/>
    <n v="911.72"/>
    <s v="Medium"/>
    <n v="0.14399999999999999"/>
    <n v="25"/>
    <n v="19510.808000000001"/>
    <n v="1237560.4398499997"/>
    <n v="13183.250000000002"/>
    <n v="6327.5579999999991"/>
    <n v="0.32431040272652978"/>
    <n v="202506"/>
    <n v="202301"/>
    <s v="Jun-2023"/>
    <n v="29"/>
    <s v="Late"/>
    <n v="0"/>
  </r>
  <r>
    <x v="92"/>
    <d v="2023-06-24T00:00:00"/>
    <s v="Jun-2023"/>
    <s v="Q2"/>
    <d v="2023-06-25T00:00:00"/>
    <n v="1"/>
    <x v="2"/>
    <x v="5"/>
    <s v="Rio de Janeiro"/>
    <s v="Americas &gt; Brazil &gt; Rio de Janeiro"/>
    <s v="Non-Profit"/>
    <s v="Retail"/>
    <s v="E. Garcia"/>
    <x v="1"/>
    <s v="PRN-6490"/>
    <n v="804.01"/>
    <n v="1405.07"/>
    <s v="Medium"/>
    <n v="9.6000000000000002E-2"/>
    <n v="8"/>
    <n v="10161.46624"/>
    <n v="1237560.4398499997"/>
    <n v="6432.08"/>
    <n v="3729.3862399999998"/>
    <n v="0.36701260939287439"/>
    <n v="202306"/>
    <n v="202301"/>
    <s v="Jun-2023"/>
    <n v="5"/>
    <s v="On Time"/>
    <n v="1"/>
  </r>
  <r>
    <x v="93"/>
    <d v="2024-10-04T00:00:00"/>
    <s v="Oct-2024"/>
    <s v="Q4"/>
    <d v="2024-11-02T00:00:00"/>
    <n v="29"/>
    <x v="0"/>
    <x v="1"/>
    <s v="Abuja"/>
    <s v="Africa &gt; Nigeria &gt; Abuja"/>
    <s v="Corporate"/>
    <s v="Distributor"/>
    <s v="F. Müller"/>
    <x v="6"/>
    <s v="ACC-9038"/>
    <n v="412.09"/>
    <n v="968.94"/>
    <s v="Low"/>
    <n v="9.9000000000000005E-2"/>
    <n v="23"/>
    <n v="20079.343620000003"/>
    <n v="1237560.4398499997"/>
    <n v="9478.07"/>
    <n v="10601.273620000004"/>
    <n v="0.52796913189137418"/>
    <n v="202410"/>
    <n v="202301"/>
    <s v="Oct-2023"/>
    <n v="21"/>
    <s v="Late"/>
    <n v="0"/>
  </r>
  <r>
    <x v="94"/>
    <d v="2025-09-10T00:00:00"/>
    <s v="Sept-2025"/>
    <s v="Q3"/>
    <d v="2025-09-30T00:00:00"/>
    <n v="20"/>
    <x v="0"/>
    <x v="0"/>
    <s v="Mombasa"/>
    <s v="Africa &gt; Kenya &gt; Mombasa"/>
    <s v="Corporate"/>
    <s v="Direct"/>
    <s v="L. Okafor"/>
    <x v="3"/>
    <s v="PHN-6954"/>
    <n v="1009.48"/>
    <n v="1088.81"/>
    <s v="High"/>
    <n v="0.16"/>
    <n v="6"/>
    <n v="5487.6023999999998"/>
    <n v="1237560.4398499997"/>
    <n v="6056.88"/>
    <n v="-569.27760000000035"/>
    <n v="-0.10373885688219693"/>
    <n v="202509"/>
    <n v="202301"/>
    <s v="Sept-2023"/>
    <n v="32"/>
    <s v="Late"/>
    <n v="0"/>
  </r>
  <r>
    <x v="95"/>
    <d v="2023-04-06T00:00:00"/>
    <s v="Apr-2023"/>
    <s v="Q2"/>
    <d v="2023-04-27T00:00:00"/>
    <n v="21"/>
    <x v="3"/>
    <x v="8"/>
    <s v="Manchester"/>
    <s v="Europe &gt; United Kingdom &gt; Manchester"/>
    <s v="Enterprise"/>
    <s v="Distributor"/>
    <s v="I. Johnson"/>
    <x v="1"/>
    <s v="PRN-8970"/>
    <n v="1084.79"/>
    <n v="2484.9899999999998"/>
    <s v="High"/>
    <n v="3.4000000000000002E-2"/>
    <n v="18"/>
    <n v="43209.006119999991"/>
    <n v="1237560.4398499997"/>
    <n v="19526.22"/>
    <n v="23682.78611999999"/>
    <n v="0.54809837685755114"/>
    <n v="202304"/>
    <n v="202301"/>
    <s v="Apr-2023"/>
    <n v="3"/>
    <s v="Late"/>
    <n v="0"/>
  </r>
  <r>
    <x v="96"/>
    <d v="2025-08-01T00:00:00"/>
    <s v="Aug-2025"/>
    <s v="Q3"/>
    <d v="2025-08-16T00:00:00"/>
    <n v="15"/>
    <x v="1"/>
    <x v="4"/>
    <s v="Not Provided"/>
    <s v="Asia &gt; India &gt; Not Provided"/>
    <s v="Enterprise"/>
    <s v="Direct"/>
    <s v="O. Wang"/>
    <x v="5"/>
    <s v="MON-1822"/>
    <n v="24.44"/>
    <n v="28.69"/>
    <s v="Low"/>
    <n v="0.14599999999999999"/>
    <n v="6"/>
    <n v="147.00756000000001"/>
    <n v="1237560.4398499997"/>
    <n v="146.64000000000001"/>
    <n v="0.36755999999999744"/>
    <n v="2.5002795774584476E-3"/>
    <n v="202508"/>
    <n v="202301"/>
    <s v="Aug-2023"/>
    <n v="31"/>
    <s v="Late"/>
    <n v="0"/>
  </r>
  <r>
    <x v="97"/>
    <d v="2024-05-28T00:00:00"/>
    <s v="May-2024"/>
    <s v="Q2"/>
    <d v="2024-05-30T00:00:00"/>
    <n v="2"/>
    <x v="0"/>
    <x v="1"/>
    <s v="Abuja"/>
    <s v="Africa &gt; Nigeria &gt; Abuja"/>
    <s v="Enterprise"/>
    <s v="Online"/>
    <s v="F. Müller"/>
    <x v="6"/>
    <s v="ACC-5177"/>
    <n v="1227.08"/>
    <n v="1896.62"/>
    <s v="High"/>
    <n v="0"/>
    <n v="18"/>
    <n v="34139.159999999996"/>
    <n v="1237560.4398499997"/>
    <n v="22087.439999999999"/>
    <n v="12051.719999999998"/>
    <n v="0.353017473189147"/>
    <n v="202405"/>
    <n v="202301"/>
    <s v="May-2023"/>
    <n v="16"/>
    <s v="On Time"/>
    <n v="1"/>
  </r>
  <r>
    <x v="98"/>
    <d v="2025-07-22T00:00:00"/>
    <s v="Jul-2025"/>
    <s v="Q3"/>
    <d v="2025-08-18T00:00:00"/>
    <n v="27"/>
    <x v="1"/>
    <x v="9"/>
    <s v="Shenzhen"/>
    <s v="Asia &gt; China &gt; Shenzhen"/>
    <s v="Non-Profit"/>
    <s v="Marketplace"/>
    <s v="M. Rossi"/>
    <x v="2"/>
    <s v="NET-1804"/>
    <n v="547.32000000000005"/>
    <n v="419.17"/>
    <s v="Medium"/>
    <n v="9.1999999999999998E-2"/>
    <n v="14"/>
    <n v="5328.4890400000004"/>
    <n v="1237560.4398499997"/>
    <n v="7662.4800000000005"/>
    <n v="-2333.9909600000001"/>
    <n v="-0.43802116181137907"/>
    <n v="202507"/>
    <n v="202301"/>
    <s v="Jul-2023"/>
    <n v="30"/>
    <s v="Late"/>
    <n v="0"/>
  </r>
  <r>
    <x v="99"/>
    <d v="2023-02-28T00:00:00"/>
    <s v="Feb-2023"/>
    <s v="Q1"/>
    <d v="2023-03-20T00:00:00"/>
    <n v="20"/>
    <x v="3"/>
    <x v="6"/>
    <s v="Berlin"/>
    <s v="Europe &gt; Germany &gt; Berlin"/>
    <s v="Small Business"/>
    <s v="Direct"/>
    <s v="H. Kim"/>
    <x v="4"/>
    <s v="LAP-3679"/>
    <n v="1200.78"/>
    <n v="2001.17"/>
    <s v="High"/>
    <n v="0.29199999999999998"/>
    <n v="18"/>
    <n v="25502.910479999999"/>
    <n v="1237560.4398499997"/>
    <n v="21614.04"/>
    <n v="3888.8704799999978"/>
    <n v="0.15248732034132906"/>
    <n v="202302"/>
    <n v="202301"/>
    <s v="Feb-2023"/>
    <n v="1"/>
    <s v="Late"/>
    <n v="0"/>
  </r>
  <r>
    <x v="100"/>
    <d v="2025-01-27T00:00:00"/>
    <s v="Jan-2025"/>
    <s v="Q1"/>
    <d v="2025-02-15T00:00:00"/>
    <n v="19"/>
    <x v="1"/>
    <x v="9"/>
    <s v="Shenzhen"/>
    <s v="Asia &gt; China &gt; Shenzhen"/>
    <s v="Non-Profit"/>
    <s v="Direct"/>
    <s v="L. Okafor"/>
    <x v="3"/>
    <s v="PHN-8368"/>
    <n v="1253.22"/>
    <n v="3104.71"/>
    <s v="High"/>
    <n v="0"/>
    <n v="17"/>
    <n v="52780.07"/>
    <n v="1237560.4398499997"/>
    <n v="21304.74"/>
    <n v="31475.329999999998"/>
    <n v="0.59634877331538205"/>
    <n v="202501"/>
    <n v="202301"/>
    <s v="Jan-2023"/>
    <n v="24"/>
    <s v="Late"/>
    <n v="0"/>
  </r>
  <r>
    <x v="101"/>
    <d v="2024-01-13T00:00:00"/>
    <s v="Jan-2024"/>
    <s v="Q1"/>
    <d v="2024-01-22T00:00:00"/>
    <n v="9"/>
    <x v="1"/>
    <x v="4"/>
    <s v="Mumbai"/>
    <s v="Asia &gt; India &gt; Mumbai"/>
    <s v="Enterprise"/>
    <s v="Marketplace"/>
    <s v="J. Njeri"/>
    <x v="0"/>
    <s v="CMP-8141"/>
    <n v="313.60000000000002"/>
    <n v="334.28"/>
    <s v="Low"/>
    <n v="0.14000000000000001"/>
    <n v="22"/>
    <n v="6324.5775999999996"/>
    <n v="1237560.4398499997"/>
    <n v="6899.2000000000007"/>
    <n v="-574.62240000000111"/>
    <n v="-9.0855458868905517E-2"/>
    <n v="202401"/>
    <n v="202301"/>
    <s v="Jan-2023"/>
    <n v="12"/>
    <s v="Late"/>
    <n v="0"/>
  </r>
  <r>
    <x v="102"/>
    <d v="2025-03-31T00:00:00"/>
    <s v="Mar-2025"/>
    <s v="Q1"/>
    <d v="2025-04-04T00:00:00"/>
    <n v="4"/>
    <x v="0"/>
    <x v="0"/>
    <s v="Nakuru"/>
    <s v="Africa &gt; Kenya &gt; Nakuru"/>
    <s v="Corporate"/>
    <s v="Direct"/>
    <s v="C. Otieno"/>
    <x v="4"/>
    <s v="LAP-7136"/>
    <n v="862.08"/>
    <n v="1952.83"/>
    <s v="Medium"/>
    <n v="0"/>
    <n v="7"/>
    <n v="13669.81"/>
    <n v="1231235.8622499995"/>
    <n v="6034.56"/>
    <n v="7635.2499999999991"/>
    <n v="0.5585483631447693"/>
    <n v="202503"/>
    <n v="202301"/>
    <s v="Mar-2023"/>
    <n v="26"/>
    <s v="On Time"/>
    <n v="1"/>
  </r>
  <r>
    <x v="103"/>
    <d v="2024-12-05T00:00:00"/>
    <s v="Dec-2024"/>
    <s v="Q4"/>
    <d v="2024-12-28T00:00:00"/>
    <n v="23"/>
    <x v="2"/>
    <x v="3"/>
    <s v="Vancouver"/>
    <s v="Americas &gt; Canada &gt; Vancouver"/>
    <s v="Corporate"/>
    <s v="Direct"/>
    <s v="F. Müller"/>
    <x v="6"/>
    <s v="ACC-2386"/>
    <n v="107.03"/>
    <n v="242.29"/>
    <s v="Low"/>
    <n v="0.18"/>
    <n v="30"/>
    <n v="5960.3340000000007"/>
    <n v="1231235.8622499995"/>
    <n v="3210.9"/>
    <n v="2749.4340000000007"/>
    <n v="0.46128857879440988"/>
    <n v="202412"/>
    <n v="202301"/>
    <s v="Dec-2023"/>
    <n v="23"/>
    <s v="Late"/>
    <n v="0"/>
  </r>
  <r>
    <x v="104"/>
    <d v="2024-09-14T00:00:00"/>
    <s v="Sept-2024"/>
    <s v="Q3"/>
    <d v="2024-10-05T00:00:00"/>
    <n v="21"/>
    <x v="1"/>
    <x v="9"/>
    <s v="Shanghai"/>
    <s v="Asia &gt; China &gt; Shanghai"/>
    <s v="Small Business"/>
    <s v="Online"/>
    <s v="H. Kim"/>
    <x v="4"/>
    <s v="LAP-5150"/>
    <n v="1405.56"/>
    <n v="2968.87"/>
    <s v="High"/>
    <n v="0.16900000000000001"/>
    <n v="5"/>
    <n v="12335.654849999999"/>
    <n v="1231235.8622499995"/>
    <n v="7027.7999999999993"/>
    <n v="5307.8548499999997"/>
    <n v="0.4302856163327235"/>
    <n v="202409"/>
    <n v="202301"/>
    <s v="Sept-2023"/>
    <n v="20"/>
    <s v="Late"/>
    <n v="0"/>
  </r>
  <r>
    <x v="105"/>
    <d v="2024-05-21T00:00:00"/>
    <s v="May-2024"/>
    <s v="Q2"/>
    <d v="2024-05-27T00:00:00"/>
    <n v="6"/>
    <x v="0"/>
    <x v="11"/>
    <s v="Johannesburg"/>
    <s v="Africa &gt; South Africa &gt; Johannesburg"/>
    <s v="Non-Profit"/>
    <s v="Online"/>
    <s v="M. Rossi"/>
    <x v="0"/>
    <s v="CMP-8101"/>
    <n v="1157.51"/>
    <n v="1394.3"/>
    <s v="High"/>
    <n v="0.27800000000000002"/>
    <n v="12"/>
    <n v="12080.215199999999"/>
    <n v="1231235.8622499995"/>
    <n v="13890.119999999999"/>
    <n v="-1809.9048000000003"/>
    <n v="-0.14982388724333326"/>
    <n v="202405"/>
    <n v="202301"/>
    <s v="May-2023"/>
    <n v="16"/>
    <s v="On Time"/>
    <n v="1"/>
  </r>
  <r>
    <x v="106"/>
    <d v="2023-05-11T00:00:00"/>
    <s v="May-2023"/>
    <s v="Q2"/>
    <d v="2023-06-07T00:00:00"/>
    <n v="27"/>
    <x v="0"/>
    <x v="0"/>
    <s v="Mombasa"/>
    <s v="Africa &gt; Kenya &gt; Mombasa"/>
    <s v="Corporate"/>
    <s v="Online"/>
    <s v="J. Njeri"/>
    <x v="3"/>
    <s v="PHN-8970"/>
    <n v="12.85"/>
    <n v="15.41"/>
    <s v="Low"/>
    <n v="0.13700000000000001"/>
    <n v="39"/>
    <n v="518.65436999999997"/>
    <n v="1219155.6470499996"/>
    <n v="501.15"/>
    <n v="17.504369999999994"/>
    <n v="3.3749585489851353E-2"/>
    <n v="202305"/>
    <n v="202301"/>
    <s v="May-2023"/>
    <n v="4"/>
    <s v="Late"/>
    <n v="0"/>
  </r>
  <r>
    <x v="107"/>
    <d v="2024-08-14T00:00:00"/>
    <s v="Aug-2024"/>
    <s v="Q3"/>
    <d v="2024-09-04T00:00:00"/>
    <n v="21"/>
    <x v="3"/>
    <x v="8"/>
    <s v="Manchester"/>
    <s v="Europe &gt; United Kingdom &gt; Manchester"/>
    <s v="Non-Profit"/>
    <s v="Online"/>
    <s v="J. Njeri"/>
    <x v="3"/>
    <s v="PHN-2341"/>
    <n v="1138.8"/>
    <n v="2250.81"/>
    <s v="High"/>
    <n v="0.123"/>
    <n v="12"/>
    <n v="23687.524440000001"/>
    <n v="1219155.6470499996"/>
    <n v="13665.599999999999"/>
    <n v="10021.924440000003"/>
    <n v="0.42308872188756258"/>
    <n v="202408"/>
    <n v="202301"/>
    <s v="Aug-2023"/>
    <n v="19"/>
    <s v="Late"/>
    <n v="0"/>
  </r>
  <r>
    <x v="108"/>
    <d v="2024-10-16T00:00:00"/>
    <s v="Oct-2024"/>
    <s v="Q4"/>
    <d v="2024-11-08T00:00:00"/>
    <n v="23"/>
    <x v="1"/>
    <x v="2"/>
    <s v="Osaka"/>
    <s v="Asia &gt; Japan &gt; Osaka"/>
    <s v="Small Business"/>
    <s v="Retail"/>
    <s v="J. Njeri"/>
    <x v="2"/>
    <s v="NET-6387"/>
    <n v="82.14"/>
    <n v="166.04"/>
    <s v="Low"/>
    <n v="0"/>
    <n v="10"/>
    <n v="1660.3999999999999"/>
    <n v="1219155.6470499996"/>
    <n v="821.4"/>
    <n v="838.99999999999989"/>
    <n v="0.50529992772825827"/>
    <n v="202410"/>
    <n v="202303"/>
    <s v="Oct-2023"/>
    <n v="19"/>
    <s v="Late"/>
    <n v="0"/>
  </r>
  <r>
    <x v="109"/>
    <d v="2024-06-02T00:00:00"/>
    <s v="Jun-2024"/>
    <s v="Q2"/>
    <d v="2024-06-08T00:00:00"/>
    <n v="6"/>
    <x v="0"/>
    <x v="0"/>
    <s v="Kisumu"/>
    <s v="Africa &gt; Kenya &gt; Kisumu"/>
    <s v="Consumer"/>
    <s v="Marketplace"/>
    <s v="A. Patel"/>
    <x v="6"/>
    <s v="ACC-9820"/>
    <n v="292.94"/>
    <n v="356.55"/>
    <s v="Low"/>
    <n v="0.22900000000000001"/>
    <n v="2"/>
    <n v="549.80010000000004"/>
    <n v="1219155.6470499996"/>
    <n v="585.88"/>
    <n v="-36.079899999999952"/>
    <n v="-6.5623669402751925E-2"/>
    <n v="202406"/>
    <n v="202301"/>
    <s v="Jun-2023"/>
    <n v="17"/>
    <s v="On Time"/>
    <n v="1"/>
  </r>
  <r>
    <x v="110"/>
    <d v="2024-06-09T00:00:00"/>
    <s v="Jun-2024"/>
    <s v="Q2"/>
    <d v="2024-07-07T00:00:00"/>
    <n v="28"/>
    <x v="1"/>
    <x v="9"/>
    <s v="Shenzhen"/>
    <s v="Asia &gt; China &gt; Shenzhen"/>
    <s v="Corporate"/>
    <s v="Online"/>
    <s v="J. Njeri"/>
    <x v="0"/>
    <s v="CMP-6392"/>
    <n v="550.22"/>
    <n v="1025.05"/>
    <s v="Medium"/>
    <n v="0"/>
    <n v="27"/>
    <n v="27676.35"/>
    <n v="1219155.6470499996"/>
    <n v="14855.94"/>
    <n v="12820.409999999998"/>
    <n v="0.46322618408858102"/>
    <n v="202406"/>
    <n v="202301"/>
    <s v="Jun-2023"/>
    <n v="17"/>
    <s v="Late"/>
    <n v="0"/>
  </r>
  <r>
    <x v="111"/>
    <d v="2024-06-10T00:00:00"/>
    <s v="Jun-2024"/>
    <s v="Q2"/>
    <d v="2024-06-11T00:00:00"/>
    <n v="1"/>
    <x v="3"/>
    <x v="8"/>
    <s v="Birmingham"/>
    <s v="Europe &gt; United Kingdom &gt; Birmingham"/>
    <s v="Small Business"/>
    <s v="Marketplace"/>
    <s v="M. Rossi"/>
    <x v="4"/>
    <s v="LAP-9230"/>
    <n v="1187.1300000000001"/>
    <n v="1795.17"/>
    <s v="High"/>
    <n v="1.2E-2"/>
    <n v="17"/>
    <n v="30151.675319999998"/>
    <n v="1191479.2970499997"/>
    <n v="20181.210000000003"/>
    <n v="9970.4653199999957"/>
    <n v="0.33067699271046663"/>
    <n v="202406"/>
    <n v="202301"/>
    <s v="Jun-2023"/>
    <n v="17"/>
    <s v="On Time"/>
    <n v="1"/>
  </r>
  <r>
    <x v="112"/>
    <d v="2024-06-29T00:00:00"/>
    <s v="Jun-2024"/>
    <s v="Q2"/>
    <d v="2024-07-26T00:00:00"/>
    <n v="27"/>
    <x v="0"/>
    <x v="11"/>
    <s v="Durban"/>
    <s v="Africa &gt; South Africa &gt; Durban"/>
    <s v="Enterprise"/>
    <s v="Distributor"/>
    <s v="B. Chen"/>
    <x v="2"/>
    <s v="NET-4241"/>
    <n v="5.36"/>
    <n v="4.37"/>
    <s v="Low"/>
    <n v="0.11799999999999999"/>
    <n v="9"/>
    <n v="34.689059999999998"/>
    <n v="1191479.2970499997"/>
    <n v="48.24"/>
    <n v="-13.550940000000004"/>
    <n v="-0.39064016148030545"/>
    <n v="202406"/>
    <n v="202301"/>
    <s v="Jun-2023"/>
    <n v="17"/>
    <s v="Late"/>
    <n v="0"/>
  </r>
  <r>
    <x v="113"/>
    <d v="2025-01-17T00:00:00"/>
    <s v="Jan-2025"/>
    <s v="Q1"/>
    <d v="2025-01-24T00:00:00"/>
    <n v="7"/>
    <x v="2"/>
    <x v="10"/>
    <s v="Austin"/>
    <s v="Americas &gt; USA &gt; Austin"/>
    <s v="Enterprise"/>
    <s v="Online"/>
    <s v="G. Dubois"/>
    <x v="6"/>
    <s v="ACC-4511"/>
    <n v="142.09"/>
    <n v="218.5"/>
    <s v="Low"/>
    <n v="0.11899999999999999"/>
    <n v="11"/>
    <n v="2117.4834999999998"/>
    <n v="1191479.2970499997"/>
    <n v="1562.99"/>
    <n v="554.49349999999981"/>
    <n v="0.26186437816398561"/>
    <n v="202501"/>
    <n v="202301"/>
    <s v="Jan-2023"/>
    <n v="24"/>
    <s v="On Time"/>
    <n v="1"/>
  </r>
  <r>
    <x v="114"/>
    <d v="2023-11-20T00:00:00"/>
    <s v="Nov-2023"/>
    <s v="Q4"/>
    <d v="2023-12-05T00:00:00"/>
    <n v="15"/>
    <x v="1"/>
    <x v="2"/>
    <s v="Tokyo"/>
    <s v="Asia &gt; Japan &gt; Tokyo"/>
    <s v="Enterprise"/>
    <s v="Retail"/>
    <s v="L. Okafor"/>
    <x v="2"/>
    <s v="NET-3033"/>
    <n v="354.24"/>
    <n v="249.87"/>
    <s v="Low"/>
    <n v="0"/>
    <n v="6"/>
    <n v="1499.22"/>
    <n v="1191479.2970499997"/>
    <n v="2125.44"/>
    <n v="-626.22"/>
    <n v="-0.41769720254532355"/>
    <n v="202311"/>
    <n v="202303"/>
    <s v="Nov-2023"/>
    <n v="8"/>
    <s v="Late"/>
    <n v="0"/>
  </r>
  <r>
    <x v="115"/>
    <d v="2023-03-02T00:00:00"/>
    <s v="Mar-2023"/>
    <s v="Q1"/>
    <d v="2023-03-05T00:00:00"/>
    <n v="3"/>
    <x v="2"/>
    <x v="5"/>
    <s v="Brasília"/>
    <s v="Americas &gt; Brazil &gt; Brasília"/>
    <s v="Enterprise"/>
    <s v="Direct"/>
    <s v="G. Dubois"/>
    <x v="5"/>
    <s v="MON-2828"/>
    <n v="1473.58"/>
    <n v="3436.52"/>
    <s v="High"/>
    <n v="0.108"/>
    <n v="8"/>
    <n v="24523.006720000001"/>
    <n v="1191479.2970499997"/>
    <n v="11788.64"/>
    <n v="12734.366720000002"/>
    <n v="0.51928243813652564"/>
    <n v="202303"/>
    <n v="202301"/>
    <s v="Mar-2023"/>
    <n v="2"/>
    <s v="On Time"/>
    <n v="1"/>
  </r>
  <r>
    <x v="116"/>
    <d v="2025-06-03T00:00:00"/>
    <s v="Jun-2025"/>
    <s v="Q2"/>
    <d v="2025-06-10T00:00:00"/>
    <n v="7"/>
    <x v="2"/>
    <x v="3"/>
    <s v="Toronto"/>
    <s v="Americas &gt; Canada &gt; Toronto"/>
    <s v="Consumer"/>
    <s v="Distributor"/>
    <s v="O. Wang"/>
    <x v="1"/>
    <s v="PRN-6429"/>
    <n v="75.180000000000007"/>
    <n v="53.45"/>
    <s v="Low"/>
    <n v="0.157"/>
    <n v="17"/>
    <n v="765.99195000000009"/>
    <n v="1191479.2970499997"/>
    <n v="1278.0600000000002"/>
    <n v="-512.06805000000008"/>
    <n v="-0.66850317421743144"/>
    <n v="202506"/>
    <n v="202301"/>
    <s v="Jun-2023"/>
    <n v="29"/>
    <s v="On Time"/>
    <n v="1"/>
  </r>
  <r>
    <x v="117"/>
    <d v="2024-12-27T00:00:00"/>
    <s v="Dec-2024"/>
    <s v="Q4"/>
    <d v="2025-01-02T00:00:00"/>
    <n v="6"/>
    <x v="3"/>
    <x v="6"/>
    <s v="Frankfurt"/>
    <s v="Europe &gt; Germany &gt; Frankfurt"/>
    <s v="Education"/>
    <s v="Direct"/>
    <s v="F. Müller"/>
    <x v="4"/>
    <s v="LAP-8214"/>
    <n v="1391.99"/>
    <n v="3469.7"/>
    <s v="High"/>
    <n v="0.184"/>
    <n v="23"/>
    <n v="65119.329599999997"/>
    <n v="1191479.2970499997"/>
    <n v="32015.77"/>
    <n v="33103.559599999993"/>
    <n v="0.50835227886006973"/>
    <n v="202412"/>
    <n v="202301"/>
    <s v="Dec-2023"/>
    <n v="23"/>
    <s v="On Time"/>
    <n v="1"/>
  </r>
  <r>
    <x v="118"/>
    <d v="2023-06-09T00:00:00"/>
    <s v="Jun-2023"/>
    <s v="Q2"/>
    <d v="2023-06-19T00:00:00"/>
    <n v="10"/>
    <x v="1"/>
    <x v="9"/>
    <s v="Beijing"/>
    <s v="Asia &gt; China &gt; Beijing"/>
    <s v="Enterprise"/>
    <s v="Retail"/>
    <s v="F. Müller"/>
    <x v="5"/>
    <s v="MON-9194"/>
    <n v="339.61"/>
    <n v="621.02"/>
    <s v="Low"/>
    <n v="7.0999999999999994E-2"/>
    <n v="10"/>
    <n v="5769.2758000000003"/>
    <n v="1191479.2970499997"/>
    <n v="3396.1000000000004"/>
    <n v="2373.1758"/>
    <n v="0.41134726129750981"/>
    <n v="202306"/>
    <n v="202301"/>
    <s v="Jun-2023"/>
    <n v="5"/>
    <s v="Late"/>
    <n v="0"/>
  </r>
  <r>
    <x v="119"/>
    <d v="2025-07-09T00:00:00"/>
    <s v="Jul-2025"/>
    <s v="Q3"/>
    <d v="2025-07-18T00:00:00"/>
    <n v="9"/>
    <x v="2"/>
    <x v="3"/>
    <s v="Vancouver"/>
    <s v="Americas &gt; Canada &gt; Vancouver"/>
    <s v="Education"/>
    <s v="Distributor"/>
    <s v="I. Johnson"/>
    <x v="4"/>
    <s v="LAP-2218"/>
    <n v="57.96"/>
    <n v="88.51"/>
    <s v="Low"/>
    <n v="4.2999999999999997E-2"/>
    <n v="7"/>
    <n v="592.92849000000001"/>
    <n v="1191479.2970499997"/>
    <n v="405.72"/>
    <n v="187.20848999999998"/>
    <n v="0.3157353595877978"/>
    <n v="202507"/>
    <n v="202301"/>
    <s v="Jul-2023"/>
    <n v="30"/>
    <s v="Late"/>
    <n v="0"/>
  </r>
  <r>
    <x v="120"/>
    <d v="2025-06-19T00:00:00"/>
    <s v="Jun-2025"/>
    <s v="Q2"/>
    <d v="2025-07-12T00:00:00"/>
    <n v="23"/>
    <x v="3"/>
    <x v="8"/>
    <s v="Not Provided"/>
    <s v="Europe &gt; United Kingdom &gt; Not Provided"/>
    <s v="Non-Profit"/>
    <s v="Direct"/>
    <s v="Not Provided"/>
    <x v="2"/>
    <s v="NET-6370"/>
    <n v="801.24"/>
    <n v="1959.09"/>
    <s v="Medium"/>
    <n v="0.123"/>
    <n v="23"/>
    <n v="39516.804389999998"/>
    <n v="1191479.2970499997"/>
    <n v="18428.52"/>
    <n v="21088.284389999997"/>
    <n v="0.53365358650651762"/>
    <n v="202506"/>
    <n v="202301"/>
    <s v="Jun-2023"/>
    <n v="29"/>
    <s v="Late"/>
    <n v="0"/>
  </r>
  <r>
    <x v="121"/>
    <d v="2023-11-19T00:00:00"/>
    <s v="Nov-2023"/>
    <s v="Q4"/>
    <d v="2023-12-13T00:00:00"/>
    <n v="24"/>
    <x v="3"/>
    <x v="7"/>
    <s v="Lyon"/>
    <s v="Europe &gt; France &gt; Lyon"/>
    <s v="Non-Profit"/>
    <s v="Direct"/>
    <s v="H. Kim"/>
    <x v="5"/>
    <s v="MON-3745"/>
    <n v="1297.42"/>
    <n v="2742.97"/>
    <s v="High"/>
    <n v="6.9000000000000006E-2"/>
    <n v="9"/>
    <n v="22983.34563"/>
    <n v="1191479.2970499997"/>
    <n v="11676.78"/>
    <n v="11306.565629999999"/>
    <n v="0.49194602961727291"/>
    <n v="202311"/>
    <n v="202301"/>
    <s v="Nov-2023"/>
    <n v="10"/>
    <s v="Late"/>
    <n v="0"/>
  </r>
  <r>
    <x v="122"/>
    <d v="2023-12-29T00:00:00"/>
    <s v="Dec-2023"/>
    <s v="Q4"/>
    <d v="2024-01-20T00:00:00"/>
    <n v="22"/>
    <x v="0"/>
    <x v="0"/>
    <s v="Kisumu"/>
    <s v="Africa &gt; Kenya &gt; Kisumu"/>
    <s v="Corporate"/>
    <s v="Direct"/>
    <s v="L. Okafor"/>
    <x v="3"/>
    <s v="PHN-7924"/>
    <n v="1395.49"/>
    <n v="1679.42"/>
    <s v="High"/>
    <n v="0.20300000000000001"/>
    <n v="12"/>
    <n v="16061.972879999999"/>
    <n v="1191479.2970499997"/>
    <n v="16745.88"/>
    <n v="-683.90712000000167"/>
    <n v="-4.2579272490964493E-2"/>
    <n v="202312"/>
    <n v="202301"/>
    <s v="Dec-2023"/>
    <n v="11"/>
    <s v="Late"/>
    <n v="0"/>
  </r>
  <r>
    <x v="123"/>
    <d v="2024-11-02T00:00:00"/>
    <s v="Nov-2024"/>
    <s v="Q4"/>
    <d v="2024-11-29T00:00:00"/>
    <n v="27"/>
    <x v="2"/>
    <x v="5"/>
    <s v="Brasília"/>
    <s v="Americas &gt; Brazil &gt; Brasília"/>
    <s v="Small Business"/>
    <s v="Direct"/>
    <s v="I. Johnson"/>
    <x v="2"/>
    <s v="NET-8561"/>
    <n v="1363.51"/>
    <n v="1433.9"/>
    <s v="High"/>
    <n v="5.7000000000000002E-2"/>
    <n v="8"/>
    <n v="10817.3416"/>
    <n v="1191479.2970499997"/>
    <n v="10908.08"/>
    <n v="-90.738400000000183"/>
    <n v="-8.3882346842037592E-3"/>
    <n v="202411"/>
    <n v="202301"/>
    <s v="Nov-2023"/>
    <n v="22"/>
    <s v="Late"/>
    <n v="0"/>
  </r>
  <r>
    <x v="124"/>
    <d v="2023-08-21T00:00:00"/>
    <s v="Aug-2023"/>
    <s v="Q3"/>
    <d v="2023-09-04T00:00:00"/>
    <n v="14"/>
    <x v="2"/>
    <x v="3"/>
    <s v="Montreal"/>
    <s v="Americas &gt; Canada &gt; Montreal"/>
    <s v="Education"/>
    <s v="Distributor"/>
    <s v="F. Müller"/>
    <x v="0"/>
    <s v="CMP-2136"/>
    <n v="178.19"/>
    <n v="284.43"/>
    <s v="Low"/>
    <n v="8.8999999999999996E-2"/>
    <n v="8"/>
    <n v="2072.9258400000003"/>
    <n v="1191479.2970499997"/>
    <n v="1425.52"/>
    <n v="647.40584000000035"/>
    <n v="0.31231500302972742"/>
    <n v="202308"/>
    <n v="202301"/>
    <s v="Aug-2023"/>
    <n v="7"/>
    <s v="Late"/>
    <n v="0"/>
  </r>
  <r>
    <x v="125"/>
    <d v="2023-08-12T00:00:00"/>
    <s v="Aug-2023"/>
    <s v="Q3"/>
    <d v="2023-09-06T00:00:00"/>
    <n v="25"/>
    <x v="1"/>
    <x v="9"/>
    <s v="Shanghai"/>
    <s v="Asia &gt; China &gt; Shanghai"/>
    <s v="Small Business"/>
    <s v="Retail"/>
    <s v="B. Chen"/>
    <x v="0"/>
    <s v="CMP-6352"/>
    <n v="950.77"/>
    <n v="694.78"/>
    <s v="Medium"/>
    <n v="8.4000000000000005E-2"/>
    <n v="14"/>
    <n v="8909.8587200000002"/>
    <n v="1189406.3712099995"/>
    <n v="13310.779999999999"/>
    <n v="-4400.9212799999987"/>
    <n v="-0.49393839097821279"/>
    <n v="202308"/>
    <n v="202301"/>
    <s v="Aug-2023"/>
    <n v="7"/>
    <s v="Late"/>
    <n v="0"/>
  </r>
  <r>
    <x v="126"/>
    <d v="2024-06-07T00:00:00"/>
    <s v="Jun-2024"/>
    <s v="Q2"/>
    <d v="2024-06-26T00:00:00"/>
    <n v="19"/>
    <x v="3"/>
    <x v="6"/>
    <s v="Berlin"/>
    <s v="Europe &gt; Germany &gt; Berlin"/>
    <s v="Non-Profit"/>
    <s v="Marketplace"/>
    <s v="M. Rossi"/>
    <x v="0"/>
    <s v="CMP-2040"/>
    <n v="1064.32"/>
    <n v="1848.39"/>
    <s v="High"/>
    <n v="7.2999999999999995E-2"/>
    <n v="38"/>
    <n v="65111.38614000001"/>
    <n v="1180496.5124899996"/>
    <n v="40444.159999999996"/>
    <n v="24667.226140000013"/>
    <n v="0.3788465827921631"/>
    <n v="202406"/>
    <n v="202301"/>
    <s v="Jun-2023"/>
    <n v="17"/>
    <s v="Late"/>
    <n v="0"/>
  </r>
  <r>
    <x v="127"/>
    <d v="2025-08-05T00:00:00"/>
    <s v="Aug-2025"/>
    <s v="Q3"/>
    <d v="2025-08-14T00:00:00"/>
    <n v="9"/>
    <x v="3"/>
    <x v="8"/>
    <s v="London"/>
    <s v="Europe &gt; United Kingdom &gt; London"/>
    <s v="Non-Profit"/>
    <s v="Direct"/>
    <s v="E. Garcia"/>
    <x v="0"/>
    <s v="CMP-6346"/>
    <n v="41.76"/>
    <n v="45.19"/>
    <s v="Low"/>
    <n v="0.17899999999999999"/>
    <n v="23"/>
    <n v="853.32276999999988"/>
    <n v="1115385.1263499996"/>
    <n v="960.4799999999999"/>
    <n v="-107.15723000000003"/>
    <n v="-0.12557643340514638"/>
    <n v="202508"/>
    <n v="202301"/>
    <s v="Aug-2023"/>
    <n v="31"/>
    <s v="Late"/>
    <n v="0"/>
  </r>
  <r>
    <x v="128"/>
    <d v="2024-05-30T00:00:00"/>
    <s v="May-2024"/>
    <s v="Q2"/>
    <d v="2024-06-13T00:00:00"/>
    <n v="14"/>
    <x v="2"/>
    <x v="10"/>
    <s v="San Francisco"/>
    <s v="Americas &gt; USA &gt; San Francisco"/>
    <s v="Small Business"/>
    <s v="Retail"/>
    <s v="F. Müller"/>
    <x v="3"/>
    <s v="PHN-4356"/>
    <n v="157.78"/>
    <n v="361.1"/>
    <s v="Low"/>
    <n v="0.187"/>
    <n v="9"/>
    <n v="2642.1686999999997"/>
    <n v="1114531.8035799996"/>
    <n v="1420.02"/>
    <n v="1222.1486999999997"/>
    <n v="0.46255513510549112"/>
    <n v="202405"/>
    <n v="202301"/>
    <s v="May-2023"/>
    <n v="16"/>
    <s v="Late"/>
    <n v="0"/>
  </r>
  <r>
    <x v="129"/>
    <d v="2023-01-22T00:00:00"/>
    <s v="Jan-2023"/>
    <s v="Q1"/>
    <d v="2023-01-30T00:00:00"/>
    <n v="8"/>
    <x v="2"/>
    <x v="10"/>
    <s v="San Francisco"/>
    <s v="Americas &gt; USA &gt; San Francisco"/>
    <s v="Small Business"/>
    <s v="Online"/>
    <s v="A. Patel"/>
    <x v="2"/>
    <s v="NET-4155"/>
    <n v="413.52"/>
    <n v="1004.34"/>
    <s v="Low"/>
    <n v="0.111"/>
    <n v="18"/>
    <n v="16071.44868"/>
    <n v="1114531.8035799996"/>
    <n v="7443.36"/>
    <n v="8628.0886800000007"/>
    <n v="0.53685817948304593"/>
    <n v="202301"/>
    <n v="202301"/>
    <s v="Jan-2023"/>
    <n v="0"/>
    <s v="Late"/>
    <n v="0"/>
  </r>
  <r>
    <x v="130"/>
    <d v="2025-02-12T00:00:00"/>
    <s v="Feb-2025"/>
    <s v="Q1"/>
    <d v="2025-02-28T00:00:00"/>
    <n v="16"/>
    <x v="2"/>
    <x v="5"/>
    <s v="São Paulo"/>
    <s v="Americas &gt; Brazil &gt; São Paulo"/>
    <s v="Non-Profit"/>
    <s v="Direct"/>
    <s v="B. Chen"/>
    <x v="5"/>
    <s v="MON-5179"/>
    <n v="414.95"/>
    <n v="1027.73"/>
    <s v="Low"/>
    <n v="6.3E-2"/>
    <n v="8"/>
    <n v="7703.8640800000003"/>
    <n v="1114531.8035799996"/>
    <n v="3319.6"/>
    <n v="4384.2640800000008"/>
    <n v="0.56909935513815568"/>
    <n v="202502"/>
    <n v="202301"/>
    <s v="Feb-2023"/>
    <n v="25"/>
    <s v="Late"/>
    <n v="0"/>
  </r>
  <r>
    <x v="131"/>
    <d v="2025-03-03T00:00:00"/>
    <s v="Mar-2025"/>
    <s v="Q1"/>
    <d v="2025-03-24T00:00:00"/>
    <n v="21"/>
    <x v="0"/>
    <x v="1"/>
    <s v="Abuja"/>
    <s v="Africa &gt; Nigeria &gt; Abuja"/>
    <s v="Enterprise"/>
    <s v="Direct"/>
    <s v="H. Kim"/>
    <x v="6"/>
    <s v="ACC-4056"/>
    <n v="555.95000000000005"/>
    <n v="468.09"/>
    <s v="Medium"/>
    <n v="0.14199999999999999"/>
    <n v="11"/>
    <n v="4417.8334199999999"/>
    <n v="1114531.8035799996"/>
    <n v="6115.4500000000007"/>
    <n v="-1697.6165800000008"/>
    <n v="-0.38426450674095375"/>
    <n v="202503"/>
    <n v="202301"/>
    <s v="Mar-2023"/>
    <n v="26"/>
    <s v="Late"/>
    <n v="0"/>
  </r>
  <r>
    <x v="132"/>
    <d v="2023-01-27T00:00:00"/>
    <s v="Jan-2023"/>
    <s v="Q1"/>
    <d v="2023-01-31T00:00:00"/>
    <n v="4"/>
    <x v="3"/>
    <x v="8"/>
    <s v="Manchester"/>
    <s v="Europe &gt; United Kingdom &gt; Manchester"/>
    <s v="Enterprise"/>
    <s v="Online"/>
    <s v="N. Brown"/>
    <x v="4"/>
    <s v="LAP-9782"/>
    <n v="941.2"/>
    <n v="668.02"/>
    <s v="Medium"/>
    <n v="0.22"/>
    <n v="16"/>
    <n v="8336.8896000000004"/>
    <n v="1114531.8035799996"/>
    <n v="15059.2"/>
    <n v="-6722.3104000000003"/>
    <n v="-0.80633314371825193"/>
    <n v="202301"/>
    <n v="202301"/>
    <s v="Jan-2023"/>
    <n v="0"/>
    <s v="On Time"/>
    <n v="1"/>
  </r>
  <r>
    <x v="133"/>
    <d v="2025-01-09T00:00:00"/>
    <s v="Jan-2025"/>
    <s v="Q1"/>
    <d v="2025-01-15T00:00:00"/>
    <n v="6"/>
    <x v="1"/>
    <x v="9"/>
    <s v="Beijing"/>
    <s v="Asia &gt; China &gt; Beijing"/>
    <s v="Education"/>
    <s v="Online"/>
    <s v="C. Otieno"/>
    <x v="3"/>
    <s v="PHN-2875"/>
    <n v="304.77999999999997"/>
    <n v="537.27"/>
    <s v="Low"/>
    <n v="0.187"/>
    <n v="8"/>
    <n v="3494.4040799999998"/>
    <n v="1114531.8035799996"/>
    <n v="2438.2399999999998"/>
    <n v="1056.16408"/>
    <n v="0.3022444044307549"/>
    <n v="202501"/>
    <n v="202301"/>
    <s v="Jan-2023"/>
    <n v="24"/>
    <s v="On Time"/>
    <n v="1"/>
  </r>
  <r>
    <x v="134"/>
    <d v="2024-12-21T00:00:00"/>
    <s v="Dec-2024"/>
    <s v="Q4"/>
    <d v="2024-12-26T00:00:00"/>
    <n v="5"/>
    <x v="2"/>
    <x v="10"/>
    <s v="San Francisco"/>
    <s v="Americas &gt; USA &gt; San Francisco"/>
    <s v="Consumer"/>
    <s v="Marketplace"/>
    <s v="M. Rossi"/>
    <x v="1"/>
    <s v="PRN-4788"/>
    <n v="699.57"/>
    <n v="572.71"/>
    <s v="Medium"/>
    <n v="0.192"/>
    <n v="26"/>
    <n v="12031.491680000001"/>
    <n v="1114531.8035799996"/>
    <n v="18188.82"/>
    <n v="-6157.3283199999987"/>
    <n v="-0.51176765805651114"/>
    <n v="202412"/>
    <n v="202301"/>
    <s v="Dec-2023"/>
    <n v="23"/>
    <s v="On Time"/>
    <n v="1"/>
  </r>
  <r>
    <x v="135"/>
    <d v="2023-04-12T00:00:00"/>
    <s v="Apr-2023"/>
    <s v="Q2"/>
    <d v="2023-04-17T00:00:00"/>
    <n v="5"/>
    <x v="3"/>
    <x v="7"/>
    <s v="Lyon"/>
    <s v="Europe &gt; France &gt; Lyon"/>
    <s v="Enterprise"/>
    <s v="Direct"/>
    <s v="E. Garcia"/>
    <x v="5"/>
    <s v="MON-3043"/>
    <n v="1087.81"/>
    <n v="2323.87"/>
    <s v="High"/>
    <n v="9.4E-2"/>
    <n v="13"/>
    <n v="27370.540859999997"/>
    <n v="1114531.8035799996"/>
    <n v="14141.529999999999"/>
    <n v="13229.010859999999"/>
    <n v="0.48333026839572651"/>
    <n v="202304"/>
    <n v="202301"/>
    <s v="Apr-2023"/>
    <n v="3"/>
    <s v="On Time"/>
    <n v="1"/>
  </r>
  <r>
    <x v="136"/>
    <d v="2024-12-14T00:00:00"/>
    <s v="Dec-2024"/>
    <s v="Q4"/>
    <d v="2025-01-12T00:00:00"/>
    <n v="29"/>
    <x v="1"/>
    <x v="9"/>
    <s v="Shenzhen"/>
    <s v="Asia &gt; China &gt; Shenzhen"/>
    <s v="Education"/>
    <s v="Online"/>
    <s v="J. Njeri"/>
    <x v="0"/>
    <s v="CMP-3720"/>
    <n v="1412.15"/>
    <n v="1631.04"/>
    <s v="High"/>
    <n v="8.9999999999999993E-3"/>
    <n v="6"/>
    <n v="9698.1638399999993"/>
    <n v="1114531.8035799996"/>
    <n v="8472.9000000000015"/>
    <n v="1225.2638399999978"/>
    <n v="0.12633977526203535"/>
    <n v="202412"/>
    <n v="202301"/>
    <s v="Dec-2023"/>
    <n v="23"/>
    <s v="Late"/>
    <n v="0"/>
  </r>
  <r>
    <x v="137"/>
    <d v="2023-03-31T00:00:00"/>
    <s v="Mar-2023"/>
    <s v="Q1"/>
    <d v="2023-04-12T00:00:00"/>
    <n v="12"/>
    <x v="0"/>
    <x v="0"/>
    <s v="Mombasa"/>
    <s v="Africa &gt; Kenya &gt; Mombasa"/>
    <s v="Small Business"/>
    <s v="Online"/>
    <s v="C. Otieno"/>
    <x v="3"/>
    <s v="PHN-8014"/>
    <n v="304.22000000000003"/>
    <n v="393.31"/>
    <s v="Low"/>
    <n v="0.26500000000000001"/>
    <n v="15"/>
    <n v="4336.2427499999994"/>
    <n v="1104833.6397399995"/>
    <n v="4563.3"/>
    <n v="-227.05725000000075"/>
    <n v="-5.2362670424759034E-2"/>
    <n v="202303"/>
    <n v="202301"/>
    <s v="Mar-2023"/>
    <n v="2"/>
    <s v="Late"/>
    <n v="0"/>
  </r>
  <r>
    <x v="138"/>
    <d v="2024-11-20T00:00:00"/>
    <s v="Nov-2024"/>
    <s v="Q4"/>
    <d v="2024-12-15T00:00:00"/>
    <n v="25"/>
    <x v="3"/>
    <x v="7"/>
    <s v="Paris"/>
    <s v="Europe &gt; France &gt; Paris"/>
    <s v="Corporate"/>
    <s v="Online"/>
    <s v="G. Dubois"/>
    <x v="1"/>
    <s v="PRN-4911"/>
    <n v="1203.58"/>
    <n v="1856.16"/>
    <s v="High"/>
    <n v="0.129"/>
    <n v="22"/>
    <n v="35567.737920000007"/>
    <n v="1104833.6397399995"/>
    <n v="26478.76"/>
    <n v="9088.9779200000085"/>
    <n v="0.25553994860295032"/>
    <n v="202411"/>
    <n v="202301"/>
    <s v="Nov-2023"/>
    <n v="22"/>
    <s v="Late"/>
    <n v="0"/>
  </r>
  <r>
    <x v="139"/>
    <d v="2024-02-14T00:00:00"/>
    <s v="Feb-2024"/>
    <s v="Q1"/>
    <d v="2024-02-14T00:00:00"/>
    <n v="0"/>
    <x v="1"/>
    <x v="9"/>
    <s v="Beijing"/>
    <s v="Asia &gt; China &gt; Beijing"/>
    <s v="Corporate"/>
    <s v="Distributor"/>
    <s v="L. Okafor"/>
    <x v="6"/>
    <s v="ACC-1021"/>
    <n v="65.930000000000007"/>
    <n v="84.9"/>
    <s v="Low"/>
    <n v="0.25900000000000001"/>
    <n v="23"/>
    <n v="1446.9507000000001"/>
    <n v="1104833.6397399995"/>
    <n v="1516.39"/>
    <n v="-69.439300000000003"/>
    <n v="-4.7990093926489688E-2"/>
    <n v="202402"/>
    <n v="202301"/>
    <s v="Feb-2023"/>
    <n v="13"/>
    <s v="On Time"/>
    <n v="1"/>
  </r>
  <r>
    <x v="140"/>
    <d v="2023-05-02T00:00:00"/>
    <s v="May-2023"/>
    <s v="Q2"/>
    <d v="2023-05-18T00:00:00"/>
    <n v="16"/>
    <x v="1"/>
    <x v="4"/>
    <s v="Delhi"/>
    <s v="Asia &gt; India &gt; Delhi"/>
    <s v="Small Business"/>
    <s v="Marketplace"/>
    <s v="K. Singh"/>
    <x v="5"/>
    <s v="MON-2266"/>
    <n v="1463.92"/>
    <n v="2252.2399999999998"/>
    <s v="High"/>
    <n v="0.11799999999999999"/>
    <n v="44"/>
    <n v="87404.929919999995"/>
    <n v="1104833.6397399995"/>
    <n v="64412.480000000003"/>
    <n v="22992.449919999992"/>
    <n v="0.26305667130040061"/>
    <n v="202305"/>
    <n v="202301"/>
    <s v="May-2023"/>
    <n v="4"/>
    <s v="Late"/>
    <n v="0"/>
  </r>
  <r>
    <x v="141"/>
    <d v="2024-12-23T00:00:00"/>
    <s v="Dec-2024"/>
    <s v="Q4"/>
    <d v="2025-01-11T00:00:00"/>
    <n v="19"/>
    <x v="3"/>
    <x v="6"/>
    <s v="Berlin"/>
    <s v="Europe &gt; Germany &gt; Berlin"/>
    <s v="Education"/>
    <s v="Retail"/>
    <s v="K. Singh"/>
    <x v="3"/>
    <s v="PHN-8057"/>
    <n v="501.81"/>
    <n v="921.62"/>
    <s v="Medium"/>
    <n v="0.01"/>
    <n v="9"/>
    <n v="8211.6342000000004"/>
    <n v="1104833.6397399995"/>
    <n v="4516.29"/>
    <n v="3695.3442000000005"/>
    <n v="0.45001325071202031"/>
    <n v="202412"/>
    <n v="202301"/>
    <s v="Dec-2023"/>
    <n v="23"/>
    <s v="Late"/>
    <n v="0"/>
  </r>
  <r>
    <x v="142"/>
    <d v="2023-07-26T00:00:00"/>
    <s v="Jul-2023"/>
    <s v="Q3"/>
    <d v="2023-08-25T00:00:00"/>
    <n v="30"/>
    <x v="2"/>
    <x v="10"/>
    <s v="New York"/>
    <s v="Americas &gt; USA &gt; New York"/>
    <s v="Consumer"/>
    <s v="Retail"/>
    <s v="M. Rossi"/>
    <x v="6"/>
    <s v="ACC-7078"/>
    <n v="1261.48"/>
    <n v="1643.18"/>
    <s v="High"/>
    <n v="0.151"/>
    <n v="23"/>
    <n v="32086.37586"/>
    <n v="1104833.6397399995"/>
    <n v="29014.04"/>
    <n v="3072.3358599999992"/>
    <n v="9.5752037357079045E-2"/>
    <n v="202307"/>
    <n v="202301"/>
    <s v="Jul-2023"/>
    <n v="6"/>
    <s v="Late"/>
    <n v="0"/>
  </r>
  <r>
    <x v="143"/>
    <d v="2024-06-15T00:00:00"/>
    <s v="Jun-2024"/>
    <s v="Q2"/>
    <d v="2024-07-06T00:00:00"/>
    <n v="21"/>
    <x v="2"/>
    <x v="3"/>
    <s v="Toronto"/>
    <s v="Americas &gt; Canada &gt; Toronto"/>
    <s v="Enterprise"/>
    <s v="Distributor"/>
    <s v="L. Okafor"/>
    <x v="1"/>
    <s v="PRN-4453"/>
    <n v="817.23"/>
    <n v="1467.17"/>
    <s v="Medium"/>
    <n v="0.245"/>
    <n v="9"/>
    <n v="9969.4201499999999"/>
    <n v="1104833.6397399995"/>
    <n v="7355.07"/>
    <n v="2614.3501500000002"/>
    <n v="0.26223693160328893"/>
    <n v="202406"/>
    <n v="202301"/>
    <s v="Jun-2023"/>
    <n v="17"/>
    <s v="Late"/>
    <n v="0"/>
  </r>
  <r>
    <x v="144"/>
    <d v="2023-07-05T00:00:00"/>
    <s v="Jul-2023"/>
    <s v="Q3"/>
    <d v="2023-07-14T00:00:00"/>
    <n v="9"/>
    <x v="2"/>
    <x v="5"/>
    <s v="Brasília"/>
    <s v="Americas &gt; Brazil &gt; Brasília"/>
    <s v="Enterprise"/>
    <s v="Direct"/>
    <s v="B. Chen"/>
    <x v="2"/>
    <s v="NET-2394"/>
    <n v="578.85"/>
    <n v="998.76"/>
    <s v="Medium"/>
    <n v="8.2000000000000003E-2"/>
    <n v="28"/>
    <n v="25672.127039999999"/>
    <n v="1104833.6397399995"/>
    <n v="16207.800000000001"/>
    <n v="9464.3270399999983"/>
    <n v="0.36866158480960831"/>
    <n v="202307"/>
    <n v="202301"/>
    <s v="Jul-2023"/>
    <n v="6"/>
    <s v="Late"/>
    <n v="0"/>
  </r>
  <r>
    <x v="145"/>
    <d v="2023-11-30T00:00:00"/>
    <s v="Nov-2023"/>
    <s v="Q4"/>
    <d v="2023-12-01T00:00:00"/>
    <n v="1"/>
    <x v="0"/>
    <x v="11"/>
    <s v="Durban"/>
    <s v="Africa &gt; South Africa &gt; Durban"/>
    <s v="Small Business"/>
    <s v="Marketplace"/>
    <s v="E. Garcia"/>
    <x v="4"/>
    <s v="LAP-1525"/>
    <n v="275.56"/>
    <n v="630.72"/>
    <s v="Low"/>
    <n v="0.107"/>
    <n v="23"/>
    <n v="12954.358080000002"/>
    <n v="1104833.6397399995"/>
    <n v="6337.88"/>
    <n v="6616.4780800000017"/>
    <n v="0.5107530638831933"/>
    <n v="202311"/>
    <n v="202301"/>
    <s v="Nov-2023"/>
    <n v="10"/>
    <s v="On Time"/>
    <n v="1"/>
  </r>
  <r>
    <x v="146"/>
    <d v="2025-09-11T00:00:00"/>
    <s v="Sept-2025"/>
    <s v="Q3"/>
    <d v="2025-09-28T00:00:00"/>
    <n v="17"/>
    <x v="0"/>
    <x v="0"/>
    <s v="Nairobi"/>
    <s v="Africa &gt; Kenya &gt; Nairobi"/>
    <s v="Non-Profit"/>
    <s v="Distributor"/>
    <s v="J. Njeri"/>
    <x v="4"/>
    <s v="LAP-3278"/>
    <n v="891.46"/>
    <n v="728.61"/>
    <s v="Medium"/>
    <n v="0.185"/>
    <n v="6"/>
    <n v="3562.9028999999996"/>
    <n v="1104833.6397399995"/>
    <n v="5348.76"/>
    <n v="-1785.8571000000006"/>
    <n v="-0.50123653383874167"/>
    <n v="202509"/>
    <n v="202301"/>
    <s v="Sept-2023"/>
    <n v="32"/>
    <s v="Late"/>
    <n v="0"/>
  </r>
  <r>
    <x v="147"/>
    <d v="2024-04-04T00:00:00"/>
    <s v="Apr-2024"/>
    <s v="Q2"/>
    <d v="2024-04-24T00:00:00"/>
    <n v="20"/>
    <x v="3"/>
    <x v="6"/>
    <s v="Frankfurt"/>
    <s v="Europe &gt; Germany &gt; Frankfurt"/>
    <s v="Non-Profit"/>
    <s v="Direct"/>
    <s v="O. Wang"/>
    <x v="6"/>
    <s v="ACC-6543"/>
    <n v="683.42"/>
    <n v="951.51"/>
    <s v="Medium"/>
    <n v="0"/>
    <n v="14"/>
    <n v="13321.14"/>
    <n v="1104833.6397399995"/>
    <n v="9567.8799999999992"/>
    <n v="3753.26"/>
    <n v="0.28175216235247136"/>
    <n v="202404"/>
    <n v="202301"/>
    <s v="Apr-2023"/>
    <n v="15"/>
    <s v="Late"/>
    <n v="0"/>
  </r>
  <r>
    <x v="148"/>
    <d v="2023-09-14T00:00:00"/>
    <s v="Sept-2023"/>
    <s v="Q3"/>
    <d v="2023-09-16T00:00:00"/>
    <n v="2"/>
    <x v="3"/>
    <x v="7"/>
    <s v="Lyon"/>
    <s v="Europe &gt; France &gt; Lyon"/>
    <s v="Non-Profit"/>
    <s v="Direct"/>
    <s v="B. Chen"/>
    <x v="1"/>
    <s v="PRN-4432"/>
    <n v="376.83"/>
    <n v="732.88"/>
    <s v="Low"/>
    <n v="0.188"/>
    <n v="25"/>
    <n v="14877.464000000002"/>
    <n v="1104833.6397399995"/>
    <n v="9420.75"/>
    <n v="5456.7140000000018"/>
    <n v="0.36677716040852132"/>
    <n v="202309"/>
    <n v="202301"/>
    <s v="Sept-2023"/>
    <n v="8"/>
    <s v="On Time"/>
    <n v="1"/>
  </r>
  <r>
    <x v="149"/>
    <d v="2024-09-23T00:00:00"/>
    <s v="Sept-2024"/>
    <s v="Q3"/>
    <d v="2024-10-18T00:00:00"/>
    <n v="25"/>
    <x v="2"/>
    <x v="3"/>
    <s v="Vancouver"/>
    <s v="Americas &gt; Canada &gt; Vancouver"/>
    <s v="Small Business"/>
    <s v="Online"/>
    <s v="N. Brown"/>
    <x v="3"/>
    <s v="PHN-4568"/>
    <n v="1297"/>
    <n v="2411.52"/>
    <s v="High"/>
    <n v="2.1000000000000001E-2"/>
    <n v="18"/>
    <n v="42495.805439999996"/>
    <n v="1104833.6397399995"/>
    <n v="23346"/>
    <n v="19149.805439999996"/>
    <n v="0.45062813239385913"/>
    <n v="202409"/>
    <n v="202301"/>
    <s v="Sept-2023"/>
    <n v="20"/>
    <s v="Late"/>
    <n v="0"/>
  </r>
  <r>
    <x v="150"/>
    <d v="2025-04-16T00:00:00"/>
    <s v="Apr-2025"/>
    <s v="Q2"/>
    <d v="2025-05-16T00:00:00"/>
    <n v="30"/>
    <x v="2"/>
    <x v="3"/>
    <s v="Montreal"/>
    <s v="Americas &gt; Canada &gt; Montreal"/>
    <s v="Enterprise"/>
    <s v="Distributor"/>
    <s v="K. Singh"/>
    <x v="1"/>
    <s v="PRN-6178"/>
    <n v="763.32"/>
    <n v="568.29"/>
    <s v="Medium"/>
    <n v="0.13100000000000001"/>
    <n v="16"/>
    <n v="7901.5041599999995"/>
    <n v="1104833.6397399995"/>
    <n v="12213.12"/>
    <n v="-4311.6158400000013"/>
    <n v="-0.54567026134426555"/>
    <n v="202504"/>
    <n v="202301"/>
    <s v="Apr-2023"/>
    <n v="27"/>
    <s v="Late"/>
    <n v="0"/>
  </r>
  <r>
    <x v="151"/>
    <d v="2023-07-03T00:00:00"/>
    <s v="Jul-2023"/>
    <s v="Q3"/>
    <d v="2023-07-23T00:00:00"/>
    <n v="20"/>
    <x v="0"/>
    <x v="11"/>
    <s v="Johannesburg"/>
    <s v="Africa &gt; South Africa &gt; Johannesburg"/>
    <s v="Small Business"/>
    <s v="Distributor"/>
    <s v="F. Müller"/>
    <x v="4"/>
    <s v="LAP-6342"/>
    <n v="1001.96"/>
    <n v="1254.95"/>
    <s v="High"/>
    <n v="4.4999999999999998E-2"/>
    <n v="18"/>
    <n v="21572.590500000002"/>
    <n v="1104833.6397399995"/>
    <n v="18035.28"/>
    <n v="3537.3105000000032"/>
    <n v="0.16397244920585699"/>
    <n v="202307"/>
    <n v="202301"/>
    <s v="Jul-2023"/>
    <n v="6"/>
    <s v="Late"/>
    <n v="0"/>
  </r>
  <r>
    <x v="152"/>
    <d v="2023-12-07T00:00:00"/>
    <s v="Dec-2023"/>
    <s v="Q4"/>
    <d v="2023-12-09T00:00:00"/>
    <n v="2"/>
    <x v="1"/>
    <x v="2"/>
    <s v="Tokyo"/>
    <s v="Asia &gt; Japan &gt; Tokyo"/>
    <s v="Non-Profit"/>
    <s v="Marketplace"/>
    <s v="H. Kim"/>
    <x v="1"/>
    <s v="PRN-8175"/>
    <n v="1097.5899999999999"/>
    <n v="845.55"/>
    <s v="High"/>
    <n v="0.184"/>
    <n v="6"/>
    <n v="4139.8127999999997"/>
    <n v="1104833.6397399995"/>
    <n v="6585.5399999999991"/>
    <n v="-2445.7271999999994"/>
    <n v="-0.59078207594314402"/>
    <n v="202312"/>
    <n v="202303"/>
    <s v="Dec-2023"/>
    <n v="9"/>
    <s v="On Time"/>
    <n v="1"/>
  </r>
  <r>
    <x v="153"/>
    <d v="2024-02-18T00:00:00"/>
    <s v="Feb-2024"/>
    <s v="Q1"/>
    <d v="2024-03-04T00:00:00"/>
    <n v="15"/>
    <x v="0"/>
    <x v="0"/>
    <s v="Kisumu"/>
    <s v="Africa &gt; Kenya &gt; Kisumu"/>
    <s v="Education"/>
    <s v="Direct"/>
    <s v="K. Singh"/>
    <x v="1"/>
    <s v="PRN-7089"/>
    <n v="928.68"/>
    <n v="2145.17"/>
    <s v="Medium"/>
    <n v="0.13600000000000001"/>
    <n v="16"/>
    <n v="29654.83008"/>
    <n v="1104833.6397399995"/>
    <n v="14858.88"/>
    <n v="14795.950080000001"/>
    <n v="0.49893896003062177"/>
    <n v="202402"/>
    <n v="202301"/>
    <s v="Feb-2023"/>
    <n v="13"/>
    <s v="Late"/>
    <n v="0"/>
  </r>
  <r>
    <x v="154"/>
    <d v="2023-10-31T00:00:00"/>
    <s v="Oct-2023"/>
    <s v="Q4"/>
    <d v="2023-11-02T00:00:00"/>
    <n v="2"/>
    <x v="0"/>
    <x v="0"/>
    <s v="Kisumu"/>
    <s v="Africa &gt; Kenya &gt; Kisumu"/>
    <s v="Education"/>
    <s v="Retail"/>
    <s v="O. Wang"/>
    <x v="6"/>
    <s v="ACC-4124"/>
    <n v="867.89"/>
    <n v="1349.94"/>
    <s v="Medium"/>
    <n v="0.184"/>
    <n v="10"/>
    <n v="11015.510400000003"/>
    <n v="1104833.6397399995"/>
    <n v="8678.9"/>
    <n v="2336.6104000000032"/>
    <n v="0.21212003031652557"/>
    <n v="202310"/>
    <n v="202301"/>
    <s v="Oct-2023"/>
    <n v="9"/>
    <s v="On Time"/>
    <n v="1"/>
  </r>
  <r>
    <x v="155"/>
    <d v="2024-08-07T00:00:00"/>
    <s v="Aug-2024"/>
    <s v="Q3"/>
    <d v="2024-08-17T00:00:00"/>
    <n v="10"/>
    <x v="1"/>
    <x v="2"/>
    <s v="Osaka"/>
    <s v="Asia &gt; Japan &gt; Osaka"/>
    <s v="Consumer"/>
    <s v="Online"/>
    <s v="K. Singh"/>
    <x v="2"/>
    <s v="NET-7924"/>
    <n v="436.58"/>
    <n v="527.48"/>
    <s v="Low"/>
    <n v="0.111"/>
    <n v="19"/>
    <n v="8909.6646800000017"/>
    <n v="1104833.6397399995"/>
    <n v="8295.02"/>
    <n v="614.64468000000124"/>
    <n v="6.8986286473802644E-2"/>
    <n v="202408"/>
    <n v="202303"/>
    <s v="Aug-2023"/>
    <n v="17"/>
    <s v="Late"/>
    <n v="0"/>
  </r>
  <r>
    <x v="156"/>
    <d v="2024-02-01T00:00:00"/>
    <s v="Feb-2024"/>
    <s v="Q1"/>
    <d v="2024-02-21T00:00:00"/>
    <n v="20"/>
    <x v="3"/>
    <x v="7"/>
    <s v="Paris"/>
    <s v="Europe &gt; France &gt; Paris"/>
    <s v="Small Business"/>
    <s v="Marketplace"/>
    <s v="A. Patel"/>
    <x v="2"/>
    <s v="NET-8761"/>
    <n v="656.2"/>
    <n v="1467.17"/>
    <s v="Medium"/>
    <n v="1.7999999999999999E-2"/>
    <n v="5"/>
    <n v="7203.8047000000006"/>
    <n v="1104833.6397399995"/>
    <n v="3281"/>
    <n v="3922.8047000000006"/>
    <n v="0.54454623124360946"/>
    <n v="202402"/>
    <n v="202301"/>
    <s v="Feb-2023"/>
    <n v="13"/>
    <s v="Late"/>
    <n v="0"/>
  </r>
  <r>
    <x v="157"/>
    <d v="2024-08-27T00:00:00"/>
    <s v="Aug-2024"/>
    <s v="Q3"/>
    <d v="2024-09-18T00:00:00"/>
    <n v="22"/>
    <x v="1"/>
    <x v="4"/>
    <s v="Delhi"/>
    <s v="Asia &gt; India &gt; Delhi"/>
    <s v="Consumer"/>
    <s v="Direct"/>
    <s v="B. Chen"/>
    <x v="0"/>
    <s v="CMP-3875"/>
    <n v="896.75"/>
    <n v="1651.14"/>
    <s v="Medium"/>
    <n v="2.5000000000000001E-2"/>
    <n v="15"/>
    <n v="24147.922500000001"/>
    <n v="1104833.6397399995"/>
    <n v="13451.25"/>
    <n v="10696.672500000001"/>
    <n v="0.44296450346815552"/>
    <n v="202408"/>
    <n v="202301"/>
    <s v="Aug-2023"/>
    <n v="19"/>
    <s v="Late"/>
    <n v="0"/>
  </r>
  <r>
    <x v="158"/>
    <d v="2025-02-15T00:00:00"/>
    <s v="Feb-2025"/>
    <s v="Q1"/>
    <d v="2025-02-15T00:00:00"/>
    <n v="0"/>
    <x v="3"/>
    <x v="6"/>
    <s v="Frankfurt"/>
    <s v="Europe &gt; Germany &gt; Frankfurt"/>
    <s v="Small Business"/>
    <s v="Marketplace"/>
    <s v="L. Okafor"/>
    <x v="6"/>
    <s v="ACC-3989"/>
    <n v="815.83"/>
    <n v="1982.18"/>
    <s v="Medium"/>
    <n v="0.127"/>
    <n v="6"/>
    <n v="10382.65884"/>
    <n v="1080685.7172399994"/>
    <n v="4894.9800000000005"/>
    <n v="5487.6788399999996"/>
    <n v="0.52854272923408507"/>
    <n v="202502"/>
    <n v="202301"/>
    <s v="Feb-2023"/>
    <n v="25"/>
    <s v="On Time"/>
    <n v="1"/>
  </r>
  <r>
    <x v="159"/>
    <d v="2025-08-01T00:00:00"/>
    <s v="Aug-2025"/>
    <s v="Q3"/>
    <d v="2025-08-21T00:00:00"/>
    <n v="20"/>
    <x v="1"/>
    <x v="9"/>
    <s v="Shanghai"/>
    <s v="Asia &gt; China &gt; Shanghai"/>
    <s v="Corporate"/>
    <s v="Direct"/>
    <s v="I. Johnson"/>
    <x v="3"/>
    <s v="PHN-9234"/>
    <n v="1220.4100000000001"/>
    <n v="2552.2199999999998"/>
    <s v="High"/>
    <n v="0.18099999999999999"/>
    <n v="14"/>
    <n v="29263.754519999995"/>
    <n v="1080685.7172399994"/>
    <n v="17085.740000000002"/>
    <n v="12178.014519999993"/>
    <n v="0.41614668793360271"/>
    <n v="202508"/>
    <n v="202301"/>
    <s v="Aug-2023"/>
    <n v="31"/>
    <s v="Late"/>
    <n v="0"/>
  </r>
  <r>
    <x v="160"/>
    <d v="2023-02-20T00:00:00"/>
    <s v="Feb-2023"/>
    <s v="Q1"/>
    <d v="2023-03-04T00:00:00"/>
    <n v="12"/>
    <x v="1"/>
    <x v="4"/>
    <s v="Delhi"/>
    <s v="Asia &gt; India &gt; Delhi"/>
    <s v="Consumer"/>
    <s v="Distributor"/>
    <s v="M. Rossi"/>
    <x v="5"/>
    <s v="MON-9906"/>
    <n v="299.75"/>
    <n v="523.01"/>
    <s v="Low"/>
    <n v="0.157"/>
    <n v="50"/>
    <n v="22044.871499999997"/>
    <n v="1080685.7172399994"/>
    <n v="14987.5"/>
    <n v="7057.3714999999975"/>
    <n v="0.32013665854210122"/>
    <n v="202302"/>
    <n v="202301"/>
    <s v="Feb-2023"/>
    <n v="1"/>
    <s v="Late"/>
    <n v="0"/>
  </r>
  <r>
    <x v="161"/>
    <d v="2024-10-30T00:00:00"/>
    <s v="Oct-2024"/>
    <s v="Q4"/>
    <d v="2024-11-24T00:00:00"/>
    <n v="25"/>
    <x v="1"/>
    <x v="9"/>
    <s v="Shenzhen"/>
    <s v="Asia &gt; China &gt; Shenzhen"/>
    <s v="Small Business"/>
    <s v="Online"/>
    <s v="E. Garcia"/>
    <x v="0"/>
    <s v="CMP-4610"/>
    <n v="811.05"/>
    <n v="1217.71"/>
    <s v="Medium"/>
    <n v="7.1999999999999995E-2"/>
    <n v="5"/>
    <n v="5650.1744000000008"/>
    <n v="1080685.7172399994"/>
    <n v="4055.25"/>
    <n v="1594.9244000000008"/>
    <n v="0.28227879125288602"/>
    <n v="202410"/>
    <n v="202301"/>
    <s v="Oct-2023"/>
    <n v="21"/>
    <s v="Late"/>
    <n v="0"/>
  </r>
  <r>
    <x v="162"/>
    <d v="2024-04-03T00:00:00"/>
    <s v="Apr-2024"/>
    <s v="Q2"/>
    <d v="2024-04-07T00:00:00"/>
    <n v="4"/>
    <x v="2"/>
    <x v="5"/>
    <s v="Brasília"/>
    <s v="Americas &gt; Brazil &gt; Brasília"/>
    <s v="Non-Profit"/>
    <s v="Direct"/>
    <s v="N. Brown"/>
    <x v="3"/>
    <s v="PHN-5445"/>
    <n v="1023.27"/>
    <n v="1343.64"/>
    <s v="High"/>
    <n v="0.13300000000000001"/>
    <n v="7"/>
    <n v="8154.5511600000009"/>
    <n v="1075035.5428399993"/>
    <n v="7162.8899999999994"/>
    <n v="991.66116000000147"/>
    <n v="0.12160830688810116"/>
    <n v="202404"/>
    <n v="202301"/>
    <s v="Apr-2023"/>
    <n v="15"/>
    <s v="On Time"/>
    <n v="1"/>
  </r>
  <r>
    <x v="163"/>
    <d v="2023-03-25T00:00:00"/>
    <s v="Mar-2023"/>
    <s v="Q1"/>
    <d v="2023-03-26T00:00:00"/>
    <n v="1"/>
    <x v="1"/>
    <x v="2"/>
    <s v="Osaka"/>
    <s v="Asia &gt; Japan &gt; Osaka"/>
    <s v="Small Business"/>
    <s v="Distributor"/>
    <s v="I. Johnson"/>
    <x v="5"/>
    <s v="MON-9227"/>
    <n v="135.12"/>
    <n v="301.7"/>
    <s v="Low"/>
    <n v="0.14000000000000001"/>
    <n v="47"/>
    <n v="12194.714"/>
    <n v="1075035.5428399993"/>
    <n v="6350.64"/>
    <n v="5844.0739999999996"/>
    <n v="0.47923009920527859"/>
    <n v="202303"/>
    <n v="202303"/>
    <s v="Mar-2023"/>
    <n v="0"/>
    <s v="On Time"/>
    <n v="1"/>
  </r>
  <r>
    <x v="164"/>
    <d v="2024-06-04T00:00:00"/>
    <s v="Jun-2024"/>
    <s v="Q2"/>
    <d v="2024-06-16T00:00:00"/>
    <n v="12"/>
    <x v="1"/>
    <x v="9"/>
    <s v="Shanghai"/>
    <s v="Asia &gt; China &gt; Shanghai"/>
    <s v="Corporate"/>
    <s v="Retail"/>
    <s v="J. Njeri"/>
    <x v="1"/>
    <s v="PRN-4097"/>
    <n v="918.42"/>
    <n v="1511.71"/>
    <s v="Medium"/>
    <n v="0.02"/>
    <n v="8"/>
    <n v="11851.806399999999"/>
    <n v="1075035.5428399993"/>
    <n v="7347.36"/>
    <n v="4504.4463999999998"/>
    <n v="0.38006412254590999"/>
    <n v="202406"/>
    <n v="202301"/>
    <s v="Jun-2023"/>
    <n v="17"/>
    <s v="Late"/>
    <n v="0"/>
  </r>
  <r>
    <x v="165"/>
    <d v="2023-02-19T00:00:00"/>
    <s v="Feb-2023"/>
    <s v="Q1"/>
    <d v="2023-03-12T00:00:00"/>
    <n v="21"/>
    <x v="3"/>
    <x v="6"/>
    <s v="Berlin"/>
    <s v="Europe &gt; Germany &gt; Berlin"/>
    <s v="Small Business"/>
    <s v="Direct"/>
    <s v="L. Okafor"/>
    <x v="5"/>
    <s v="MON-6699"/>
    <n v="1234.81"/>
    <n v="2055.2399999999998"/>
    <s v="High"/>
    <n v="5.2999999999999999E-2"/>
    <n v="44"/>
    <n v="85637.740319999997"/>
    <n v="1075035.5428399993"/>
    <n v="54331.64"/>
    <n v="31306.100319999998"/>
    <n v="0.36556429680441616"/>
    <n v="202302"/>
    <n v="202301"/>
    <s v="Feb-2023"/>
    <n v="1"/>
    <s v="Late"/>
    <n v="0"/>
  </r>
  <r>
    <x v="166"/>
    <d v="2023-04-18T00:00:00"/>
    <s v="Apr-2023"/>
    <s v="Q2"/>
    <d v="2023-05-18T00:00:00"/>
    <n v="30"/>
    <x v="1"/>
    <x v="9"/>
    <s v="Shenzhen"/>
    <s v="Asia &gt; China &gt; Shenzhen"/>
    <s v="Non-Profit"/>
    <s v="Retail"/>
    <s v="H. Kim"/>
    <x v="4"/>
    <s v="LAP-1482"/>
    <n v="329.03"/>
    <n v="391.15"/>
    <s v="Low"/>
    <n v="0.19700000000000001"/>
    <n v="46"/>
    <n v="14448.298699999998"/>
    <n v="1075035.5428399993"/>
    <n v="15135.38"/>
    <n v="-687.08130000000165"/>
    <n v="-4.7554477815440081E-2"/>
    <n v="202304"/>
    <n v="202301"/>
    <s v="Apr-2023"/>
    <n v="3"/>
    <s v="Late"/>
    <n v="0"/>
  </r>
  <r>
    <x v="167"/>
    <d v="2024-05-23T00:00:00"/>
    <s v="May-2024"/>
    <s v="Q2"/>
    <d v="2024-06-14T00:00:00"/>
    <n v="22"/>
    <x v="3"/>
    <x v="7"/>
    <s v="Marseille"/>
    <s v="Europe &gt; France &gt; Marseille"/>
    <s v="Small Business"/>
    <s v="Online"/>
    <s v="N. Brown"/>
    <x v="5"/>
    <s v="MON-2100"/>
    <n v="1481.74"/>
    <n v="1848.97"/>
    <s v="High"/>
    <n v="0.254"/>
    <n v="9"/>
    <n v="12413.98458"/>
    <n v="1075035.5428399993"/>
    <n v="13335.66"/>
    <n v="-921.67541999999958"/>
    <n v="-7.4244930309072407E-2"/>
    <n v="202405"/>
    <n v="202301"/>
    <s v="May-2023"/>
    <n v="16"/>
    <s v="Late"/>
    <n v="0"/>
  </r>
  <r>
    <x v="168"/>
    <d v="2023-10-07T00:00:00"/>
    <s v="Oct-2023"/>
    <s v="Q4"/>
    <d v="2023-10-23T00:00:00"/>
    <n v="16"/>
    <x v="1"/>
    <x v="4"/>
    <s v="Hyderabad"/>
    <s v="Asia &gt; India &gt; Hyderabad"/>
    <s v="Consumer"/>
    <s v="Retail"/>
    <s v="G. Dubois"/>
    <x v="5"/>
    <s v="MON-7602"/>
    <n v="906.81"/>
    <n v="1395.56"/>
    <s v="Medium"/>
    <n v="0.185"/>
    <n v="6"/>
    <n v="6824.2884000000004"/>
    <n v="1075035.5428399993"/>
    <n v="5440.86"/>
    <n v="1383.4284000000007"/>
    <n v="0.20272126834498974"/>
    <n v="202310"/>
    <n v="202301"/>
    <s v="Oct-2023"/>
    <n v="9"/>
    <s v="Late"/>
    <n v="0"/>
  </r>
  <r>
    <x v="169"/>
    <d v="2024-10-09T00:00:00"/>
    <s v="Oct-2024"/>
    <s v="Q4"/>
    <d v="2024-11-08T00:00:00"/>
    <n v="30"/>
    <x v="3"/>
    <x v="8"/>
    <s v="Manchester"/>
    <s v="Europe &gt; United Kingdom &gt; Manchester"/>
    <s v="Small Business"/>
    <s v="Distributor"/>
    <s v="J. Njeri"/>
    <x v="0"/>
    <s v="CMP-1072"/>
    <n v="343.85"/>
    <n v="538.04"/>
    <s v="Low"/>
    <n v="0.13900000000000001"/>
    <n v="5"/>
    <n v="2316.2621999999997"/>
    <n v="1075035.5428399993"/>
    <n v="1719.25"/>
    <n v="597.01219999999967"/>
    <n v="0.25774810813732563"/>
    <n v="202410"/>
    <n v="202301"/>
    <s v="Oct-2023"/>
    <n v="21"/>
    <s v="Late"/>
    <n v="0"/>
  </r>
  <r>
    <x v="170"/>
    <d v="2024-07-15T00:00:00"/>
    <s v="Jul-2024"/>
    <s v="Q3"/>
    <d v="2024-07-15T00:00:00"/>
    <n v="0"/>
    <x v="1"/>
    <x v="2"/>
    <s v="Tokyo"/>
    <s v="Asia &gt; Japan &gt; Tokyo"/>
    <s v="Small Business"/>
    <s v="Marketplace"/>
    <s v="G. Dubois"/>
    <x v="6"/>
    <s v="ACC-2735"/>
    <n v="801.77"/>
    <n v="1218.92"/>
    <s v="Medium"/>
    <n v="0.254"/>
    <n v="16"/>
    <n v="14549.029120000001"/>
    <n v="1072719.2806399995"/>
    <n v="12828.32"/>
    <n v="1720.7091200000013"/>
    <n v="0.11826968698788344"/>
    <n v="202407"/>
    <n v="202303"/>
    <s v="Jul-2023"/>
    <n v="16"/>
    <s v="On Time"/>
    <n v="1"/>
  </r>
  <r>
    <x v="171"/>
    <d v="2023-09-21T00:00:00"/>
    <s v="Sept-2023"/>
    <s v="Q3"/>
    <d v="2023-10-10T00:00:00"/>
    <n v="19"/>
    <x v="1"/>
    <x v="2"/>
    <s v="Tokyo"/>
    <s v="Asia &gt; Japan &gt; Tokyo"/>
    <s v="Education"/>
    <s v="Online"/>
    <s v="D. Smith"/>
    <x v="0"/>
    <s v="CMP-5211"/>
    <n v="845.63"/>
    <n v="2062.12"/>
    <s v="Medium"/>
    <n v="0.13400000000000001"/>
    <n v="5"/>
    <n v="8928.9795999999988"/>
    <n v="1072719.2806399995"/>
    <n v="4228.1499999999996"/>
    <n v="4700.8295999999991"/>
    <n v="0.52646884757133949"/>
    <n v="202309"/>
    <n v="202303"/>
    <s v="Sept-2023"/>
    <n v="6"/>
    <s v="Late"/>
    <n v="0"/>
  </r>
  <r>
    <x v="172"/>
    <d v="2023-02-24T00:00:00"/>
    <s v="Feb-2023"/>
    <s v="Q1"/>
    <d v="2023-03-09T00:00:00"/>
    <n v="13"/>
    <x v="2"/>
    <x v="10"/>
    <s v="New York"/>
    <s v="Americas &gt; USA &gt; New York"/>
    <s v="Enterprise"/>
    <s v="Online"/>
    <s v="M. Rossi"/>
    <x v="0"/>
    <s v="CMP-1632"/>
    <n v="6.85"/>
    <n v="10.18"/>
    <s v="Low"/>
    <n v="4.7E-2"/>
    <n v="10"/>
    <n v="97.0154"/>
    <n v="1063790.3010399996"/>
    <n v="68.5"/>
    <n v="28.5154"/>
    <n v="0.2939265312517394"/>
    <n v="202302"/>
    <n v="202301"/>
    <s v="Feb-2023"/>
    <n v="1"/>
    <s v="Late"/>
    <n v="0"/>
  </r>
  <r>
    <x v="173"/>
    <d v="2025-05-21T00:00:00"/>
    <s v="May-2025"/>
    <s v="Q2"/>
    <d v="2025-05-23T00:00:00"/>
    <n v="2"/>
    <x v="0"/>
    <x v="11"/>
    <s v="Johannesburg"/>
    <s v="Africa &gt; South Africa &gt; Johannesburg"/>
    <s v="Non-Profit"/>
    <s v="Distributor"/>
    <s v="O. Wang"/>
    <x v="4"/>
    <s v="LAP-7099"/>
    <n v="1263.8399999999999"/>
    <n v="2281.7199999999998"/>
    <s v="High"/>
    <n v="7.8E-2"/>
    <n v="15"/>
    <n v="31556.187599999997"/>
    <n v="1063693.2856399994"/>
    <n v="18957.599999999999"/>
    <n v="12598.587599999999"/>
    <n v="0.39924301882398494"/>
    <n v="202505"/>
    <n v="202301"/>
    <s v="May-2023"/>
    <n v="28"/>
    <s v="On Time"/>
    <n v="1"/>
  </r>
  <r>
    <x v="174"/>
    <d v="2024-05-23T00:00:00"/>
    <s v="May-2024"/>
    <s v="Q2"/>
    <d v="2024-06-03T00:00:00"/>
    <n v="11"/>
    <x v="0"/>
    <x v="11"/>
    <s v="Johannesburg"/>
    <s v="Africa &gt; South Africa &gt; Johannesburg"/>
    <s v="Small Business"/>
    <s v="Distributor"/>
    <s v="F. Müller"/>
    <x v="1"/>
    <s v="PRN-3785"/>
    <n v="180.89"/>
    <n v="249.57"/>
    <s v="Low"/>
    <n v="2.1999999999999999E-2"/>
    <n v="8"/>
    <n v="1952.6356799999999"/>
    <n v="1063693.2856399994"/>
    <n v="1447.12"/>
    <n v="505.51567999999997"/>
    <n v="0.25888888806948362"/>
    <n v="202405"/>
    <n v="202301"/>
    <s v="May-2023"/>
    <n v="16"/>
    <s v="Late"/>
    <n v="0"/>
  </r>
  <r>
    <x v="175"/>
    <d v="2025-04-14T00:00:00"/>
    <s v="Apr-2025"/>
    <s v="Q2"/>
    <d v="2025-05-04T00:00:00"/>
    <n v="20"/>
    <x v="3"/>
    <x v="8"/>
    <s v="Birmingham"/>
    <s v="Europe &gt; United Kingdom &gt; Birmingham"/>
    <s v="Enterprise"/>
    <s v="Marketplace"/>
    <s v="K. Singh"/>
    <x v="5"/>
    <s v="MON-6962"/>
    <n v="1413.87"/>
    <n v="3275"/>
    <s v="High"/>
    <n v="0.255"/>
    <n v="38"/>
    <n v="92715.25"/>
    <n v="1063693.2856399994"/>
    <n v="53727.06"/>
    <n v="38988.19"/>
    <n v="0.42051539525590453"/>
    <n v="202504"/>
    <n v="202301"/>
    <s v="Apr-2023"/>
    <n v="27"/>
    <s v="Late"/>
    <n v="0"/>
  </r>
  <r>
    <x v="176"/>
    <d v="2023-08-27T00:00:00"/>
    <s v="Aug-2023"/>
    <s v="Q3"/>
    <d v="2023-09-11T00:00:00"/>
    <n v="15"/>
    <x v="3"/>
    <x v="8"/>
    <s v="London"/>
    <s v="Europe &gt; United Kingdom &gt; London"/>
    <s v="Consumer"/>
    <s v="Marketplace"/>
    <s v="N. Brown"/>
    <x v="1"/>
    <s v="PRN-5107"/>
    <n v="943.79"/>
    <n v="1913.76"/>
    <s v="Medium"/>
    <n v="9.0999999999999998E-2"/>
    <n v="9"/>
    <n v="15656.47056"/>
    <n v="1063693.2856399994"/>
    <n v="8494.11"/>
    <n v="7162.3605599999992"/>
    <n v="0.45746967891338081"/>
    <n v="202308"/>
    <n v="202301"/>
    <s v="Aug-2023"/>
    <n v="7"/>
    <s v="Late"/>
    <n v="0"/>
  </r>
  <r>
    <x v="177"/>
    <d v="2024-02-03T00:00:00"/>
    <s v="Feb-2024"/>
    <s v="Q1"/>
    <d v="2024-02-21T00:00:00"/>
    <n v="18"/>
    <x v="3"/>
    <x v="6"/>
    <s v="Frankfurt"/>
    <s v="Europe &gt; Germany &gt; Frankfurt"/>
    <s v="Corporate"/>
    <s v="Retail"/>
    <s v="H. Kim"/>
    <x v="0"/>
    <s v="CMP-9264"/>
    <n v="39.229999999999997"/>
    <n v="30.09"/>
    <s v="Low"/>
    <n v="0.17699999999999999"/>
    <n v="13"/>
    <n v="321.93290999999999"/>
    <n v="1063693.2856399994"/>
    <n v="509.98999999999995"/>
    <n v="-188.05708999999996"/>
    <n v="-0.58414993981199359"/>
    <n v="202402"/>
    <n v="202301"/>
    <s v="Feb-2023"/>
    <n v="13"/>
    <s v="Late"/>
    <n v="0"/>
  </r>
  <r>
    <x v="178"/>
    <d v="2023-04-05T00:00:00"/>
    <s v="Apr-2023"/>
    <s v="Q2"/>
    <d v="2023-04-16T00:00:00"/>
    <n v="11"/>
    <x v="2"/>
    <x v="3"/>
    <s v="Vancouver"/>
    <s v="Americas &gt; Canada &gt; Vancouver"/>
    <s v="Non-Profit"/>
    <s v="Online"/>
    <s v="O. Wang"/>
    <x v="5"/>
    <s v="MON-5259"/>
    <n v="213.1"/>
    <n v="501.31"/>
    <s v="Low"/>
    <n v="5.6000000000000001E-2"/>
    <n v="15"/>
    <n v="7098.5495999999994"/>
    <n v="1063371.3527299995"/>
    <n v="3196.5"/>
    <n v="3902.0495999999994"/>
    <n v="0.54969674368409005"/>
    <n v="202304"/>
    <n v="202301"/>
    <s v="Apr-2023"/>
    <n v="3"/>
    <s v="Late"/>
    <n v="0"/>
  </r>
  <r>
    <x v="179"/>
    <d v="2025-08-21T00:00:00"/>
    <s v="Aug-2025"/>
    <s v="Q3"/>
    <d v="2025-09-12T00:00:00"/>
    <n v="22"/>
    <x v="1"/>
    <x v="9"/>
    <s v="Shenzhen"/>
    <s v="Asia &gt; China &gt; Shenzhen"/>
    <s v="Education"/>
    <s v="Retail"/>
    <s v="B. Chen"/>
    <x v="1"/>
    <s v="PRN-8137"/>
    <n v="352.66"/>
    <n v="411.18"/>
    <s v="Low"/>
    <n v="0.17299999999999999"/>
    <n v="13"/>
    <n v="4420.5961799999995"/>
    <n v="1063371.3527299995"/>
    <n v="4584.58"/>
    <n v="-163.98382000000038"/>
    <n v="-3.7095408248758066E-2"/>
    <n v="202508"/>
    <n v="202301"/>
    <s v="Aug-2023"/>
    <n v="31"/>
    <s v="Late"/>
    <n v="0"/>
  </r>
  <r>
    <x v="180"/>
    <d v="2025-09-15T00:00:00"/>
    <s v="Sept-2025"/>
    <s v="Q3"/>
    <d v="2025-09-18T00:00:00"/>
    <n v="3"/>
    <x v="2"/>
    <x v="5"/>
    <s v="Rio de Janeiro"/>
    <s v="Americas &gt; Brazil &gt; Rio de Janeiro"/>
    <s v="Non-Profit"/>
    <s v="Direct"/>
    <s v="L. Okafor"/>
    <x v="6"/>
    <s v="ACC-6777"/>
    <n v="5.5"/>
    <n v="5.92"/>
    <s v="Low"/>
    <n v="0.21199999999999999"/>
    <n v="4"/>
    <n v="18.659839999999999"/>
    <n v="1063371.3527299995"/>
    <n v="22"/>
    <n v="-3.3401600000000009"/>
    <n v="-0.17900260666758133"/>
    <n v="202509"/>
    <n v="202301"/>
    <s v="Sept-2023"/>
    <n v="32"/>
    <s v="On Time"/>
    <n v="1"/>
  </r>
  <r>
    <x v="181"/>
    <d v="2024-10-03T00:00:00"/>
    <s v="Oct-2024"/>
    <s v="Q4"/>
    <d v="2024-10-11T00:00:00"/>
    <n v="8"/>
    <x v="1"/>
    <x v="9"/>
    <s v="Beijing"/>
    <s v="Asia &gt; China &gt; Beijing"/>
    <s v="Enterprise"/>
    <s v="Direct"/>
    <s v="B. Chen"/>
    <x v="3"/>
    <s v="PHN-7488"/>
    <n v="1132.6099999999999"/>
    <n v="2206.63"/>
    <s v="High"/>
    <n v="6.3E-2"/>
    <n v="20"/>
    <n v="41352.246200000009"/>
    <n v="1063371.3527299995"/>
    <n v="22652.199999999997"/>
    <n v="18700.046200000012"/>
    <n v="0.45221355351671338"/>
    <n v="202410"/>
    <n v="202301"/>
    <s v="Oct-2023"/>
    <n v="21"/>
    <s v="Late"/>
    <n v="0"/>
  </r>
  <r>
    <x v="182"/>
    <d v="2025-02-02T00:00:00"/>
    <s v="Feb-2025"/>
    <s v="Q1"/>
    <d v="2025-03-04T00:00:00"/>
    <n v="30"/>
    <x v="1"/>
    <x v="2"/>
    <s v="Osaka"/>
    <s v="Asia &gt; Japan &gt; Osaka"/>
    <s v="Education"/>
    <s v="Distributor"/>
    <s v="L. Okafor"/>
    <x v="6"/>
    <s v="ACC-9591"/>
    <n v="766.59"/>
    <n v="1912.8"/>
    <s v="Medium"/>
    <n v="0.19600000000000001"/>
    <n v="5"/>
    <n v="7689.4560000000001"/>
    <n v="1063371.3527299995"/>
    <n v="3832.9500000000003"/>
    <n v="3856.5059999999999"/>
    <n v="0.50153170783472845"/>
    <n v="202502"/>
    <n v="202303"/>
    <s v="Feb-2023"/>
    <n v="23"/>
    <s v="Late"/>
    <n v="0"/>
  </r>
  <r>
    <x v="183"/>
    <d v="2023-08-19T00:00:00"/>
    <s v="Aug-2023"/>
    <s v="Q3"/>
    <d v="2023-08-23T00:00:00"/>
    <n v="4"/>
    <x v="0"/>
    <x v="1"/>
    <s v="Abuja"/>
    <s v="Africa &gt; Nigeria &gt; Abuja"/>
    <s v="Small Business"/>
    <s v="Online"/>
    <s v="J. Njeri"/>
    <x v="5"/>
    <s v="MON-5517"/>
    <n v="790.63"/>
    <n v="1382.31"/>
    <s v="Medium"/>
    <n v="0.10100000000000001"/>
    <n v="7"/>
    <n v="8698.8768300000011"/>
    <n v="1063371.3527299995"/>
    <n v="5534.41"/>
    <n v="3164.4668300000012"/>
    <n v="0.36377878338116448"/>
    <n v="202308"/>
    <n v="202301"/>
    <s v="Aug-2023"/>
    <n v="7"/>
    <s v="On Time"/>
    <n v="1"/>
  </r>
  <r>
    <x v="184"/>
    <d v="2024-10-22T00:00:00"/>
    <s v="Oct-2024"/>
    <s v="Q4"/>
    <d v="2024-10-29T00:00:00"/>
    <n v="7"/>
    <x v="0"/>
    <x v="1"/>
    <s v="Port Harcourt"/>
    <s v="Africa &gt; Nigeria &gt; Port Harcourt"/>
    <s v="Enterprise"/>
    <s v="Distributor"/>
    <s v="M. Rossi"/>
    <x v="5"/>
    <s v="MON-8758"/>
    <n v="1023.06"/>
    <n v="1355.61"/>
    <s v="High"/>
    <n v="0.153"/>
    <n v="23"/>
    <n v="26408.63841"/>
    <n v="1063371.3527299995"/>
    <n v="23530.379999999997"/>
    <n v="2878.2584100000022"/>
    <n v="0.10898927711888809"/>
    <n v="202410"/>
    <n v="202301"/>
    <s v="Oct-2023"/>
    <n v="21"/>
    <s v="On Time"/>
    <n v="1"/>
  </r>
  <r>
    <x v="185"/>
    <d v="2023-06-22T00:00:00"/>
    <s v="Jun-2023"/>
    <s v="Q2"/>
    <d v="2023-07-21T00:00:00"/>
    <n v="29"/>
    <x v="3"/>
    <x v="7"/>
    <s v="Lyon"/>
    <s v="Europe &gt; France &gt; Lyon"/>
    <s v="Corporate"/>
    <s v="Retail"/>
    <s v="J. Njeri"/>
    <x v="6"/>
    <s v="ACC-3385"/>
    <n v="734.34"/>
    <n v="887.9"/>
    <s v="Medium"/>
    <n v="2.5000000000000001E-2"/>
    <n v="12"/>
    <n v="10388.429999999998"/>
    <n v="1063371.3527299995"/>
    <n v="8812.08"/>
    <n v="1576.3499999999985"/>
    <n v="0.15174092716608753"/>
    <n v="202306"/>
    <n v="202301"/>
    <s v="Jun-2023"/>
    <n v="5"/>
    <s v="Late"/>
    <n v="0"/>
  </r>
  <r>
    <x v="186"/>
    <d v="2025-01-13T00:00:00"/>
    <s v="Jan-2025"/>
    <s v="Q1"/>
    <d v="2025-02-08T00:00:00"/>
    <n v="26"/>
    <x v="3"/>
    <x v="7"/>
    <s v="Paris"/>
    <s v="Europe &gt; France &gt; Paris"/>
    <s v="Non-Profit"/>
    <s v="Not Provided"/>
    <s v="E. Garcia"/>
    <x v="5"/>
    <s v="MON-1593"/>
    <n v="594.74"/>
    <n v="1020.69"/>
    <s v="Medium"/>
    <n v="0.21099999999999999"/>
    <n v="6"/>
    <n v="4831.9464600000001"/>
    <n v="1063371.3527299995"/>
    <n v="3568.44"/>
    <n v="1263.5064600000001"/>
    <n v="0.26149016146176424"/>
    <n v="202501"/>
    <n v="202301"/>
    <s v="Jan-2023"/>
    <n v="24"/>
    <s v="Late"/>
    <n v="0"/>
  </r>
  <r>
    <x v="129"/>
    <d v="2023-01-29T00:00:00"/>
    <s v="Jan-2023"/>
    <s v="Q1"/>
    <d v="2023-02-28T00:00:00"/>
    <n v="30"/>
    <x v="1"/>
    <x v="4"/>
    <s v="Bengaluru"/>
    <s v="Asia &gt; India &gt; Bengaluru"/>
    <s v="Non-Profit"/>
    <s v="Retail"/>
    <s v="B. Chen"/>
    <x v="6"/>
    <s v="ACC-4631"/>
    <n v="1262.0999999999999"/>
    <n v="1395.53"/>
    <s v="High"/>
    <n v="0.23300000000000001"/>
    <n v="25"/>
    <n v="26759.28775"/>
    <n v="1063371.3527299995"/>
    <n v="31552.499999999996"/>
    <n v="-4793.2122499999969"/>
    <n v="-0.17912331205452198"/>
    <n v="202301"/>
    <n v="202301"/>
    <s v="Jan-2023"/>
    <n v="0"/>
    <s v="Late"/>
    <n v="0"/>
  </r>
  <r>
    <x v="187"/>
    <d v="2023-07-19T00:00:00"/>
    <s v="Jul-2023"/>
    <s v="Q3"/>
    <d v="2023-07-31T00:00:00"/>
    <n v="12"/>
    <x v="2"/>
    <x v="5"/>
    <s v="Rio de Janeiro"/>
    <s v="Americas &gt; Brazil &gt; Rio de Janeiro"/>
    <s v="Corporate"/>
    <s v="Retail"/>
    <s v="C. Otieno"/>
    <x v="5"/>
    <s v="MON-7869"/>
    <n v="1334.64"/>
    <n v="2273.42"/>
    <s v="High"/>
    <n v="0.11799999999999999"/>
    <n v="14"/>
    <n v="28072.190160000002"/>
    <n v="1063371.3527299995"/>
    <n v="18684.960000000003"/>
    <n v="9387.2301599999992"/>
    <n v="0.33439607335575267"/>
    <n v="202307"/>
    <n v="202301"/>
    <s v="Jul-2023"/>
    <n v="6"/>
    <s v="Late"/>
    <n v="0"/>
  </r>
  <r>
    <x v="188"/>
    <d v="2024-05-19T00:00:00"/>
    <s v="May-2024"/>
    <s v="Q2"/>
    <d v="2024-06-08T00:00:00"/>
    <n v="20"/>
    <x v="2"/>
    <x v="5"/>
    <s v="Brasília"/>
    <s v="Americas &gt; Brazil &gt; Brasília"/>
    <s v="Small Business"/>
    <s v="Retail"/>
    <s v="E. Garcia"/>
    <x v="5"/>
    <s v="MON-4271"/>
    <n v="1075.9000000000001"/>
    <n v="1242.1500000000001"/>
    <s v="High"/>
    <n v="1.2E-2"/>
    <n v="7"/>
    <n v="8590.7094000000016"/>
    <n v="1063371.3527299995"/>
    <n v="7531.3000000000011"/>
    <n v="1059.4094000000005"/>
    <n v="0.12332036280961853"/>
    <n v="202405"/>
    <n v="202301"/>
    <s v="May-2023"/>
    <n v="16"/>
    <s v="Late"/>
    <n v="0"/>
  </r>
  <r>
    <x v="189"/>
    <d v="2024-02-03T00:00:00"/>
    <s v="Feb-2024"/>
    <s v="Q1"/>
    <d v="2024-02-19T00:00:00"/>
    <n v="16"/>
    <x v="1"/>
    <x v="9"/>
    <s v="Shenzhen"/>
    <s v="Asia &gt; China &gt; Shenzhen"/>
    <s v="Small Business"/>
    <s v="Online"/>
    <s v="H. Kim"/>
    <x v="4"/>
    <s v="LAP-5531"/>
    <n v="993.75"/>
    <n v="1310.29"/>
    <s v="Medium"/>
    <n v="0.215"/>
    <n v="19"/>
    <n v="19542.975350000001"/>
    <n v="1063371.3527299995"/>
    <n v="18881.25"/>
    <n v="661.72535000000062"/>
    <n v="3.3860010471742245E-2"/>
    <n v="202402"/>
    <n v="202301"/>
    <s v="Feb-2023"/>
    <n v="13"/>
    <s v="Late"/>
    <n v="0"/>
  </r>
  <r>
    <x v="190"/>
    <d v="2023-08-08T00:00:00"/>
    <s v="Aug-2023"/>
    <s v="Q3"/>
    <d v="2023-08-22T00:00:00"/>
    <n v="14"/>
    <x v="3"/>
    <x v="8"/>
    <s v="Birmingham"/>
    <s v="Europe &gt; United Kingdom &gt; Birmingham"/>
    <s v="Non-Profit"/>
    <s v="Direct"/>
    <s v="N. Brown"/>
    <x v="5"/>
    <s v="MON-7511"/>
    <n v="446.69"/>
    <n v="967.25"/>
    <s v="Low"/>
    <n v="9.4E-2"/>
    <n v="10"/>
    <n v="8763.2849999999999"/>
    <n v="1063371.3527299995"/>
    <n v="4466.8999999999996"/>
    <n v="4296.3850000000002"/>
    <n v="0.49027105702941309"/>
    <n v="202308"/>
    <n v="202301"/>
    <s v="Aug-2023"/>
    <n v="7"/>
    <s v="Late"/>
    <n v="0"/>
  </r>
  <r>
    <x v="191"/>
    <d v="2024-08-12T00:00:00"/>
    <s v="Aug-2024"/>
    <s v="Q3"/>
    <d v="2024-09-03T00:00:00"/>
    <n v="22"/>
    <x v="2"/>
    <x v="10"/>
    <s v="Austin"/>
    <s v="Americas &gt; USA &gt; Austin"/>
    <s v="Consumer"/>
    <s v="Distributor"/>
    <s v="I. Johnson"/>
    <x v="4"/>
    <s v="LAP-7979"/>
    <n v="797.8"/>
    <n v="886.22"/>
    <s v="Medium"/>
    <n v="0.23599999999999999"/>
    <n v="36"/>
    <n v="24374.594880000001"/>
    <n v="1063371.3527299995"/>
    <n v="28720.799999999999"/>
    <n v="-4346.2051199999987"/>
    <n v="-0.17830881462428633"/>
    <n v="202408"/>
    <n v="202301"/>
    <s v="Aug-2023"/>
    <n v="19"/>
    <s v="Late"/>
    <n v="0"/>
  </r>
  <r>
    <x v="192"/>
    <d v="2023-10-15T00:00:00"/>
    <s v="Oct-2023"/>
    <s v="Q4"/>
    <d v="2023-11-13T00:00:00"/>
    <n v="29"/>
    <x v="1"/>
    <x v="9"/>
    <s v="Shenzhen"/>
    <s v="Asia &gt; China &gt; Shenzhen"/>
    <s v="Non-Profit"/>
    <s v="Distributor"/>
    <s v="J. Njeri"/>
    <x v="1"/>
    <s v="PRN-4983"/>
    <n v="986.44"/>
    <n v="790.61"/>
    <s v="Medium"/>
    <n v="7.1999999999999995E-2"/>
    <n v="6"/>
    <n v="4402.1164799999997"/>
    <n v="1063371.3527299995"/>
    <n v="5918.64"/>
    <n v="-1516.5235200000006"/>
    <n v="-0.34449872621271499"/>
    <n v="202310"/>
    <n v="202301"/>
    <s v="Oct-2023"/>
    <n v="9"/>
    <s v="Late"/>
    <n v="0"/>
  </r>
  <r>
    <x v="193"/>
    <d v="2023-05-04T00:00:00"/>
    <s v="May-2023"/>
    <s v="Q2"/>
    <d v="2023-05-26T00:00:00"/>
    <n v="22"/>
    <x v="2"/>
    <x v="10"/>
    <s v="San Francisco"/>
    <s v="Americas &gt; USA &gt; San Francisco"/>
    <s v="Enterprise"/>
    <s v="Online"/>
    <s v="J. Njeri"/>
    <x v="2"/>
    <s v="NET-5941"/>
    <n v="249.71"/>
    <n v="361.33"/>
    <s v="Low"/>
    <n v="9.4E-2"/>
    <n v="12"/>
    <n v="3928.3797600000003"/>
    <n v="1063371.3527299995"/>
    <n v="2996.52"/>
    <n v="931.85976000000028"/>
    <n v="0.23721223937881206"/>
    <n v="202305"/>
    <n v="202301"/>
    <s v="May-2023"/>
    <n v="4"/>
    <s v="Late"/>
    <n v="0"/>
  </r>
  <r>
    <x v="194"/>
    <d v="2024-09-22T00:00:00"/>
    <s v="Sept-2024"/>
    <s v="Q3"/>
    <d v="2024-10-01T00:00:00"/>
    <n v="9"/>
    <x v="2"/>
    <x v="5"/>
    <s v="São Paulo"/>
    <s v="Americas &gt; Brazil &gt; São Paulo"/>
    <s v="Non-Profit"/>
    <s v="Online"/>
    <s v="K. Singh"/>
    <x v="5"/>
    <s v="MON-6341"/>
    <n v="1378.8"/>
    <n v="1952.04"/>
    <s v="High"/>
    <n v="0.159"/>
    <n v="19"/>
    <n v="31191.64716"/>
    <n v="1063371.3527299995"/>
    <n v="26197.200000000001"/>
    <n v="4994.4471599999997"/>
    <n v="0.16012130216723058"/>
    <n v="202409"/>
    <n v="202301"/>
    <s v="Sept-2023"/>
    <n v="20"/>
    <s v="Late"/>
    <n v="0"/>
  </r>
  <r>
    <x v="195"/>
    <d v="2024-10-23T00:00:00"/>
    <s v="Oct-2024"/>
    <s v="Q4"/>
    <d v="2024-11-14T00:00:00"/>
    <n v="22"/>
    <x v="1"/>
    <x v="2"/>
    <s v="Osaka"/>
    <s v="Asia &gt; Japan &gt; Osaka"/>
    <s v="Non-Profit"/>
    <s v="Direct"/>
    <s v="B. Chen"/>
    <x v="3"/>
    <s v="PHN-9789"/>
    <n v="1406.4"/>
    <n v="1564.76"/>
    <s v="High"/>
    <n v="0.185"/>
    <n v="17"/>
    <n v="21679.749799999998"/>
    <n v="1063371.3527299995"/>
    <n v="23908.800000000003"/>
    <n v="-2229.0502000000051"/>
    <n v="-0.10281715520536151"/>
    <n v="202410"/>
    <n v="202303"/>
    <s v="Oct-2023"/>
    <n v="19"/>
    <s v="Late"/>
    <n v="0"/>
  </r>
  <r>
    <x v="196"/>
    <d v="2024-02-11T00:00:00"/>
    <s v="Feb-2024"/>
    <s v="Q1"/>
    <d v="2024-03-03T00:00:00"/>
    <n v="21"/>
    <x v="0"/>
    <x v="0"/>
    <s v="Kisumu"/>
    <s v="Africa &gt; Kenya &gt; Kisumu"/>
    <s v="Enterprise"/>
    <s v="Online"/>
    <s v="B. Chen"/>
    <x v="3"/>
    <s v="PHN-5082"/>
    <n v="516.86"/>
    <n v="852.54"/>
    <s v="Medium"/>
    <n v="5.0999999999999997E-2"/>
    <n v="14"/>
    <n v="11326.846439999999"/>
    <n v="1063371.3527299995"/>
    <n v="7236.04"/>
    <n v="4090.8064399999994"/>
    <n v="0.36116022775355994"/>
    <n v="202402"/>
    <n v="202301"/>
    <s v="Feb-2023"/>
    <n v="13"/>
    <s v="Late"/>
    <n v="0"/>
  </r>
  <r>
    <x v="197"/>
    <d v="2023-01-30T00:00:00"/>
    <s v="Jan-2023"/>
    <s v="Q1"/>
    <d v="2023-02-21T00:00:00"/>
    <n v="22"/>
    <x v="3"/>
    <x v="6"/>
    <s v="Munich"/>
    <s v="Europe &gt; Germany &gt; Munich"/>
    <s v="Small Business"/>
    <s v="Marketplace"/>
    <s v="G. Dubois"/>
    <x v="2"/>
    <s v="NET-3460"/>
    <n v="1142.8800000000001"/>
    <n v="1465.29"/>
    <s v="High"/>
    <n v="0.186"/>
    <n v="7"/>
    <n v="8349.2224200000001"/>
    <n v="1063371.3527299995"/>
    <n v="8000.1600000000008"/>
    <n v="349.06241999999929"/>
    <n v="4.1807775915017401E-2"/>
    <n v="202301"/>
    <n v="202301"/>
    <s v="Jan-2023"/>
    <n v="0"/>
    <s v="Late"/>
    <n v="0"/>
  </r>
  <r>
    <x v="198"/>
    <d v="2023-04-14T00:00:00"/>
    <s v="Apr-2023"/>
    <s v="Q2"/>
    <d v="2023-05-13T00:00:00"/>
    <n v="29"/>
    <x v="3"/>
    <x v="6"/>
    <s v="Frankfurt"/>
    <s v="Europe &gt; Germany &gt; Frankfurt"/>
    <s v="Consumer"/>
    <s v="Direct"/>
    <s v="J. Njeri"/>
    <x v="1"/>
    <s v="PRN-7019"/>
    <n v="1320.33"/>
    <n v="2645.23"/>
    <s v="High"/>
    <n v="0.155"/>
    <n v="25"/>
    <n v="55880.483749999999"/>
    <n v="1063371.3527299995"/>
    <n v="33008.25"/>
    <n v="22872.233749999999"/>
    <n v="0.40930629470436536"/>
    <n v="202304"/>
    <n v="202301"/>
    <s v="Apr-2023"/>
    <n v="3"/>
    <s v="Late"/>
    <n v="0"/>
  </r>
  <r>
    <x v="199"/>
    <d v="2023-01-13T00:00:00"/>
    <s v="Jan-2023"/>
    <s v="Q1"/>
    <d v="2023-01-19T00:00:00"/>
    <n v="6"/>
    <x v="2"/>
    <x v="10"/>
    <s v="Chicago"/>
    <s v="Americas &gt; USA &gt; Chicago"/>
    <s v="Corporate"/>
    <s v="Direct"/>
    <s v="H. Kim"/>
    <x v="3"/>
    <s v="PHN-3159"/>
    <n v="833.57"/>
    <n v="881.57"/>
    <s v="Medium"/>
    <n v="5.7000000000000002E-2"/>
    <n v="18"/>
    <n v="14963.769179999999"/>
    <n v="1063371.3527299995"/>
    <n v="15004.26"/>
    <n v="-40.490820000000895"/>
    <n v="-2.7059238560107821E-3"/>
    <n v="202301"/>
    <n v="202301"/>
    <s v="Jan-2023"/>
    <n v="0"/>
    <s v="On Time"/>
    <n v="1"/>
  </r>
  <r>
    <x v="200"/>
    <d v="2024-01-12T00:00:00"/>
    <s v="Jan-2024"/>
    <s v="Q1"/>
    <d v="2024-01-29T00:00:00"/>
    <n v="17"/>
    <x v="2"/>
    <x v="10"/>
    <s v="Chicago"/>
    <s v="Americas &gt; USA &gt; Chicago"/>
    <s v="Education"/>
    <s v="Distributor"/>
    <s v="A. Patel"/>
    <x v="1"/>
    <s v="PRN-8604"/>
    <n v="493.76"/>
    <n v="625.04"/>
    <s v="Low"/>
    <n v="0.25800000000000001"/>
    <n v="10"/>
    <n v="4637.7968000000001"/>
    <n v="1063371.3527299995"/>
    <n v="4937.6000000000004"/>
    <n v="-299.80320000000029"/>
    <n v="-6.464345311549663E-2"/>
    <n v="202401"/>
    <n v="202301"/>
    <s v="Jan-2023"/>
    <n v="12"/>
    <s v="Late"/>
    <n v="0"/>
  </r>
  <r>
    <x v="201"/>
    <d v="2023-08-15T00:00:00"/>
    <s v="Aug-2023"/>
    <s v="Q3"/>
    <d v="2023-09-07T00:00:00"/>
    <n v="23"/>
    <x v="2"/>
    <x v="10"/>
    <s v="New York"/>
    <s v="Americas &gt; USA &gt; New York"/>
    <s v="Enterprise"/>
    <s v="Online"/>
    <s v="K. Singh"/>
    <x v="3"/>
    <s v="PHN-2013"/>
    <n v="590.33000000000004"/>
    <n v="973.04"/>
    <s v="Medium"/>
    <n v="0"/>
    <n v="26"/>
    <n v="25299.040000000001"/>
    <n v="1063371.3527299995"/>
    <n v="15348.580000000002"/>
    <n v="9950.4599999999991"/>
    <n v="0.39331373838691108"/>
    <n v="202308"/>
    <n v="202301"/>
    <s v="Aug-2023"/>
    <n v="7"/>
    <s v="Late"/>
    <n v="0"/>
  </r>
  <r>
    <x v="202"/>
    <d v="2023-01-20T00:00:00"/>
    <s v="Jan-2023"/>
    <s v="Q1"/>
    <d v="2023-02-03T00:00:00"/>
    <n v="14"/>
    <x v="0"/>
    <x v="0"/>
    <s v="Kisumu"/>
    <s v="Africa &gt; Kenya &gt; Kisumu"/>
    <s v="Corporate"/>
    <s v="Retail"/>
    <s v="M. Rossi"/>
    <x v="2"/>
    <s v="NET-6036"/>
    <n v="884.36"/>
    <n v="1545.34"/>
    <s v="Medium"/>
    <n v="0.24299999999999999"/>
    <n v="41"/>
    <n v="47962.717579999997"/>
    <n v="1063371.3527299995"/>
    <n v="36258.76"/>
    <n v="11703.957579999995"/>
    <n v="0.24402198562827965"/>
    <n v="202301"/>
    <n v="202301"/>
    <s v="Jan-2023"/>
    <n v="0"/>
    <s v="Late"/>
    <n v="0"/>
  </r>
  <r>
    <x v="203"/>
    <d v="2025-02-04T00:00:00"/>
    <s v="Feb-2025"/>
    <s v="Q1"/>
    <d v="2025-02-25T00:00:00"/>
    <n v="21"/>
    <x v="3"/>
    <x v="8"/>
    <s v="Birmingham"/>
    <s v="Europe &gt; United Kingdom &gt; Birmingham"/>
    <s v="Corporate"/>
    <s v="Marketplace"/>
    <s v="D. Smith"/>
    <x v="5"/>
    <s v="MON-4959"/>
    <n v="1016.32"/>
    <n v="2253.42"/>
    <s v="High"/>
    <n v="5.5E-2"/>
    <n v="12"/>
    <n v="25553.782800000001"/>
    <n v="1063371.3527299995"/>
    <n v="12195.84"/>
    <n v="13357.942800000001"/>
    <n v="0.52273837124419797"/>
    <n v="202502"/>
    <n v="202301"/>
    <s v="Feb-2023"/>
    <n v="25"/>
    <s v="Late"/>
    <n v="0"/>
  </r>
  <r>
    <x v="204"/>
    <d v="2023-04-19T00:00:00"/>
    <s v="Apr-2023"/>
    <s v="Q2"/>
    <d v="2023-04-28T00:00:00"/>
    <n v="9"/>
    <x v="3"/>
    <x v="6"/>
    <s v="Berlin"/>
    <s v="Europe &gt; Germany &gt; Berlin"/>
    <s v="Education"/>
    <s v="Online"/>
    <s v="E. Garcia"/>
    <x v="5"/>
    <s v="MON-1663"/>
    <n v="1178.42"/>
    <n v="2446.56"/>
    <s v="High"/>
    <n v="2.9000000000000001E-2"/>
    <n v="11"/>
    <n v="26131.70736"/>
    <n v="1063371.3527299995"/>
    <n v="12962.62"/>
    <n v="13169.08736"/>
    <n v="0.5039505141618883"/>
    <n v="202304"/>
    <n v="202301"/>
    <s v="Apr-2023"/>
    <n v="3"/>
    <s v="Late"/>
    <n v="0"/>
  </r>
  <r>
    <x v="205"/>
    <d v="2023-07-02T00:00:00"/>
    <s v="Jul-2023"/>
    <s v="Q3"/>
    <d v="2023-08-01T00:00:00"/>
    <n v="30"/>
    <x v="3"/>
    <x v="8"/>
    <s v="Birmingham"/>
    <s v="Europe &gt; United Kingdom &gt; Birmingham"/>
    <s v="Small Business"/>
    <s v="Retail"/>
    <s v="B. Chen"/>
    <x v="0"/>
    <s v="CMP-7256"/>
    <n v="137.46"/>
    <n v="188.3"/>
    <s v="Low"/>
    <n v="3.7999999999999999E-2"/>
    <n v="37"/>
    <n v="6702.3501999999999"/>
    <n v="1063371.3527299995"/>
    <n v="5086.0200000000004"/>
    <n v="1616.3301999999994"/>
    <n v="0.24115872071262398"/>
    <n v="202307"/>
    <n v="202301"/>
    <s v="Jul-2023"/>
    <n v="6"/>
    <s v="Late"/>
    <n v="0"/>
  </r>
  <r>
    <x v="206"/>
    <d v="2025-01-21T00:00:00"/>
    <s v="Jan-2025"/>
    <s v="Q1"/>
    <d v="2025-02-14T00:00:00"/>
    <n v="24"/>
    <x v="0"/>
    <x v="0"/>
    <s v="Nairobi"/>
    <s v="Africa &gt; Kenya &gt; Nairobi"/>
    <s v="Small Business"/>
    <s v="Retail"/>
    <s v="J. Njeri"/>
    <x v="6"/>
    <s v="ACC-1659"/>
    <n v="1030.44"/>
    <n v="2562.84"/>
    <s v="High"/>
    <n v="0.14799999999999999"/>
    <n v="13"/>
    <n v="28386.015839999996"/>
    <n v="1056669.0025299995"/>
    <n v="13395.720000000001"/>
    <n v="14990.295839999995"/>
    <n v="0.52808734852027039"/>
    <n v="202501"/>
    <n v="202301"/>
    <s v="Jan-2023"/>
    <n v="24"/>
    <s v="Late"/>
    <n v="0"/>
  </r>
  <r>
    <x v="207"/>
    <d v="2024-09-10T00:00:00"/>
    <s v="Sept-2024"/>
    <s v="Q3"/>
    <d v="2024-10-07T00:00:00"/>
    <n v="27"/>
    <x v="0"/>
    <x v="0"/>
    <s v="Kisumu"/>
    <s v="Africa &gt; Kenya &gt; Kisumu"/>
    <s v="Consumer"/>
    <s v="Retail"/>
    <s v="L. Okafor"/>
    <x v="1"/>
    <s v="PRN-6068"/>
    <n v="1248.3900000000001"/>
    <n v="1805.11"/>
    <s v="High"/>
    <n v="0.20300000000000001"/>
    <n v="11"/>
    <n v="15825.399369999997"/>
    <n v="1056669.0025299995"/>
    <n v="13732.29"/>
    <n v="2093.1093699999965"/>
    <n v="0.13226265707820786"/>
    <n v="202409"/>
    <n v="202301"/>
    <s v="Sept-2023"/>
    <n v="20"/>
    <s v="Late"/>
    <n v="0"/>
  </r>
  <r>
    <x v="208"/>
    <d v="2025-07-21T00:00:00"/>
    <s v="Jul-2025"/>
    <s v="Q3"/>
    <d v="2025-08-07T00:00:00"/>
    <n v="17"/>
    <x v="0"/>
    <x v="1"/>
    <s v="Lagos"/>
    <s v="Africa &gt; Nigeria &gt; Lagos"/>
    <s v="Enterprise"/>
    <s v="Direct"/>
    <s v="M. Rossi"/>
    <x v="6"/>
    <s v="ACC-8999"/>
    <n v="1204.95"/>
    <n v="2065.73"/>
    <s v="High"/>
    <n v="0.13600000000000001"/>
    <n v="10"/>
    <n v="17847.907199999998"/>
    <n v="1056669.0025299995"/>
    <n v="12049.5"/>
    <n v="5798.4071999999978"/>
    <n v="0.32487882949100039"/>
    <n v="202507"/>
    <n v="202301"/>
    <s v="Jul-2023"/>
    <n v="30"/>
    <s v="Late"/>
    <n v="0"/>
  </r>
  <r>
    <x v="209"/>
    <d v="2024-10-02T00:00:00"/>
    <s v="Oct-2024"/>
    <s v="Q4"/>
    <d v="2024-10-23T00:00:00"/>
    <n v="21"/>
    <x v="0"/>
    <x v="11"/>
    <s v="Durban"/>
    <s v="Africa &gt; South Africa &gt; Durban"/>
    <s v="Corporate"/>
    <s v="Marketplace"/>
    <s v="A. Patel"/>
    <x v="0"/>
    <s v="CMP-3978"/>
    <n v="1095.6099999999999"/>
    <n v="2366.5100000000002"/>
    <s v="High"/>
    <n v="0.152"/>
    <n v="9"/>
    <n v="18061.204320000004"/>
    <n v="1056669.0025299995"/>
    <n v="9860.49"/>
    <n v="8200.7143200000046"/>
    <n v="0.4540513564158607"/>
    <n v="202410"/>
    <n v="202301"/>
    <s v="Oct-2023"/>
    <n v="21"/>
    <s v="Late"/>
    <n v="0"/>
  </r>
  <r>
    <x v="210"/>
    <d v="2025-07-14T00:00:00"/>
    <s v="Jul-2025"/>
    <s v="Q3"/>
    <d v="2025-08-04T00:00:00"/>
    <n v="21"/>
    <x v="2"/>
    <x v="3"/>
    <s v="Montreal"/>
    <s v="Americas &gt; Canada &gt; Montreal"/>
    <s v="Consumer"/>
    <s v="Online"/>
    <s v="H. Kim"/>
    <x v="5"/>
    <s v="MON-7868"/>
    <n v="90.3"/>
    <n v="131.76"/>
    <s v="Low"/>
    <n v="0.10199999999999999"/>
    <n v="15"/>
    <n v="1774.8072"/>
    <n v="1038607.7982099996"/>
    <n v="1354.5"/>
    <n v="420.30719999999997"/>
    <n v="0.23681851189244668"/>
    <n v="202507"/>
    <n v="202301"/>
    <s v="Jul-2023"/>
    <n v="30"/>
    <s v="Late"/>
    <n v="0"/>
  </r>
  <r>
    <x v="211"/>
    <d v="2024-09-09T00:00:00"/>
    <s v="Sept-2024"/>
    <s v="Q3"/>
    <d v="2024-10-01T00:00:00"/>
    <n v="22"/>
    <x v="1"/>
    <x v="9"/>
    <s v="Shenzhen"/>
    <s v="Asia &gt; China &gt; Shenzhen"/>
    <s v="Consumer"/>
    <s v="Direct"/>
    <s v="L. Okafor"/>
    <x v="1"/>
    <s v="PRN-3014"/>
    <n v="1166.18"/>
    <n v="1335.02"/>
    <s v="High"/>
    <n v="0.128"/>
    <n v="6"/>
    <n v="6984.8246399999998"/>
    <n v="1038607.7982099996"/>
    <n v="6997.08"/>
    <n v="-12.25536000000011"/>
    <n v="-1.7545694604582242E-3"/>
    <n v="202409"/>
    <n v="202301"/>
    <s v="Sept-2023"/>
    <n v="20"/>
    <s v="Late"/>
    <n v="0"/>
  </r>
  <r>
    <x v="212"/>
    <d v="2025-01-29T00:00:00"/>
    <s v="Jan-2025"/>
    <s v="Q1"/>
    <d v="2025-02-06T00:00:00"/>
    <n v="8"/>
    <x v="0"/>
    <x v="0"/>
    <s v="Kisumu"/>
    <s v="Africa &gt; Kenya &gt; Kisumu"/>
    <s v="Education"/>
    <s v="Retail"/>
    <s v="B. Chen"/>
    <x v="3"/>
    <s v="PHN-1671"/>
    <n v="1445.27"/>
    <n v="2691.45"/>
    <s v="High"/>
    <n v="0"/>
    <n v="9"/>
    <n v="24223.05"/>
    <n v="1038607.7982099996"/>
    <n v="13007.43"/>
    <n v="11215.619999999999"/>
    <n v="0.46301436028906351"/>
    <n v="202501"/>
    <n v="202301"/>
    <s v="Jan-2023"/>
    <n v="24"/>
    <s v="Late"/>
    <n v="0"/>
  </r>
  <r>
    <x v="213"/>
    <d v="2023-11-10T00:00:00"/>
    <s v="Nov-2023"/>
    <s v="Q4"/>
    <d v="2023-11-28T00:00:00"/>
    <n v="18"/>
    <x v="2"/>
    <x v="5"/>
    <s v="Brasília"/>
    <s v="Americas &gt; Brazil &gt; Brasília"/>
    <s v="Education"/>
    <s v="Marketplace"/>
    <s v="L. Okafor"/>
    <x v="6"/>
    <s v="ACC-5260"/>
    <n v="388.51"/>
    <n v="776.46"/>
    <s v="Low"/>
    <n v="0.157"/>
    <n v="12"/>
    <n v="7854.6693599999999"/>
    <n v="1038607.7982099996"/>
    <n v="4662.12"/>
    <n v="3192.54936"/>
    <n v="0.40645241876864946"/>
    <n v="202311"/>
    <n v="202301"/>
    <s v="Nov-2023"/>
    <n v="10"/>
    <s v="Late"/>
    <n v="0"/>
  </r>
  <r>
    <x v="214"/>
    <d v="2024-02-29T00:00:00"/>
    <s v="Feb-2024"/>
    <s v="Q1"/>
    <d v="2024-03-30T00:00:00"/>
    <n v="30"/>
    <x v="1"/>
    <x v="2"/>
    <s v="Nagoya"/>
    <s v="Asia &gt; Japan &gt; Nagoya"/>
    <s v="Small Business"/>
    <s v="Direct"/>
    <s v="I. Johnson"/>
    <x v="2"/>
    <s v="NET-7588"/>
    <n v="231.11"/>
    <n v="318.17"/>
    <s v="Low"/>
    <n v="0.20100000000000001"/>
    <n v="60"/>
    <n v="15253.069799999999"/>
    <n v="1038607.7982099996"/>
    <n v="13866.6"/>
    <n v="1386.4697999999989"/>
    <n v="9.0897754889969692E-2"/>
    <n v="202402"/>
    <n v="202303"/>
    <s v="Feb-2023"/>
    <n v="11"/>
    <s v="Late"/>
    <n v="0"/>
  </r>
  <r>
    <x v="215"/>
    <d v="2023-12-20T00:00:00"/>
    <s v="Dec-2023"/>
    <s v="Q4"/>
    <d v="2024-01-14T00:00:00"/>
    <n v="25"/>
    <x v="1"/>
    <x v="4"/>
    <s v="Mumbai"/>
    <s v="Asia &gt; India &gt; Mumbai"/>
    <s v="Non-Profit"/>
    <s v="Marketplace"/>
    <s v="L. Okafor"/>
    <x v="5"/>
    <s v="MON-1572"/>
    <n v="1085.6099999999999"/>
    <n v="1246.4100000000001"/>
    <s v="High"/>
    <n v="0.113"/>
    <n v="7"/>
    <n v="7738.9596900000006"/>
    <n v="1038607.7982099996"/>
    <n v="7599.2699999999995"/>
    <n v="139.68969000000106"/>
    <n v="1.8050189637310417E-2"/>
    <n v="202312"/>
    <n v="202301"/>
    <s v="Dec-2023"/>
    <n v="11"/>
    <s v="Late"/>
    <n v="0"/>
  </r>
  <r>
    <x v="216"/>
    <d v="2023-01-22T00:00:00"/>
    <s v="Jan-2023"/>
    <s v="Q1"/>
    <d v="2023-01-23T00:00:00"/>
    <n v="1"/>
    <x v="3"/>
    <x v="6"/>
    <s v="Munich"/>
    <s v="Europe &gt; Germany &gt; Munich"/>
    <s v="Corporate"/>
    <s v="Direct"/>
    <s v="F. Müller"/>
    <x v="5"/>
    <s v="MON-2537"/>
    <n v="150.86000000000001"/>
    <n v="346.96"/>
    <s v="Low"/>
    <n v="0.19600000000000001"/>
    <n v="8"/>
    <n v="2231.6467200000002"/>
    <n v="1038607.7982099996"/>
    <n v="1206.8800000000001"/>
    <n v="1024.7667200000001"/>
    <n v="0.45919755614365343"/>
    <n v="202301"/>
    <n v="202301"/>
    <s v="Jan-2023"/>
    <n v="0"/>
    <s v="On Time"/>
    <n v="1"/>
  </r>
  <r>
    <x v="217"/>
    <d v="2024-10-11T00:00:00"/>
    <s v="Oct-2024"/>
    <s v="Q4"/>
    <d v="2024-11-09T00:00:00"/>
    <n v="29"/>
    <x v="1"/>
    <x v="9"/>
    <s v="Shanghai"/>
    <s v="Asia &gt; China &gt; Shanghai"/>
    <s v="Non-Profit"/>
    <s v="Online"/>
    <s v="F. Müller"/>
    <x v="1"/>
    <s v="PRN-5666"/>
    <n v="391.64"/>
    <n v="504.76"/>
    <s v="Low"/>
    <n v="4.0000000000000001E-3"/>
    <n v="13"/>
    <n v="6535.6324800000002"/>
    <n v="1038607.7982099996"/>
    <n v="5091.32"/>
    <n v="1444.3124800000005"/>
    <n v="0.22099046793402319"/>
    <n v="202410"/>
    <n v="202301"/>
    <s v="Oct-2023"/>
    <n v="21"/>
    <s v="Late"/>
    <n v="0"/>
  </r>
  <r>
    <x v="218"/>
    <d v="2024-09-19T00:00:00"/>
    <s v="Sept-2024"/>
    <s v="Q3"/>
    <d v="2024-10-14T00:00:00"/>
    <n v="25"/>
    <x v="2"/>
    <x v="5"/>
    <s v="Rio de Janeiro"/>
    <s v="Americas &gt; Brazil &gt; Rio de Janeiro"/>
    <s v="Small Business"/>
    <s v="Retail"/>
    <s v="K. Singh"/>
    <x v="1"/>
    <s v="PRN-2749"/>
    <n v="386.96"/>
    <n v="937.46"/>
    <s v="Low"/>
    <n v="0.26600000000000001"/>
    <n v="41"/>
    <n v="28211.92124"/>
    <n v="1038607.7982099996"/>
    <n v="15865.359999999999"/>
    <n v="12346.561240000001"/>
    <n v="0.43763631462626335"/>
    <n v="202409"/>
    <n v="202301"/>
    <s v="Sept-2023"/>
    <n v="20"/>
    <s v="Late"/>
    <n v="0"/>
  </r>
  <r>
    <x v="219"/>
    <d v="2025-08-25T00:00:00"/>
    <s v="Aug-2025"/>
    <s v="Q3"/>
    <d v="2025-09-24T00:00:00"/>
    <n v="30"/>
    <x v="0"/>
    <x v="0"/>
    <s v="Nairobi"/>
    <s v="Africa &gt; Kenya &gt; Nairobi"/>
    <s v="Consumer"/>
    <s v="Direct"/>
    <s v="B. Chen"/>
    <x v="0"/>
    <s v="CMP-4970"/>
    <n v="589.14"/>
    <n v="1300.58"/>
    <s v="Medium"/>
    <n v="5.5E-2"/>
    <n v="11"/>
    <n v="13519.529099999998"/>
    <n v="1038607.7982099996"/>
    <n v="6480.54"/>
    <n v="7038.989099999998"/>
    <n v="0.52065342275863724"/>
    <n v="202508"/>
    <n v="202301"/>
    <s v="Aug-2023"/>
    <n v="31"/>
    <s v="Late"/>
    <n v="0"/>
  </r>
  <r>
    <x v="220"/>
    <d v="2023-09-25T00:00:00"/>
    <s v="Sept-2023"/>
    <s v="Q3"/>
    <d v="2023-10-02T00:00:00"/>
    <n v="7"/>
    <x v="2"/>
    <x v="10"/>
    <s v="New York"/>
    <s v="Americas &gt; USA &gt; New York"/>
    <s v="Education"/>
    <s v="Marketplace"/>
    <s v="I. Johnson"/>
    <x v="6"/>
    <s v="ACC-3551"/>
    <n v="145.58000000000001"/>
    <n v="228.15"/>
    <s v="Low"/>
    <n v="0.20399999999999999"/>
    <n v="5"/>
    <n v="908.03700000000003"/>
    <n v="1025088.2691099996"/>
    <n v="727.90000000000009"/>
    <n v="180.13699999999994"/>
    <n v="0.19838068272548359"/>
    <n v="202309"/>
    <n v="202301"/>
    <s v="Sept-2023"/>
    <n v="8"/>
    <s v="On Time"/>
    <n v="1"/>
  </r>
  <r>
    <x v="221"/>
    <d v="2023-08-26T00:00:00"/>
    <s v="Aug-2023"/>
    <s v="Q3"/>
    <d v="2023-09-10T00:00:00"/>
    <n v="15"/>
    <x v="0"/>
    <x v="11"/>
    <s v="Cape Town"/>
    <s v="Africa &gt; South Africa &gt; Cape Town"/>
    <s v="Non-Profit"/>
    <s v="Direct"/>
    <s v="N. Brown"/>
    <x v="0"/>
    <s v="CMP-7063"/>
    <n v="241.14"/>
    <n v="496.52"/>
    <s v="Low"/>
    <n v="9.2999999999999999E-2"/>
    <n v="10"/>
    <n v="4503.4363999999996"/>
    <n v="1025088.2691099996"/>
    <n v="2411.3999999999996"/>
    <n v="2092.0364"/>
    <n v="0.46454223268257994"/>
    <n v="202308"/>
    <n v="202301"/>
    <s v="Aug-2023"/>
    <n v="7"/>
    <s v="Late"/>
    <n v="0"/>
  </r>
  <r>
    <x v="222"/>
    <d v="2025-07-16T00:00:00"/>
    <s v="Jul-2025"/>
    <s v="Q3"/>
    <d v="2025-07-17T00:00:00"/>
    <n v="1"/>
    <x v="0"/>
    <x v="11"/>
    <s v="Durban"/>
    <s v="Africa &gt; South Africa &gt; Durban"/>
    <s v="Small Business"/>
    <s v="Distributor"/>
    <s v="B. Chen"/>
    <x v="2"/>
    <s v="NET-1612"/>
    <n v="1198.9000000000001"/>
    <n v="2941.2"/>
    <s v="High"/>
    <n v="5.0999999999999997E-2"/>
    <n v="24"/>
    <n v="66988.771199999988"/>
    <n v="1020584.8327099996"/>
    <n v="28773.600000000002"/>
    <n v="38215.171199999982"/>
    <n v="0.57047129713583977"/>
    <n v="202507"/>
    <n v="202301"/>
    <s v="Jul-2023"/>
    <n v="30"/>
    <s v="On Time"/>
    <n v="1"/>
  </r>
  <r>
    <x v="223"/>
    <d v="2023-04-19T00:00:00"/>
    <s v="Apr-2023"/>
    <s v="Q2"/>
    <d v="2023-05-07T00:00:00"/>
    <n v="18"/>
    <x v="3"/>
    <x v="8"/>
    <s v="Birmingham"/>
    <s v="Europe &gt; United Kingdom &gt; Birmingham"/>
    <s v="Enterprise"/>
    <s v="Retail"/>
    <s v="N. Brown"/>
    <x v="4"/>
    <s v="LAP-9766"/>
    <n v="1089.1500000000001"/>
    <n v="1088.2"/>
    <s v="High"/>
    <n v="5.0999999999999997E-2"/>
    <n v="15"/>
    <n v="15490.527"/>
    <n v="1020584.8327099996"/>
    <n v="16337.250000000002"/>
    <n v="-846.72300000000178"/>
    <n v="-5.4660696824582002E-2"/>
    <n v="202304"/>
    <n v="202301"/>
    <s v="Apr-2023"/>
    <n v="3"/>
    <s v="Late"/>
    <n v="0"/>
  </r>
  <r>
    <x v="224"/>
    <d v="2023-12-19T00:00:00"/>
    <s v="Dec-2023"/>
    <s v="Q4"/>
    <d v="2023-12-20T00:00:00"/>
    <n v="1"/>
    <x v="2"/>
    <x v="5"/>
    <s v="Rio de Janeiro"/>
    <s v="Americas &gt; Brazil &gt; Rio de Janeiro"/>
    <s v="Consumer"/>
    <s v="Distributor"/>
    <s v="J. Njeri"/>
    <x v="3"/>
    <s v="PHN-7274"/>
    <n v="1080.43"/>
    <n v="2529.15"/>
    <s v="High"/>
    <n v="0.14699999999999999"/>
    <n v="10"/>
    <n v="21573.6495"/>
    <n v="1020584.8327099996"/>
    <n v="10804.300000000001"/>
    <n v="10769.349499999998"/>
    <n v="0.49918997247081437"/>
    <n v="202312"/>
    <n v="202301"/>
    <s v="Dec-2023"/>
    <n v="11"/>
    <s v="On Time"/>
    <n v="1"/>
  </r>
  <r>
    <x v="225"/>
    <d v="2023-07-30T00:00:00"/>
    <s v="Jul-2023"/>
    <s v="Q3"/>
    <d v="2023-08-07T00:00:00"/>
    <n v="8"/>
    <x v="1"/>
    <x v="2"/>
    <s v="Nagoya"/>
    <s v="Asia &gt; Japan &gt; Nagoya"/>
    <s v="Education"/>
    <s v="Marketplace"/>
    <s v="A. Patel"/>
    <x v="2"/>
    <s v="NET-1645"/>
    <n v="1352.44"/>
    <n v="2698.01"/>
    <s v="High"/>
    <n v="0.13100000000000001"/>
    <n v="13"/>
    <n v="30479.418970000002"/>
    <n v="1020584.8327099996"/>
    <n v="17581.72"/>
    <n v="12897.698970000001"/>
    <n v="0.42316091992090887"/>
    <n v="202307"/>
    <n v="202303"/>
    <s v="Jul-2023"/>
    <n v="4"/>
    <s v="Late"/>
    <n v="0"/>
  </r>
  <r>
    <x v="226"/>
    <d v="2023-10-04T00:00:00"/>
    <s v="Oct-2023"/>
    <s v="Q4"/>
    <d v="2023-10-29T00:00:00"/>
    <n v="25"/>
    <x v="2"/>
    <x v="10"/>
    <s v="San Francisco"/>
    <s v="Americas &gt; USA &gt; San Francisco"/>
    <s v="Small Business"/>
    <s v="Distributor"/>
    <s v="O. Wang"/>
    <x v="6"/>
    <s v="ACC-5079"/>
    <n v="1239.8399999999999"/>
    <n v="1482.75"/>
    <s v="High"/>
    <n v="6.7000000000000004E-2"/>
    <n v="4"/>
    <n v="5533.6230000000005"/>
    <n v="1020584.8327099996"/>
    <n v="4959.3599999999997"/>
    <n v="574.26300000000083"/>
    <n v="0.10377703721413634"/>
    <n v="202310"/>
    <n v="202301"/>
    <s v="Oct-2023"/>
    <n v="9"/>
    <s v="Late"/>
    <n v="0"/>
  </r>
  <r>
    <x v="227"/>
    <d v="2025-08-10T00:00:00"/>
    <s v="Aug-2025"/>
    <s v="Q3"/>
    <d v="2025-08-30T00:00:00"/>
    <n v="20"/>
    <x v="2"/>
    <x v="10"/>
    <s v="San Francisco"/>
    <s v="Americas &gt; USA &gt; San Francisco"/>
    <s v="Corporate"/>
    <s v="Marketplace"/>
    <s v="K. Singh"/>
    <x v="1"/>
    <s v="PRN-2098"/>
    <n v="933.29"/>
    <n v="1456.81"/>
    <s v="Medium"/>
    <n v="0.123"/>
    <n v="13"/>
    <n v="16609.090809999998"/>
    <n v="1020584.8327099996"/>
    <n v="12132.77"/>
    <n v="4476.3208099999974"/>
    <n v="0.26951028573489977"/>
    <n v="202508"/>
    <n v="202301"/>
    <s v="Aug-2023"/>
    <n v="31"/>
    <s v="Late"/>
    <n v="0"/>
  </r>
  <r>
    <x v="228"/>
    <d v="2023-03-07T00:00:00"/>
    <s v="Mar-2023"/>
    <s v="Q1"/>
    <d v="2023-04-01T00:00:00"/>
    <n v="25"/>
    <x v="0"/>
    <x v="0"/>
    <s v="Nairobi"/>
    <s v="Africa &gt; Kenya &gt; Nairobi"/>
    <s v="Consumer"/>
    <s v="Marketplace"/>
    <s v="D. Smith"/>
    <x v="1"/>
    <s v="PRN-7049"/>
    <n v="1024.0999999999999"/>
    <n v="918.19"/>
    <s v="High"/>
    <n v="0.189"/>
    <n v="10"/>
    <n v="7446.5209000000004"/>
    <n v="1020584.8327099996"/>
    <n v="10241"/>
    <n v="-2794.4790999999996"/>
    <n v="-0.37527311579827827"/>
    <n v="202303"/>
    <n v="202301"/>
    <s v="Mar-2023"/>
    <n v="2"/>
    <s v="Late"/>
    <n v="0"/>
  </r>
  <r>
    <x v="229"/>
    <d v="2023-05-23T00:00:00"/>
    <s v="May-2023"/>
    <s v="Q2"/>
    <d v="2023-06-10T00:00:00"/>
    <n v="18"/>
    <x v="1"/>
    <x v="9"/>
    <s v="Shanghai"/>
    <s v="Asia &gt; China &gt; Shanghai"/>
    <s v="Corporate"/>
    <s v="Distributor"/>
    <s v="E. Garcia"/>
    <x v="0"/>
    <s v="CMP-6925"/>
    <n v="54.62"/>
    <n v="48.94"/>
    <s v="Low"/>
    <n v="0.14799999999999999"/>
    <n v="16"/>
    <n v="667.15008"/>
    <n v="1020584.8327099996"/>
    <n v="873.92"/>
    <n v="-206.76991999999996"/>
    <n v="-0.3099301434543783"/>
    <n v="202305"/>
    <n v="202301"/>
    <s v="May-2023"/>
    <n v="4"/>
    <s v="Late"/>
    <n v="0"/>
  </r>
  <r>
    <x v="230"/>
    <d v="2025-04-24T00:00:00"/>
    <s v="Apr-2025"/>
    <s v="Q2"/>
    <d v="2025-05-06T00:00:00"/>
    <n v="12"/>
    <x v="2"/>
    <x v="5"/>
    <s v="Brasília"/>
    <s v="Americas &gt; Brazil &gt; Brasília"/>
    <s v="Consumer"/>
    <s v="Online"/>
    <s v="C. Otieno"/>
    <x v="3"/>
    <s v="PHN-2787"/>
    <n v="394.13"/>
    <n v="932.29"/>
    <s v="Low"/>
    <n v="0.109"/>
    <n v="7"/>
    <n v="5814.6927299999998"/>
    <n v="1019917.6826299996"/>
    <n v="2758.91"/>
    <n v="3055.7827299999999"/>
    <n v="0.5255278089303268"/>
    <n v="202504"/>
    <n v="202301"/>
    <s v="Apr-2023"/>
    <n v="27"/>
    <s v="Late"/>
    <n v="0"/>
  </r>
  <r>
    <x v="231"/>
    <d v="2024-09-03T00:00:00"/>
    <s v="Sept-2024"/>
    <s v="Q3"/>
    <d v="2024-09-08T00:00:00"/>
    <n v="5"/>
    <x v="0"/>
    <x v="1"/>
    <s v="Lagos"/>
    <s v="Africa &gt; Nigeria &gt; Lagos"/>
    <s v="Small Business"/>
    <s v="Direct"/>
    <s v="K. Singh"/>
    <x v="1"/>
    <s v="PRN-1141"/>
    <n v="197.63"/>
    <n v="325.79000000000002"/>
    <s v="Low"/>
    <n v="0.11600000000000001"/>
    <n v="10"/>
    <n v="2879.9836"/>
    <n v="1019917.6826299996"/>
    <n v="1976.3"/>
    <n v="903.68360000000007"/>
    <n v="0.31378081458519419"/>
    <n v="202409"/>
    <n v="202301"/>
    <s v="Sept-2023"/>
    <n v="20"/>
    <s v="On Time"/>
    <n v="1"/>
  </r>
  <r>
    <x v="232"/>
    <d v="2024-09-05T00:00:00"/>
    <s v="Sept-2024"/>
    <s v="Q3"/>
    <d v="2024-09-25T00:00:00"/>
    <n v="20"/>
    <x v="1"/>
    <x v="2"/>
    <s v="Osaka"/>
    <s v="Asia &gt; Japan &gt; Osaka"/>
    <s v="Enterprise"/>
    <s v="Distributor"/>
    <s v="D. Smith"/>
    <x v="5"/>
    <s v="MON-5249"/>
    <n v="195.54"/>
    <n v="405.97"/>
    <s v="Low"/>
    <n v="0.187"/>
    <n v="16"/>
    <n v="5280.8577599999999"/>
    <n v="1019917.6826299996"/>
    <n v="3128.64"/>
    <n v="2152.21776"/>
    <n v="0.40755079152141377"/>
    <n v="202409"/>
    <n v="202303"/>
    <s v="Sept-2023"/>
    <n v="18"/>
    <s v="Late"/>
    <n v="0"/>
  </r>
  <r>
    <x v="233"/>
    <d v="2023-03-14T00:00:00"/>
    <s v="Mar-2023"/>
    <s v="Q1"/>
    <d v="2023-03-30T00:00:00"/>
    <n v="16"/>
    <x v="0"/>
    <x v="11"/>
    <s v="Cape Town"/>
    <s v="Africa &gt; South Africa &gt; Cape Town"/>
    <s v="Consumer"/>
    <s v="Distributor"/>
    <s v="K. Singh"/>
    <x v="0"/>
    <s v="CMP-8230"/>
    <n v="1309.77"/>
    <n v="1589.07"/>
    <s v="High"/>
    <n v="0.10199999999999999"/>
    <n v="10"/>
    <n v="14269.848599999999"/>
    <n v="1019917.6826299996"/>
    <n v="13097.7"/>
    <n v="1172.1485999999986"/>
    <n v="8.2141628328137886E-2"/>
    <n v="202303"/>
    <n v="202301"/>
    <s v="Mar-2023"/>
    <n v="2"/>
    <s v="Late"/>
    <n v="0"/>
  </r>
  <r>
    <x v="234"/>
    <d v="2024-01-11T00:00:00"/>
    <s v="Jan-2024"/>
    <s v="Q1"/>
    <d v="2024-02-02T00:00:00"/>
    <n v="22"/>
    <x v="1"/>
    <x v="2"/>
    <s v="Nagoya"/>
    <s v="Asia &gt; Japan &gt; Nagoya"/>
    <s v="Small Business"/>
    <s v="Online"/>
    <s v="Not Provided"/>
    <x v="1"/>
    <s v="PRN-7816"/>
    <n v="1237.68"/>
    <n v="1432.8"/>
    <s v="High"/>
    <n v="6.8000000000000005E-2"/>
    <n v="13"/>
    <n v="17359.804799999998"/>
    <n v="1005647.8340299997"/>
    <n v="16089.84"/>
    <n v="1269.9647999999979"/>
    <n v="7.315547695559331E-2"/>
    <n v="202401"/>
    <n v="202303"/>
    <s v="Jan-2023"/>
    <n v="10"/>
    <s v="Late"/>
    <n v="0"/>
  </r>
  <r>
    <x v="235"/>
    <d v="2024-09-13T00:00:00"/>
    <s v="Sept-2024"/>
    <s v="Q3"/>
    <d v="2024-10-02T00:00:00"/>
    <n v="19"/>
    <x v="0"/>
    <x v="0"/>
    <s v="Mombasa"/>
    <s v="Africa &gt; Kenya &gt; Mombasa"/>
    <s v="Small Business"/>
    <s v="Retail"/>
    <s v="M. Rossi"/>
    <x v="3"/>
    <s v="PHN-8804"/>
    <n v="1338.99"/>
    <n v="1765.76"/>
    <s v="High"/>
    <n v="0.126"/>
    <n v="24"/>
    <n v="37038.581760000001"/>
    <n v="1005647.8340299997"/>
    <n v="32135.760000000002"/>
    <n v="4902.8217599999989"/>
    <n v="0.1323706666677725"/>
    <n v="202409"/>
    <n v="202301"/>
    <s v="Sept-2023"/>
    <n v="20"/>
    <s v="Late"/>
    <n v="0"/>
  </r>
  <r>
    <x v="236"/>
    <d v="2025-07-17T00:00:00"/>
    <s v="Jul-2025"/>
    <s v="Q3"/>
    <d v="2025-07-23T00:00:00"/>
    <n v="6"/>
    <x v="2"/>
    <x v="3"/>
    <s v="Vancouver"/>
    <s v="Americas &gt; Canada &gt; Vancouver"/>
    <s v="Consumer"/>
    <s v="Online"/>
    <s v="H. Kim"/>
    <x v="0"/>
    <s v="CMP-8851"/>
    <n v="1364.89"/>
    <n v="2757.54"/>
    <s v="High"/>
    <n v="0.17199999999999999"/>
    <n v="61"/>
    <n v="139277.83032000001"/>
    <n v="1005647.8340299997"/>
    <n v="83258.290000000008"/>
    <n v="56019.54032"/>
    <n v="0.4022143379983118"/>
    <n v="202507"/>
    <n v="202301"/>
    <s v="Jul-2023"/>
    <n v="30"/>
    <s v="On Time"/>
    <n v="1"/>
  </r>
  <r>
    <x v="237"/>
    <d v="2023-11-28T00:00:00"/>
    <s v="Nov-2023"/>
    <s v="Q4"/>
    <d v="2023-12-07T00:00:00"/>
    <n v="9"/>
    <x v="1"/>
    <x v="4"/>
    <s v="Delhi"/>
    <s v="Asia &gt; India &gt; Delhi"/>
    <s v="Enterprise"/>
    <s v="Marketplace"/>
    <s v="L. Okafor"/>
    <x v="3"/>
    <s v="PHN-2447"/>
    <n v="699.33"/>
    <n v="873.75"/>
    <s v="Medium"/>
    <n v="0.23499999999999999"/>
    <n v="10"/>
    <n v="6684.1875"/>
    <n v="866370.00370999996"/>
    <n v="6993.3"/>
    <n v="-309.11250000000018"/>
    <n v="-4.6245336475076469E-2"/>
    <n v="202311"/>
    <n v="202301"/>
    <s v="Nov-2023"/>
    <n v="10"/>
    <s v="Late"/>
    <n v="0"/>
  </r>
  <r>
    <x v="238"/>
    <d v="2024-03-30T00:00:00"/>
    <s v="Mar-2024"/>
    <s v="Q1"/>
    <d v="2024-04-24T00:00:00"/>
    <n v="25"/>
    <x v="2"/>
    <x v="10"/>
    <s v="Austin"/>
    <s v="Americas &gt; USA &gt; Austin"/>
    <s v="Non-Profit"/>
    <s v="Online"/>
    <s v="G. Dubois"/>
    <x v="4"/>
    <s v="LAP-2846"/>
    <n v="160.82"/>
    <n v="258.52"/>
    <s v="Low"/>
    <n v="0.13"/>
    <n v="17"/>
    <n v="3823.5108"/>
    <n v="866370.00370999996"/>
    <n v="2733.94"/>
    <n v="1089.5708"/>
    <n v="0.28496605789631874"/>
    <n v="202403"/>
    <n v="202301"/>
    <s v="Mar-2023"/>
    <n v="14"/>
    <s v="Late"/>
    <n v="0"/>
  </r>
  <r>
    <x v="239"/>
    <d v="2023-09-19T00:00:00"/>
    <s v="Sept-2023"/>
    <s v="Q3"/>
    <d v="2023-10-08T00:00:00"/>
    <n v="19"/>
    <x v="1"/>
    <x v="4"/>
    <s v="Bengaluru"/>
    <s v="Asia &gt; India &gt; Bengaluru"/>
    <s v="Education"/>
    <s v="Direct"/>
    <s v="J. Njeri"/>
    <x v="1"/>
    <s v="PRN-5005"/>
    <n v="385.32"/>
    <n v="606.76"/>
    <s v="Low"/>
    <n v="8.5999999999999993E-2"/>
    <n v="8"/>
    <n v="4436.6291200000005"/>
    <n v="866370.00370999996"/>
    <n v="3082.56"/>
    <n v="1354.0691200000006"/>
    <n v="0.30520223425842735"/>
    <n v="202309"/>
    <n v="202301"/>
    <s v="Sept-2023"/>
    <n v="8"/>
    <s v="Late"/>
    <n v="0"/>
  </r>
  <r>
    <x v="240"/>
    <d v="2025-05-16T00:00:00"/>
    <s v="May-2025"/>
    <s v="Q2"/>
    <d v="2025-05-27T00:00:00"/>
    <n v="11"/>
    <x v="1"/>
    <x v="9"/>
    <s v="Beijing"/>
    <s v="Asia &gt; China &gt; Beijing"/>
    <s v="Enterprise"/>
    <s v="Online"/>
    <s v="F. Müller"/>
    <x v="3"/>
    <s v="PHN-3800"/>
    <n v="918.12"/>
    <n v="1337.69"/>
    <s v="Medium"/>
    <n v="9.5000000000000001E-2"/>
    <n v="8"/>
    <n v="9684.8756000000012"/>
    <n v="866370.00370999996"/>
    <n v="7344.96"/>
    <n v="2339.9156000000012"/>
    <n v="0.24160512707050164"/>
    <n v="202505"/>
    <n v="202301"/>
    <s v="May-2023"/>
    <n v="28"/>
    <s v="Late"/>
    <n v="0"/>
  </r>
  <r>
    <x v="241"/>
    <d v="2025-08-02T00:00:00"/>
    <s v="Aug-2025"/>
    <s v="Q3"/>
    <d v="2025-08-08T00:00:00"/>
    <n v="6"/>
    <x v="1"/>
    <x v="2"/>
    <s v="Osaka"/>
    <s v="Asia &gt; Japan &gt; Osaka"/>
    <s v="Consumer"/>
    <s v="Direct"/>
    <s v="N. Brown"/>
    <x v="4"/>
    <s v="LAP-4828"/>
    <n v="1225.94"/>
    <n v="1793.08"/>
    <s v="High"/>
    <n v="0.13600000000000001"/>
    <n v="22"/>
    <n v="34082.864639999993"/>
    <n v="866370.00370999996"/>
    <n v="26970.68"/>
    <n v="7112.1846399999922"/>
    <n v="0.20867332353434462"/>
    <n v="202508"/>
    <n v="202303"/>
    <s v="Aug-2023"/>
    <n v="29"/>
    <s v="On Time"/>
    <n v="1"/>
  </r>
  <r>
    <x v="242"/>
    <d v="2024-12-04T00:00:00"/>
    <s v="Dec-2024"/>
    <s v="Q4"/>
    <d v="2024-12-12T00:00:00"/>
    <n v="8"/>
    <x v="3"/>
    <x v="6"/>
    <s v="Frankfurt"/>
    <s v="Europe &gt; Germany &gt; Frankfurt"/>
    <s v="Enterprise"/>
    <s v="Marketplace"/>
    <s v="B. Chen"/>
    <x v="1"/>
    <s v="PRN-5492"/>
    <n v="72.06"/>
    <n v="122.74"/>
    <s v="Low"/>
    <n v="0.23799999999999999"/>
    <n v="8"/>
    <n v="748.22303999999997"/>
    <n v="866370.00370999996"/>
    <n v="576.48"/>
    <n v="171.74303999999995"/>
    <n v="0.22953455162246802"/>
    <n v="202412"/>
    <n v="202301"/>
    <s v="Dec-2023"/>
    <n v="23"/>
    <s v="Late"/>
    <n v="0"/>
  </r>
  <r>
    <x v="243"/>
    <d v="2023-04-19T00:00:00"/>
    <s v="Apr-2023"/>
    <s v="Q2"/>
    <d v="2023-04-28T00:00:00"/>
    <n v="9"/>
    <x v="2"/>
    <x v="5"/>
    <s v="Rio de Janeiro"/>
    <s v="Americas &gt; Brazil &gt; Rio de Janeiro"/>
    <s v="Corporate"/>
    <s v="Distributor"/>
    <s v="M. Rossi"/>
    <x v="3"/>
    <s v="PHN-7132"/>
    <n v="1013.54"/>
    <n v="927.93"/>
    <s v="High"/>
    <n v="0.17499999999999999"/>
    <n v="16"/>
    <n v="12248.675999999999"/>
    <n v="866370.00370999996"/>
    <n v="16216.64"/>
    <n v="-3967.9639999999999"/>
    <n v="-0.32395044166406234"/>
    <n v="202304"/>
    <n v="202301"/>
    <s v="Apr-2023"/>
    <n v="3"/>
    <s v="Late"/>
    <n v="0"/>
  </r>
  <r>
    <x v="244"/>
    <d v="2024-03-06T00:00:00"/>
    <s v="Mar-2024"/>
    <s v="Q1"/>
    <d v="2024-03-26T00:00:00"/>
    <n v="20"/>
    <x v="0"/>
    <x v="1"/>
    <s v="Port Harcourt"/>
    <s v="Africa &gt; Nigeria &gt; Port Harcourt"/>
    <s v="Consumer"/>
    <s v="Marketplace"/>
    <s v="I. Johnson"/>
    <x v="3"/>
    <s v="PHN-4741"/>
    <n v="65.64"/>
    <n v="151.88"/>
    <s v="Low"/>
    <n v="0.16700000000000001"/>
    <n v="23"/>
    <n v="2909.8689199999999"/>
    <n v="866370.00370999996"/>
    <n v="1509.72"/>
    <n v="1400.1489199999999"/>
    <n v="0.48117250587356353"/>
    <n v="202403"/>
    <n v="202301"/>
    <s v="Mar-2023"/>
    <n v="14"/>
    <s v="Late"/>
    <n v="0"/>
  </r>
  <r>
    <x v="245"/>
    <d v="2024-02-16T00:00:00"/>
    <s v="Feb-2024"/>
    <s v="Q1"/>
    <d v="2024-03-04T00:00:00"/>
    <n v="17"/>
    <x v="2"/>
    <x v="3"/>
    <s v="Montreal"/>
    <s v="Americas &gt; Canada &gt; Montreal"/>
    <s v="Non-Profit"/>
    <s v="Retail"/>
    <s v="D. Smith"/>
    <x v="4"/>
    <s v="LAP-2774"/>
    <n v="1350.98"/>
    <n v="2210.4"/>
    <s v="High"/>
    <n v="0.26300000000000001"/>
    <n v="6"/>
    <n v="9774.3888000000006"/>
    <n v="866370.00370999996"/>
    <n v="8105.88"/>
    <n v="1668.5088000000005"/>
    <n v="0.17070211080615091"/>
    <n v="202402"/>
    <n v="202301"/>
    <s v="Feb-2023"/>
    <n v="13"/>
    <s v="Late"/>
    <n v="0"/>
  </r>
  <r>
    <x v="246"/>
    <d v="2025-04-22T00:00:00"/>
    <s v="Apr-2025"/>
    <s v="Q2"/>
    <d v="2025-05-02T00:00:00"/>
    <n v="10"/>
    <x v="3"/>
    <x v="6"/>
    <s v="Berlin"/>
    <s v="Europe &gt; Germany &gt; Berlin"/>
    <s v="Corporate"/>
    <s v="Marketplace"/>
    <s v="C. Otieno"/>
    <x v="5"/>
    <s v="MON-2842"/>
    <n v="20.149999999999999"/>
    <n v="39.74"/>
    <s v="Low"/>
    <n v="0.151"/>
    <n v="18"/>
    <n v="607.30668000000003"/>
    <n v="866370.00370999996"/>
    <n v="362.7"/>
    <n v="244.60668000000004"/>
    <n v="0.4027729120318585"/>
    <n v="202504"/>
    <n v="202301"/>
    <s v="Apr-2023"/>
    <n v="27"/>
    <s v="Late"/>
    <n v="0"/>
  </r>
  <r>
    <x v="247"/>
    <d v="2024-11-08T00:00:00"/>
    <s v="Nov-2024"/>
    <s v="Q4"/>
    <d v="2024-11-08T00:00:00"/>
    <n v="0"/>
    <x v="0"/>
    <x v="0"/>
    <s v="Nakuru"/>
    <s v="Africa &gt; Kenya &gt; Nakuru"/>
    <s v="Enterprise"/>
    <s v="Marketplace"/>
    <s v="M. Rossi"/>
    <x v="2"/>
    <s v="NET-2628"/>
    <n v="803.28"/>
    <n v="1009"/>
    <s v="Medium"/>
    <n v="0.11"/>
    <n v="4"/>
    <n v="3592.04"/>
    <n v="866370.00370999996"/>
    <n v="3213.12"/>
    <n v="378.92000000000007"/>
    <n v="0.10548880302001093"/>
    <n v="202411"/>
    <n v="202301"/>
    <s v="Nov-2023"/>
    <n v="22"/>
    <s v="On Time"/>
    <n v="1"/>
  </r>
  <r>
    <x v="248"/>
    <d v="2025-09-12T00:00:00"/>
    <s v="Sept-2025"/>
    <s v="Q3"/>
    <d v="2025-09-30T00:00:00"/>
    <n v="18"/>
    <x v="1"/>
    <x v="2"/>
    <s v="Nagoya"/>
    <s v="Asia &gt; Japan &gt; Nagoya"/>
    <s v="Non-Profit"/>
    <s v="Marketplace"/>
    <s v="F. Müller"/>
    <x v="5"/>
    <s v="MON-2998"/>
    <n v="1212.99"/>
    <n v="1653.64"/>
    <s v="High"/>
    <n v="0.107"/>
    <n v="8"/>
    <n v="11813.604160000001"/>
    <n v="866370.00370999996"/>
    <n v="9703.92"/>
    <n v="2109.6841600000007"/>
    <n v="0.17858090819931455"/>
    <n v="202509"/>
    <n v="202303"/>
    <s v="Sept-2023"/>
    <n v="30"/>
    <s v="Late"/>
    <n v="0"/>
  </r>
  <r>
    <x v="249"/>
    <d v="2024-09-02T00:00:00"/>
    <s v="Sept-2024"/>
    <s v="Q3"/>
    <d v="2024-09-08T00:00:00"/>
    <n v="6"/>
    <x v="2"/>
    <x v="10"/>
    <s v="Austin"/>
    <s v="Americas &gt; USA &gt; Austin"/>
    <s v="Consumer"/>
    <s v="Direct"/>
    <s v="H. Kim"/>
    <x v="0"/>
    <s v="CMP-7563"/>
    <n v="462.94"/>
    <n v="1015.7"/>
    <s v="Low"/>
    <n v="0.14299999999999999"/>
    <n v="14"/>
    <n v="12186.368600000002"/>
    <n v="866370.00370999996"/>
    <n v="6481.16"/>
    <n v="5705.2086000000018"/>
    <n v="0.46816314090483041"/>
    <n v="202409"/>
    <n v="202301"/>
    <s v="Sept-2023"/>
    <n v="20"/>
    <s v="On Time"/>
    <n v="1"/>
  </r>
  <r>
    <x v="250"/>
    <d v="2023-03-04T00:00:00"/>
    <s v="Mar-2023"/>
    <s v="Q1"/>
    <d v="2023-03-24T00:00:00"/>
    <n v="20"/>
    <x v="2"/>
    <x v="3"/>
    <s v="Montreal"/>
    <s v="Americas &gt; Canada &gt; Montreal"/>
    <s v="Consumer"/>
    <s v="Distributor"/>
    <s v="I. Johnson"/>
    <x v="4"/>
    <s v="LAP-6160"/>
    <n v="481.71"/>
    <n v="912.45"/>
    <s v="Low"/>
    <n v="0.20300000000000001"/>
    <n v="24"/>
    <n v="17453.3436"/>
    <n v="854183.63511000003"/>
    <n v="11561.039999999999"/>
    <n v="5892.3036000000011"/>
    <n v="0.33760313983619739"/>
    <n v="202303"/>
    <n v="202301"/>
    <s v="Mar-2023"/>
    <n v="2"/>
    <s v="Late"/>
    <n v="0"/>
  </r>
  <r>
    <x v="251"/>
    <d v="2024-03-15T00:00:00"/>
    <s v="Mar-2024"/>
    <s v="Q1"/>
    <d v="2024-04-09T00:00:00"/>
    <n v="25"/>
    <x v="2"/>
    <x v="3"/>
    <s v="Vancouver"/>
    <s v="Americas &gt; Canada &gt; Vancouver"/>
    <s v="Consumer"/>
    <s v="Online"/>
    <s v="F. Müller"/>
    <x v="5"/>
    <s v="MON-4361"/>
    <n v="648.64"/>
    <n v="815.19"/>
    <s v="Medium"/>
    <n v="0.22500000000000001"/>
    <n v="28"/>
    <n v="17689.623"/>
    <n v="854183.63511000003"/>
    <n v="18161.919999999998"/>
    <n v="-472.29699999999866"/>
    <n v="-2.6699099240272032E-2"/>
    <n v="202403"/>
    <n v="202301"/>
    <s v="Mar-2023"/>
    <n v="14"/>
    <s v="Late"/>
    <n v="0"/>
  </r>
  <r>
    <x v="252"/>
    <d v="2024-07-29T00:00:00"/>
    <s v="Jul-2024"/>
    <s v="Q3"/>
    <d v="2024-07-31T00:00:00"/>
    <n v="2"/>
    <x v="2"/>
    <x v="10"/>
    <s v="New York"/>
    <s v="Americas &gt; USA &gt; New York"/>
    <s v="Education"/>
    <s v="Marketplace"/>
    <s v="I. Johnson"/>
    <x v="1"/>
    <s v="PRN-2829"/>
    <n v="798.97"/>
    <n v="1814.06"/>
    <s v="Medium"/>
    <n v="0.122"/>
    <n v="16"/>
    <n v="25483.91488"/>
    <n v="854183.63511000003"/>
    <n v="12783.52"/>
    <n v="12700.39488"/>
    <n v="0.49836906691159061"/>
    <n v="202407"/>
    <n v="202301"/>
    <s v="Jul-2023"/>
    <n v="18"/>
    <s v="On Time"/>
    <n v="1"/>
  </r>
  <r>
    <x v="253"/>
    <d v="2024-10-27T00:00:00"/>
    <s v="Oct-2024"/>
    <s v="Q4"/>
    <d v="2024-11-20T00:00:00"/>
    <n v="24"/>
    <x v="1"/>
    <x v="2"/>
    <s v="Nagoya"/>
    <s v="Asia &gt; Japan &gt; Nagoya"/>
    <s v="Non-Profit"/>
    <s v="Online"/>
    <s v="H. Kim"/>
    <x v="5"/>
    <s v="MON-8939"/>
    <n v="317.25"/>
    <n v="758.92"/>
    <s v="Low"/>
    <n v="5.2999999999999999E-2"/>
    <n v="9"/>
    <n v="6468.2751599999992"/>
    <n v="854183.63511000003"/>
    <n v="2855.25"/>
    <n v="3613.0251599999992"/>
    <n v="0.5585762928489888"/>
    <n v="202410"/>
    <n v="202303"/>
    <s v="Oct-2023"/>
    <n v="19"/>
    <s v="Late"/>
    <n v="0"/>
  </r>
  <r>
    <x v="254"/>
    <d v="2024-04-29T00:00:00"/>
    <s v="Apr-2024"/>
    <s v="Q2"/>
    <d v="2024-05-19T00:00:00"/>
    <n v="20"/>
    <x v="3"/>
    <x v="6"/>
    <s v="Frankfurt"/>
    <s v="Europe &gt; Germany &gt; Frankfurt"/>
    <s v="Enterprise"/>
    <s v="Marketplace"/>
    <s v="C. Otieno"/>
    <x v="4"/>
    <s v="LAP-5009"/>
    <n v="668.97"/>
    <n v="1667.44"/>
    <s v="Medium"/>
    <n v="3.4000000000000002E-2"/>
    <n v="15"/>
    <n v="24161.205600000001"/>
    <n v="854183.63511000003"/>
    <n v="10034.550000000001"/>
    <n v="14126.6556"/>
    <n v="0.58468339013679016"/>
    <n v="202404"/>
    <n v="202301"/>
    <s v="Apr-2023"/>
    <n v="15"/>
    <s v="Late"/>
    <n v="0"/>
  </r>
  <r>
    <x v="255"/>
    <d v="2023-10-05T00:00:00"/>
    <s v="Oct-2023"/>
    <s v="Q4"/>
    <d v="2023-10-06T00:00:00"/>
    <n v="1"/>
    <x v="1"/>
    <x v="4"/>
    <s v="Bengaluru"/>
    <s v="Asia &gt; India &gt; Bengaluru"/>
    <s v="Non-Profit"/>
    <s v="Online"/>
    <s v="I. Johnson"/>
    <x v="0"/>
    <s v="CMP-4807"/>
    <n v="1470.26"/>
    <n v="2562.5500000000002"/>
    <s v="High"/>
    <n v="0.17299999999999999"/>
    <n v="9"/>
    <n v="19073.059649999999"/>
    <n v="854183.63511000003"/>
    <n v="13232.34"/>
    <n v="5840.7196499999991"/>
    <n v="0.30622877279157462"/>
    <n v="202310"/>
    <n v="202301"/>
    <s v="Oct-2023"/>
    <n v="9"/>
    <s v="On Time"/>
    <n v="1"/>
  </r>
  <r>
    <x v="256"/>
    <d v="2023-04-19T00:00:00"/>
    <s v="Apr-2023"/>
    <s v="Q2"/>
    <d v="2023-05-07T00:00:00"/>
    <n v="18"/>
    <x v="3"/>
    <x v="8"/>
    <s v="London"/>
    <s v="Europe &gt; United Kingdom &gt; London"/>
    <s v="Non-Profit"/>
    <s v="Direct"/>
    <s v="H. Kim"/>
    <x v="2"/>
    <s v="NET-2439"/>
    <n v="516.96"/>
    <n v="745.38"/>
    <s v="Medium"/>
    <n v="0.19700000000000001"/>
    <n v="4"/>
    <n v="2394.1605599999998"/>
    <n v="835110.57546000008"/>
    <n v="2067.84"/>
    <n v="326.32055999999966"/>
    <n v="0.13629852794835101"/>
    <n v="202304"/>
    <n v="202301"/>
    <s v="Apr-2023"/>
    <n v="3"/>
    <s v="Late"/>
    <n v="0"/>
  </r>
  <r>
    <x v="257"/>
    <d v="2025-06-27T00:00:00"/>
    <s v="Jun-2025"/>
    <s v="Q2"/>
    <d v="2025-07-05T00:00:00"/>
    <n v="8"/>
    <x v="3"/>
    <x v="6"/>
    <s v="Munich"/>
    <s v="Europe &gt; Germany &gt; Munich"/>
    <s v="Small Business"/>
    <s v="Direct"/>
    <s v="G. Dubois"/>
    <x v="5"/>
    <s v="MON-7626"/>
    <n v="314.93"/>
    <n v="687.95"/>
    <s v="Low"/>
    <n v="0.20499999999999999"/>
    <n v="8"/>
    <n v="4375.3620000000001"/>
    <n v="835110.57546000008"/>
    <n v="2519.44"/>
    <n v="1855.922"/>
    <n v="0.424175645352316"/>
    <n v="202506"/>
    <n v="202301"/>
    <s v="Jun-2023"/>
    <n v="29"/>
    <s v="Late"/>
    <n v="0"/>
  </r>
  <r>
    <x v="258"/>
    <d v="2023-10-11T00:00:00"/>
    <s v="Oct-2023"/>
    <s v="Q4"/>
    <d v="2023-10-13T00:00:00"/>
    <n v="2"/>
    <x v="2"/>
    <x v="5"/>
    <s v="Brasília"/>
    <s v="Americas &gt; Brazil &gt; Brasília"/>
    <s v="Consumer"/>
    <s v="Distributor"/>
    <s v="Not Provided"/>
    <x v="6"/>
    <s v="ACC-3567"/>
    <n v="715.94"/>
    <n v="550.07000000000005"/>
    <s v="Medium"/>
    <n v="0.14000000000000001"/>
    <n v="16"/>
    <n v="7568.9632000000001"/>
    <n v="835110.57546000008"/>
    <n v="11455.04"/>
    <n v="-3886.0768000000007"/>
    <n v="-0.51342260456491595"/>
    <n v="202310"/>
    <n v="202301"/>
    <s v="Oct-2023"/>
    <n v="9"/>
    <s v="On Time"/>
    <n v="1"/>
  </r>
  <r>
    <x v="259"/>
    <d v="2023-05-20T00:00:00"/>
    <s v="May-2023"/>
    <s v="Q2"/>
    <d v="2023-06-07T00:00:00"/>
    <n v="18"/>
    <x v="0"/>
    <x v="1"/>
    <s v="Port Harcourt"/>
    <s v="Africa &gt; Nigeria &gt; Port Harcourt"/>
    <s v="Enterprise"/>
    <s v="Distributor"/>
    <s v="E. Garcia"/>
    <x v="0"/>
    <s v="CMP-4630"/>
    <n v="1120.06"/>
    <n v="2068.21"/>
    <s v="High"/>
    <n v="7.8E-2"/>
    <n v="12"/>
    <n v="22882.675440000003"/>
    <n v="835110.57546000008"/>
    <n v="13440.72"/>
    <n v="9441.9554400000034"/>
    <n v="0.41262462795303284"/>
    <n v="202305"/>
    <n v="202301"/>
    <s v="May-2023"/>
    <n v="4"/>
    <s v="Late"/>
    <n v="0"/>
  </r>
  <r>
    <x v="260"/>
    <d v="2023-05-27T00:00:00"/>
    <s v="May-2023"/>
    <s v="Q2"/>
    <d v="2023-06-19T00:00:00"/>
    <n v="23"/>
    <x v="3"/>
    <x v="6"/>
    <s v="Berlin"/>
    <s v="Europe &gt; Germany &gt; Berlin"/>
    <s v="Education"/>
    <s v="Retail"/>
    <s v="O. Wang"/>
    <x v="6"/>
    <s v="ACC-1882"/>
    <n v="1471.58"/>
    <n v="2576.65"/>
    <s v="High"/>
    <n v="4.0000000000000001E-3"/>
    <n v="7"/>
    <n v="17964.4038"/>
    <n v="812227.90001999994"/>
    <n v="10301.06"/>
    <n v="7663.3438000000006"/>
    <n v="0.4265849223451546"/>
    <n v="202305"/>
    <n v="202301"/>
    <s v="May-2023"/>
    <n v="4"/>
    <s v="Late"/>
    <n v="0"/>
  </r>
  <r>
    <x v="261"/>
    <d v="2023-08-04T00:00:00"/>
    <s v="Aug-2023"/>
    <s v="Q3"/>
    <d v="2023-08-24T00:00:00"/>
    <n v="20"/>
    <x v="2"/>
    <x v="5"/>
    <s v="Brasília"/>
    <s v="Americas &gt; Brazil &gt; Brasília"/>
    <s v="Non-Profit"/>
    <s v="Direct"/>
    <s v="Not Provided"/>
    <x v="2"/>
    <s v="NET-9125"/>
    <n v="582.88"/>
    <n v="1044.1400000000001"/>
    <s v="Medium"/>
    <n v="0.216"/>
    <n v="10"/>
    <n v="8186.057600000001"/>
    <n v="812227.90001999994"/>
    <n v="5828.8"/>
    <n v="2357.2576000000008"/>
    <n v="0.28796005539956138"/>
    <n v="202308"/>
    <n v="202301"/>
    <s v="Aug-2023"/>
    <n v="7"/>
    <s v="Late"/>
    <n v="0"/>
  </r>
  <r>
    <x v="262"/>
    <d v="2025-06-21T00:00:00"/>
    <s v="Jun-2025"/>
    <s v="Q2"/>
    <d v="2025-06-27T00:00:00"/>
    <n v="6"/>
    <x v="0"/>
    <x v="11"/>
    <s v="Durban"/>
    <s v="Africa &gt; South Africa &gt; Durban"/>
    <s v="Enterprise"/>
    <s v="Distributor"/>
    <s v="N. Brown"/>
    <x v="3"/>
    <s v="PHN-3819"/>
    <n v="93.91"/>
    <n v="99.04"/>
    <s v="Low"/>
    <n v="5.7000000000000002E-2"/>
    <n v="6"/>
    <n v="560.36831999999993"/>
    <n v="812227.90001999994"/>
    <n v="563.46"/>
    <n v="-3.0916800000001103"/>
    <n v="-5.5172283829323376E-3"/>
    <n v="202506"/>
    <n v="202301"/>
    <s v="Jun-2023"/>
    <n v="29"/>
    <s v="On Time"/>
    <n v="1"/>
  </r>
  <r>
    <x v="263"/>
    <d v="2025-04-16T00:00:00"/>
    <s v="Apr-2025"/>
    <s v="Q2"/>
    <d v="2025-04-26T00:00:00"/>
    <n v="10"/>
    <x v="0"/>
    <x v="1"/>
    <s v="Port Harcourt"/>
    <s v="Africa &gt; Nigeria &gt; Port Harcourt"/>
    <s v="Enterprise"/>
    <s v="Marketplace"/>
    <s v="F. Müller"/>
    <x v="4"/>
    <s v="LAP-3490"/>
    <n v="1457.44"/>
    <n v="1996.81"/>
    <s v="High"/>
    <n v="0.126"/>
    <n v="23"/>
    <n v="40139.874619999995"/>
    <n v="812227.90001999994"/>
    <n v="33521.120000000003"/>
    <n v="6618.7546199999924"/>
    <n v="0.16489225944672353"/>
    <n v="202504"/>
    <n v="202301"/>
    <s v="Apr-2023"/>
    <n v="27"/>
    <s v="Late"/>
    <n v="0"/>
  </r>
  <r>
    <x v="264"/>
    <d v="2025-09-02T00:00:00"/>
    <s v="Sept-2025"/>
    <s v="Q3"/>
    <d v="2025-09-11T00:00:00"/>
    <n v="9"/>
    <x v="2"/>
    <x v="3"/>
    <s v="Toronto"/>
    <s v="Americas &gt; Canada &gt; Toronto"/>
    <s v="Corporate"/>
    <s v="Distributor"/>
    <s v="M. Rossi"/>
    <x v="1"/>
    <s v="PRN-1276"/>
    <n v="1207.6300000000001"/>
    <n v="921.68"/>
    <s v="High"/>
    <n v="0.19600000000000001"/>
    <n v="17"/>
    <n v="12597.52224"/>
    <n v="812227.90001999994"/>
    <n v="20529.710000000003"/>
    <n v="-7932.1877600000025"/>
    <n v="-0.62966253274897988"/>
    <n v="202509"/>
    <n v="202301"/>
    <s v="Sept-2023"/>
    <n v="32"/>
    <s v="Late"/>
    <n v="0"/>
  </r>
  <r>
    <x v="265"/>
    <d v="2024-10-08T00:00:00"/>
    <s v="Oct-2024"/>
    <s v="Q4"/>
    <d v="2024-10-08T00:00:00"/>
    <n v="0"/>
    <x v="3"/>
    <x v="8"/>
    <s v="London"/>
    <s v="Europe &gt; United Kingdom &gt; London"/>
    <s v="Corporate"/>
    <s v="Online"/>
    <s v="E. Garcia"/>
    <x v="5"/>
    <s v="MON-9733"/>
    <n v="1108.1099999999999"/>
    <n v="2503.79"/>
    <s v="High"/>
    <n v="0.184"/>
    <n v="19"/>
    <n v="38818.760160000005"/>
    <n v="812227.90001999994"/>
    <n v="21054.089999999997"/>
    <n v="17764.670160000009"/>
    <n v="0.45763105485025896"/>
    <n v="202410"/>
    <n v="202301"/>
    <s v="Oct-2023"/>
    <n v="21"/>
    <s v="On Time"/>
    <n v="1"/>
  </r>
  <r>
    <x v="266"/>
    <d v="2023-05-07T00:00:00"/>
    <s v="May-2023"/>
    <s v="Q2"/>
    <d v="2023-05-09T00:00:00"/>
    <n v="2"/>
    <x v="0"/>
    <x v="1"/>
    <s v="Port Harcourt"/>
    <s v="Africa &gt; Nigeria &gt; Port Harcourt"/>
    <s v="Non-Profit"/>
    <s v="Marketplace"/>
    <s v="A. Patel"/>
    <x v="0"/>
    <s v="CMP-9392"/>
    <n v="1269.6500000000001"/>
    <n v="2462.77"/>
    <s v="High"/>
    <n v="0.107"/>
    <n v="8"/>
    <n v="17594.028880000002"/>
    <n v="812227.90001999994"/>
    <n v="10157.200000000001"/>
    <n v="7436.8288800000009"/>
    <n v="0.42269050089225502"/>
    <n v="202305"/>
    <n v="202301"/>
    <s v="May-2023"/>
    <n v="4"/>
    <s v="On Time"/>
    <n v="1"/>
  </r>
  <r>
    <x v="267"/>
    <d v="2023-12-24T00:00:00"/>
    <s v="Dec-2023"/>
    <s v="Q4"/>
    <d v="2024-01-01T00:00:00"/>
    <n v="8"/>
    <x v="2"/>
    <x v="5"/>
    <s v="São Paulo"/>
    <s v="Americas &gt; Brazil &gt; São Paulo"/>
    <s v="Education"/>
    <s v="Direct"/>
    <s v="C. Otieno"/>
    <x v="3"/>
    <s v="PHN-3014"/>
    <n v="526.49"/>
    <n v="496.2"/>
    <s v="Medium"/>
    <n v="0"/>
    <n v="14"/>
    <n v="6946.8"/>
    <n v="794633.87113999983"/>
    <n v="7370.8600000000006"/>
    <n v="-424.0600000000004"/>
    <n v="-6.1043933897621985E-2"/>
    <n v="202312"/>
    <n v="202301"/>
    <s v="Dec-2023"/>
    <n v="11"/>
    <s v="Late"/>
    <n v="0"/>
  </r>
  <r>
    <x v="268"/>
    <d v="2024-01-10T00:00:00"/>
    <s v="Jan-2024"/>
    <s v="Q1"/>
    <d v="2024-01-23T00:00:00"/>
    <n v="13"/>
    <x v="3"/>
    <x v="7"/>
    <s v="Marseille"/>
    <s v="Europe &gt; France &gt; Marseille"/>
    <s v="Corporate"/>
    <s v="Direct"/>
    <s v="A. Patel"/>
    <x v="1"/>
    <s v="PRN-6776"/>
    <n v="720"/>
    <n v="907.59"/>
    <s v="Medium"/>
    <n v="0.154"/>
    <n v="10"/>
    <n v="7678.2113999999992"/>
    <n v="794633.87113999983"/>
    <n v="7200"/>
    <n v="478.21139999999923"/>
    <n v="6.2281614179052078E-2"/>
    <n v="202401"/>
    <n v="202301"/>
    <s v="Jan-2023"/>
    <n v="12"/>
    <s v="Late"/>
    <n v="0"/>
  </r>
  <r>
    <x v="269"/>
    <d v="2023-08-03T00:00:00"/>
    <s v="Aug-2023"/>
    <s v="Q3"/>
    <d v="2023-08-14T00:00:00"/>
    <n v="11"/>
    <x v="2"/>
    <x v="5"/>
    <s v="Brasília"/>
    <s v="Americas &gt; Brazil &gt; Brasília"/>
    <s v="Corporate"/>
    <s v="Direct"/>
    <s v="J. Njeri"/>
    <x v="6"/>
    <s v="ACC-3951"/>
    <n v="232.73"/>
    <n v="334.19"/>
    <s v="Low"/>
    <n v="0.13400000000000001"/>
    <n v="25"/>
    <n v="7235.2134999999998"/>
    <n v="794633.87113999983"/>
    <n v="5818.25"/>
    <n v="1416.9634999999998"/>
    <n v="0.1958426658729559"/>
    <n v="202308"/>
    <n v="202301"/>
    <s v="Aug-2023"/>
    <n v="7"/>
    <s v="Late"/>
    <n v="0"/>
  </r>
  <r>
    <x v="270"/>
    <d v="2025-02-19T00:00:00"/>
    <s v="Feb-2025"/>
    <s v="Q1"/>
    <d v="2025-03-09T00:00:00"/>
    <n v="18"/>
    <x v="1"/>
    <x v="4"/>
    <s v="Delhi"/>
    <s v="Asia &gt; India &gt; Delhi"/>
    <s v="Small Business"/>
    <s v="Direct"/>
    <s v="O. Wang"/>
    <x v="5"/>
    <s v="MON-1436"/>
    <n v="325.87"/>
    <n v="538.79"/>
    <s v="Low"/>
    <n v="0.17399999999999999"/>
    <n v="16"/>
    <n v="7120.6486400000003"/>
    <n v="794633.87113999983"/>
    <n v="5213.92"/>
    <n v="1906.7286400000003"/>
    <n v="0.26777457172778013"/>
    <n v="202502"/>
    <n v="202301"/>
    <s v="Feb-2023"/>
    <n v="25"/>
    <s v="Late"/>
    <n v="0"/>
  </r>
  <r>
    <x v="271"/>
    <d v="2024-03-31T00:00:00"/>
    <s v="Mar-2024"/>
    <s v="Q1"/>
    <d v="2024-04-17T00:00:00"/>
    <n v="17"/>
    <x v="3"/>
    <x v="6"/>
    <s v="Frankfurt"/>
    <s v="Europe &gt; Germany &gt; Frankfurt"/>
    <s v="Education"/>
    <s v="Direct"/>
    <s v="H. Kim"/>
    <x v="5"/>
    <s v="MON-8651"/>
    <n v="1025.51"/>
    <n v="1436.54"/>
    <s v="High"/>
    <n v="0.13900000000000001"/>
    <n v="28"/>
    <n v="34632.106319999999"/>
    <n v="794633.87113999983"/>
    <n v="28714.28"/>
    <n v="5917.8263200000001"/>
    <n v="0.17087688127656453"/>
    <n v="202403"/>
    <n v="202301"/>
    <s v="Mar-2023"/>
    <n v="14"/>
    <s v="Late"/>
    <n v="0"/>
  </r>
  <r>
    <x v="272"/>
    <d v="2023-07-24T00:00:00"/>
    <s v="Jul-2023"/>
    <s v="Q3"/>
    <d v="2023-08-13T00:00:00"/>
    <n v="20"/>
    <x v="2"/>
    <x v="3"/>
    <s v="Montreal"/>
    <s v="Americas &gt; Canada &gt; Montreal"/>
    <s v="Education"/>
    <s v="Direct"/>
    <s v="C. Otieno"/>
    <x v="5"/>
    <s v="MON-3307"/>
    <n v="1082.3800000000001"/>
    <n v="1766.55"/>
    <s v="High"/>
    <n v="0.16400000000000001"/>
    <n v="20"/>
    <n v="29536.716"/>
    <n v="794633.87113999983"/>
    <n v="21647.600000000002"/>
    <n v="7889.1159999999982"/>
    <n v="0.26709523157550752"/>
    <n v="202307"/>
    <n v="202301"/>
    <s v="Jul-2023"/>
    <n v="6"/>
    <s v="Late"/>
    <n v="0"/>
  </r>
  <r>
    <x v="273"/>
    <d v="2024-03-16T00:00:00"/>
    <s v="Mar-2024"/>
    <s v="Q1"/>
    <d v="2024-04-13T00:00:00"/>
    <n v="28"/>
    <x v="3"/>
    <x v="7"/>
    <s v="Paris"/>
    <s v="Europe &gt; France &gt; Paris"/>
    <s v="Small Business"/>
    <s v="Online"/>
    <s v="K. Singh"/>
    <x v="1"/>
    <s v="PRN-8758"/>
    <n v="287.61"/>
    <n v="628.54"/>
    <s v="Low"/>
    <n v="0.13500000000000001"/>
    <n v="21"/>
    <n v="11417.429099999999"/>
    <n v="794633.87113999983"/>
    <n v="6039.81"/>
    <n v="5377.619099999999"/>
    <n v="0.47100087531964613"/>
    <n v="202403"/>
    <n v="202301"/>
    <s v="Mar-2023"/>
    <n v="14"/>
    <s v="Late"/>
    <n v="0"/>
  </r>
  <r>
    <x v="274"/>
    <d v="2024-01-25T00:00:00"/>
    <s v="Jan-2024"/>
    <s v="Q1"/>
    <d v="2024-01-27T00:00:00"/>
    <n v="2"/>
    <x v="2"/>
    <x v="5"/>
    <s v="São Paulo"/>
    <s v="Americas &gt; Brazil &gt; São Paulo"/>
    <s v="Non-Profit"/>
    <s v="Marketplace"/>
    <s v="N. Brown"/>
    <x v="4"/>
    <s v="LAP-7056"/>
    <n v="1410.97"/>
    <n v="1650.75"/>
    <s v="High"/>
    <n v="0.13500000000000001"/>
    <n v="6"/>
    <n v="8567.3924999999999"/>
    <n v="794633.87113999983"/>
    <n v="8465.82"/>
    <n v="101.57250000000022"/>
    <n v="1.1855707556295596E-2"/>
    <n v="202401"/>
    <n v="202301"/>
    <s v="Jan-2023"/>
    <n v="12"/>
    <s v="On Time"/>
    <n v="1"/>
  </r>
  <r>
    <x v="275"/>
    <d v="2024-03-27T00:00:00"/>
    <s v="Mar-2024"/>
    <s v="Q1"/>
    <d v="2024-04-11T00:00:00"/>
    <n v="15"/>
    <x v="2"/>
    <x v="10"/>
    <s v="San Francisco"/>
    <s v="Americas &gt; USA &gt; San Francisco"/>
    <s v="Small Business"/>
    <s v="Direct"/>
    <s v="O. Wang"/>
    <x v="2"/>
    <s v="NET-5523"/>
    <n v="1338.35"/>
    <n v="2247.14"/>
    <s v="High"/>
    <n v="0.115"/>
    <n v="40"/>
    <n v="79548.755999999994"/>
    <n v="794633.87113999983"/>
    <n v="53534"/>
    <n v="26014.755999999994"/>
    <n v="0.32702907384246205"/>
    <n v="202403"/>
    <n v="202301"/>
    <s v="Mar-2023"/>
    <n v="14"/>
    <s v="Late"/>
    <n v="0"/>
  </r>
  <r>
    <x v="276"/>
    <d v="2025-06-24T00:00:00"/>
    <s v="Jun-2025"/>
    <s v="Q2"/>
    <d v="2025-07-14T00:00:00"/>
    <n v="20"/>
    <x v="3"/>
    <x v="6"/>
    <s v="Berlin"/>
    <s v="Europe &gt; Germany &gt; Berlin"/>
    <s v="Corporate"/>
    <s v="Direct"/>
    <s v="O. Wang"/>
    <x v="6"/>
    <s v="ACC-8094"/>
    <n v="385.08"/>
    <n v="893.19"/>
    <s v="Low"/>
    <n v="0.151"/>
    <n v="8"/>
    <n v="6066.54648"/>
    <n v="794633.87113999983"/>
    <n v="3080.64"/>
    <n v="2985.9064800000001"/>
    <n v="0.49219213762621666"/>
    <n v="202506"/>
    <n v="202301"/>
    <s v="Jun-2023"/>
    <n v="29"/>
    <s v="Late"/>
    <n v="0"/>
  </r>
  <r>
    <x v="277"/>
    <d v="2024-06-16T00:00:00"/>
    <s v="Jun-2024"/>
    <s v="Q2"/>
    <d v="2024-07-03T00:00:00"/>
    <n v="17"/>
    <x v="0"/>
    <x v="11"/>
    <s v="Johannesburg"/>
    <s v="Africa &gt; South Africa &gt; Johannesburg"/>
    <s v="Enterprise"/>
    <s v="Marketplace"/>
    <s v="F. Müller"/>
    <x v="3"/>
    <s v="PHN-6832"/>
    <n v="1173.83"/>
    <n v="2328.9"/>
    <s v="High"/>
    <n v="0.12"/>
    <n v="17"/>
    <n v="34840.344000000005"/>
    <n v="794633.87113999983"/>
    <n v="19955.11"/>
    <n v="14885.234000000004"/>
    <n v="0.42724130393201637"/>
    <n v="202406"/>
    <n v="202301"/>
    <s v="Jun-2023"/>
    <n v="17"/>
    <s v="Late"/>
    <n v="0"/>
  </r>
  <r>
    <x v="278"/>
    <d v="2023-10-30T00:00:00"/>
    <s v="Oct-2023"/>
    <s v="Q4"/>
    <d v="2023-11-14T00:00:00"/>
    <n v="15"/>
    <x v="1"/>
    <x v="4"/>
    <s v="Bengaluru"/>
    <s v="Asia &gt; India &gt; Bengaluru"/>
    <s v="Corporate"/>
    <s v="Online"/>
    <s v="F. Müller"/>
    <x v="4"/>
    <s v="LAP-2378"/>
    <n v="953.46"/>
    <n v="2066.75"/>
    <s v="Medium"/>
    <n v="0.13800000000000001"/>
    <n v="5"/>
    <n v="8907.6924999999992"/>
    <n v="794633.87113999983"/>
    <n v="4767.3"/>
    <n v="4140.392499999999"/>
    <n v="0.46481089238318446"/>
    <n v="202310"/>
    <n v="202301"/>
    <s v="Oct-2023"/>
    <n v="9"/>
    <s v="Late"/>
    <n v="0"/>
  </r>
  <r>
    <x v="279"/>
    <d v="2023-06-15T00:00:00"/>
    <s v="Jun-2023"/>
    <s v="Q2"/>
    <d v="2023-06-23T00:00:00"/>
    <n v="8"/>
    <x v="2"/>
    <x v="10"/>
    <s v="San Francisco"/>
    <s v="Americas &gt; USA &gt; San Francisco"/>
    <s v="Consumer"/>
    <s v="Distributor"/>
    <s v="O. Wang"/>
    <x v="5"/>
    <s v="MON-5424"/>
    <n v="1097.0899999999999"/>
    <n v="2182.31"/>
    <s v="High"/>
    <n v="0.112"/>
    <n v="9"/>
    <n v="17441.021520000002"/>
    <n v="794633.87113999983"/>
    <n v="9873.81"/>
    <n v="7567.2115200000026"/>
    <n v="0.43387432962699546"/>
    <n v="202306"/>
    <n v="202301"/>
    <s v="Jun-2023"/>
    <n v="5"/>
    <s v="Late"/>
    <n v="0"/>
  </r>
  <r>
    <x v="280"/>
    <d v="2025-03-14T00:00:00"/>
    <s v="Mar-2025"/>
    <s v="Q1"/>
    <d v="2025-03-29T00:00:00"/>
    <n v="15"/>
    <x v="1"/>
    <x v="2"/>
    <s v="Tokyo"/>
    <s v="Asia &gt; Japan &gt; Tokyo"/>
    <s v="Non-Profit"/>
    <s v="Direct"/>
    <s v="H. Kim"/>
    <x v="2"/>
    <s v="NET-8430"/>
    <n v="1106.96"/>
    <n v="2726.62"/>
    <s v="High"/>
    <n v="0.317"/>
    <n v="7"/>
    <n v="13035.970220000001"/>
    <n v="794633.87113999983"/>
    <n v="7748.72"/>
    <n v="5287.2502200000008"/>
    <n v="0.40558931408789306"/>
    <n v="202503"/>
    <n v="202303"/>
    <s v="Mar-2023"/>
    <n v="24"/>
    <s v="Late"/>
    <n v="0"/>
  </r>
  <r>
    <x v="281"/>
    <d v="2023-08-15T00:00:00"/>
    <s v="Aug-2023"/>
    <s v="Q3"/>
    <d v="2023-08-25T00:00:00"/>
    <n v="10"/>
    <x v="0"/>
    <x v="0"/>
    <s v="Nairobi"/>
    <s v="Africa &gt; Kenya &gt; Nairobi"/>
    <s v="Small Business"/>
    <s v="Retail"/>
    <s v="N. Brown"/>
    <x v="3"/>
    <s v="PHN-1234"/>
    <n v="91.85"/>
    <n v="111.29"/>
    <s v="Low"/>
    <n v="0"/>
    <n v="6"/>
    <n v="667.74"/>
    <n v="794633.87113999983"/>
    <n v="551.09999999999991"/>
    <n v="116.6400000000001"/>
    <n v="0.17467876718483258"/>
    <n v="202308"/>
    <n v="202301"/>
    <s v="Aug-2023"/>
    <n v="7"/>
    <s v="Late"/>
    <n v="0"/>
  </r>
  <r>
    <x v="282"/>
    <d v="2025-05-17T00:00:00"/>
    <s v="May-2025"/>
    <s v="Q2"/>
    <d v="2025-05-28T00:00:00"/>
    <n v="11"/>
    <x v="1"/>
    <x v="4"/>
    <s v="Bengaluru"/>
    <s v="Asia &gt; India &gt; Bengaluru"/>
    <s v="Corporate"/>
    <s v="Distributor"/>
    <s v="B. Chen"/>
    <x v="4"/>
    <s v="LAP-9016"/>
    <n v="623.4"/>
    <n v="1100.0899999999999"/>
    <s v="Medium"/>
    <n v="0.114"/>
    <n v="12"/>
    <n v="11696.156879999999"/>
    <n v="794633.87113999983"/>
    <n v="7480.7999999999993"/>
    <n v="4215.3568799999994"/>
    <n v="0.36040529579490388"/>
    <n v="202505"/>
    <n v="202301"/>
    <s v="May-2023"/>
    <n v="28"/>
    <s v="Late"/>
    <n v="0"/>
  </r>
  <r>
    <x v="283"/>
    <d v="2024-01-13T00:00:00"/>
    <s v="Jan-2024"/>
    <s v="Q1"/>
    <d v="2024-02-05T00:00:00"/>
    <n v="23"/>
    <x v="3"/>
    <x v="6"/>
    <s v="Frankfurt"/>
    <s v="Europe &gt; Germany &gt; Frankfurt"/>
    <s v="Education"/>
    <s v="Direct"/>
    <s v="B. Chen"/>
    <x v="4"/>
    <s v="LAP-9931"/>
    <n v="1017.93"/>
    <n v="1529.14"/>
    <s v="High"/>
    <n v="0.155"/>
    <n v="12"/>
    <n v="15505.479600000001"/>
    <n v="794633.87113999983"/>
    <n v="12215.16"/>
    <n v="3290.3196000000007"/>
    <n v="0.21220366508366503"/>
    <n v="202401"/>
    <n v="202301"/>
    <s v="Jan-2023"/>
    <n v="12"/>
    <s v="Late"/>
    <n v="0"/>
  </r>
  <r>
    <x v="284"/>
    <d v="2023-06-24T00:00:00"/>
    <s v="Jun-2023"/>
    <s v="Q2"/>
    <d v="2023-07-21T00:00:00"/>
    <n v="27"/>
    <x v="1"/>
    <x v="2"/>
    <s v="Nagoya"/>
    <s v="Asia &gt; Japan &gt; Nagoya"/>
    <s v="Consumer"/>
    <s v="Marketplace"/>
    <s v="J. Njeri"/>
    <x v="3"/>
    <s v="PHN-6818"/>
    <n v="554.76"/>
    <n v="728.69"/>
    <s v="Medium"/>
    <n v="0.22"/>
    <n v="7"/>
    <n v="3978.6474000000003"/>
    <n v="794633.87113999983"/>
    <n v="3883.3199999999997"/>
    <n v="95.32740000000058"/>
    <n v="2.395975074343119E-2"/>
    <n v="202306"/>
    <n v="202303"/>
    <s v="Jun-2023"/>
    <n v="3"/>
    <s v="Late"/>
    <n v="0"/>
  </r>
  <r>
    <x v="285"/>
    <d v="2025-04-04T00:00:00"/>
    <s v="Apr-2025"/>
    <s v="Q2"/>
    <d v="2025-04-13T00:00:00"/>
    <n v="9"/>
    <x v="3"/>
    <x v="6"/>
    <s v="Munich"/>
    <s v="Europe &gt; Germany &gt; Munich"/>
    <s v="Consumer"/>
    <s v="Marketplace"/>
    <s v="F. Müller"/>
    <x v="3"/>
    <s v="PHN-3803"/>
    <n v="7.02"/>
    <n v="6.28"/>
    <s v="Low"/>
    <n v="0.13400000000000001"/>
    <n v="14"/>
    <n v="76.138720000000006"/>
    <n v="794633.87113999983"/>
    <n v="98.28"/>
    <n v="-22.141279999999995"/>
    <n v="-0.29080184169106066"/>
    <n v="202504"/>
    <n v="202301"/>
    <s v="Apr-2023"/>
    <n v="27"/>
    <s v="Late"/>
    <n v="0"/>
  </r>
  <r>
    <x v="286"/>
    <d v="2024-09-07T00:00:00"/>
    <s v="Sept-2024"/>
    <s v="Q3"/>
    <d v="2024-09-07T00:00:00"/>
    <n v="0"/>
    <x v="1"/>
    <x v="4"/>
    <s v="Mumbai"/>
    <s v="Asia &gt; India &gt; Mumbai"/>
    <s v="Education"/>
    <s v="Distributor"/>
    <s v="B. Chen"/>
    <x v="2"/>
    <s v="NET-9835"/>
    <n v="1066.6500000000001"/>
    <n v="2569.77"/>
    <s v="High"/>
    <n v="0.13400000000000001"/>
    <n v="9"/>
    <n v="20028.787380000002"/>
    <n v="794633.87113999983"/>
    <n v="9599.85"/>
    <n v="10428.937380000001"/>
    <n v="0.52069739331368348"/>
    <n v="202409"/>
    <n v="202301"/>
    <s v="Sept-2023"/>
    <n v="20"/>
    <s v="On Time"/>
    <n v="1"/>
  </r>
  <r>
    <x v="287"/>
    <d v="2024-01-28T00:00:00"/>
    <s v="Jan-2024"/>
    <s v="Q1"/>
    <d v="2024-01-30T00:00:00"/>
    <n v="2"/>
    <x v="0"/>
    <x v="11"/>
    <s v="Cape Town"/>
    <s v="Africa &gt; South Africa &gt; Cape Town"/>
    <s v="Consumer"/>
    <s v="Direct"/>
    <s v="F. Müller"/>
    <x v="6"/>
    <s v="ACC-6223"/>
    <n v="798.45"/>
    <n v="1592.02"/>
    <s v="Medium"/>
    <n v="6.6000000000000003E-2"/>
    <n v="18"/>
    <n v="26765.040239999998"/>
    <n v="794633.87113999983"/>
    <n v="14372.1"/>
    <n v="12392.940239999998"/>
    <n v="0.46302714768494585"/>
    <n v="202401"/>
    <n v="202301"/>
    <s v="Jan-2023"/>
    <n v="12"/>
    <s v="On Time"/>
    <n v="1"/>
  </r>
  <r>
    <x v="288"/>
    <d v="2023-07-18T00:00:00"/>
    <s v="Jul-2023"/>
    <s v="Q3"/>
    <d v="2023-08-10T00:00:00"/>
    <n v="23"/>
    <x v="0"/>
    <x v="11"/>
    <s v="Johannesburg"/>
    <s v="Africa &gt; South Africa &gt; Johannesburg"/>
    <s v="Small Business"/>
    <s v="Retail"/>
    <s v="L. Okafor"/>
    <x v="0"/>
    <s v="CMP-8659"/>
    <n v="1271.56"/>
    <n v="995.47"/>
    <s v="High"/>
    <n v="0.192"/>
    <n v="13"/>
    <n v="10456.416880000001"/>
    <n v="794633.87113999983"/>
    <n v="16530.28"/>
    <n v="-6073.8631199999982"/>
    <n v="-0.58087423155607754"/>
    <n v="202307"/>
    <n v="202301"/>
    <s v="Jul-2023"/>
    <n v="6"/>
    <s v="Late"/>
    <n v="0"/>
  </r>
  <r>
    <x v="289"/>
    <d v="2025-08-28T00:00:00"/>
    <s v="Aug-2025"/>
    <s v="Q3"/>
    <d v="2025-08-30T00:00:00"/>
    <n v="2"/>
    <x v="0"/>
    <x v="1"/>
    <s v="Port Harcourt"/>
    <s v="Africa &gt; Nigeria &gt; Port Harcourt"/>
    <s v="Small Business"/>
    <s v="Retail"/>
    <s v="A. Patel"/>
    <x v="6"/>
    <s v="ACC-4483"/>
    <n v="521.05999999999995"/>
    <n v="1240.31"/>
    <s v="Medium"/>
    <n v="0.14599999999999999"/>
    <n v="18"/>
    <n v="19066.045319999997"/>
    <n v="784177.45425999991"/>
    <n v="9379.0799999999981"/>
    <n v="9686.9653199999993"/>
    <n v="0.50807417885650974"/>
    <n v="202508"/>
    <n v="202301"/>
    <s v="Aug-2023"/>
    <n v="31"/>
    <s v="On Time"/>
    <n v="1"/>
  </r>
  <r>
    <x v="290"/>
    <d v="2025-03-30T00:00:00"/>
    <s v="Mar-2025"/>
    <s v="Q1"/>
    <d v="2025-04-07T00:00:00"/>
    <n v="8"/>
    <x v="2"/>
    <x v="5"/>
    <s v="São Paulo"/>
    <s v="Americas &gt; Brazil &gt; São Paulo"/>
    <s v="Non-Profit"/>
    <s v="Direct"/>
    <s v="L. Okafor"/>
    <x v="1"/>
    <s v="PRN-8763"/>
    <n v="71.62"/>
    <n v="118.37"/>
    <s v="Low"/>
    <n v="0.156"/>
    <n v="11"/>
    <n v="1098.9470800000001"/>
    <n v="784177.45425999991"/>
    <n v="787.82"/>
    <n v="311.12708000000009"/>
    <n v="0.28311379652603474"/>
    <n v="202503"/>
    <n v="202301"/>
    <s v="Mar-2023"/>
    <n v="26"/>
    <s v="Late"/>
    <n v="0"/>
  </r>
  <r>
    <x v="291"/>
    <d v="2023-10-21T00:00:00"/>
    <s v="Oct-2023"/>
    <s v="Q4"/>
    <d v="2023-11-09T00:00:00"/>
    <n v="19"/>
    <x v="3"/>
    <x v="8"/>
    <s v="London"/>
    <s v="Europe &gt; United Kingdom &gt; London"/>
    <s v="Non-Profit"/>
    <s v="Direct"/>
    <s v="A. Patel"/>
    <x v="6"/>
    <s v="ACC-8557"/>
    <n v="1142.48"/>
    <n v="2105.5300000000002"/>
    <s v="High"/>
    <n v="0.20699999999999999"/>
    <n v="14"/>
    <n v="23375.594060000003"/>
    <n v="784177.45425999991"/>
    <n v="15994.720000000001"/>
    <n v="7380.8740600000019"/>
    <n v="0.31575129346680658"/>
    <n v="202310"/>
    <n v="202301"/>
    <s v="Oct-2023"/>
    <n v="9"/>
    <s v="Late"/>
    <n v="0"/>
  </r>
  <r>
    <x v="292"/>
    <d v="2023-08-23T00:00:00"/>
    <s v="Aug-2023"/>
    <s v="Q3"/>
    <d v="2023-09-22T00:00:00"/>
    <n v="30"/>
    <x v="3"/>
    <x v="8"/>
    <s v="London"/>
    <s v="Europe &gt; United Kingdom &gt; London"/>
    <s v="Consumer"/>
    <s v="Distributor"/>
    <s v="O. Wang"/>
    <x v="6"/>
    <s v="ACC-1492"/>
    <n v="209.81"/>
    <n v="523"/>
    <s v="Low"/>
    <n v="5.8999999999999997E-2"/>
    <n v="15"/>
    <n v="7382.1450000000004"/>
    <n v="784177.45425999991"/>
    <n v="3147.15"/>
    <n v="4234.9950000000008"/>
    <n v="0.57368082041195356"/>
    <n v="202308"/>
    <n v="202301"/>
    <s v="Aug-2023"/>
    <n v="7"/>
    <s v="Late"/>
    <n v="0"/>
  </r>
  <r>
    <x v="293"/>
    <d v="2025-04-11T00:00:00"/>
    <s v="Apr-2025"/>
    <s v="Q2"/>
    <d v="2025-05-04T00:00:00"/>
    <n v="23"/>
    <x v="1"/>
    <x v="2"/>
    <s v="Osaka"/>
    <s v="Asia &gt; Japan &gt; Osaka"/>
    <s v="Small Business"/>
    <s v="Online"/>
    <s v="M. Rossi"/>
    <x v="0"/>
    <s v="CMP-3743"/>
    <n v="786.2"/>
    <n v="1075.3"/>
    <s v="Medium"/>
    <n v="0.08"/>
    <n v="9"/>
    <n v="8903.4839999999986"/>
    <n v="784177.45425999991"/>
    <n v="7075.8"/>
    <n v="1827.6839999999984"/>
    <n v="0.20527739478163815"/>
    <n v="202504"/>
    <n v="202303"/>
    <s v="Apr-2023"/>
    <n v="25"/>
    <s v="Late"/>
    <n v="0"/>
  </r>
  <r>
    <x v="294"/>
    <d v="2025-06-01T00:00:00"/>
    <s v="Jun-2025"/>
    <s v="Q2"/>
    <d v="2025-06-27T00:00:00"/>
    <n v="26"/>
    <x v="3"/>
    <x v="6"/>
    <s v="Munich"/>
    <s v="Europe &gt; Germany &gt; Munich"/>
    <s v="Consumer"/>
    <s v="Distributor"/>
    <s v="E. Garcia"/>
    <x v="4"/>
    <s v="LAP-1619"/>
    <n v="1362.31"/>
    <n v="3294.57"/>
    <s v="High"/>
    <n v="0.113"/>
    <n v="7"/>
    <n v="20455.985130000001"/>
    <n v="775273.97025999997"/>
    <n v="9536.17"/>
    <n v="10919.815130000001"/>
    <n v="0.5338200561157721"/>
    <n v="202506"/>
    <n v="202301"/>
    <s v="Jun-2023"/>
    <n v="29"/>
    <s v="Late"/>
    <n v="0"/>
  </r>
  <r>
    <x v="295"/>
    <d v="2024-03-02T00:00:00"/>
    <s v="Mar-2024"/>
    <s v="Q1"/>
    <d v="2024-03-16T00:00:00"/>
    <n v="14"/>
    <x v="2"/>
    <x v="3"/>
    <s v="Vancouver"/>
    <s v="Americas &gt; Canada &gt; Vancouver"/>
    <s v="Non-Profit"/>
    <s v="Direct"/>
    <s v="O. Wang"/>
    <x v="1"/>
    <s v="PRN-7976"/>
    <n v="248.24"/>
    <n v="464.05"/>
    <s v="Low"/>
    <n v="0.16900000000000001"/>
    <n v="11"/>
    <n v="4241.88105"/>
    <n v="775273.97025999997"/>
    <n v="2730.6400000000003"/>
    <n v="1511.2410499999996"/>
    <n v="0.3562667203975462"/>
    <n v="202403"/>
    <n v="202301"/>
    <s v="Mar-2023"/>
    <n v="14"/>
    <s v="Late"/>
    <n v="0"/>
  </r>
  <r>
    <x v="296"/>
    <d v="2023-06-20T00:00:00"/>
    <s v="Jun-2023"/>
    <s v="Q2"/>
    <d v="2023-07-08T00:00:00"/>
    <n v="18"/>
    <x v="2"/>
    <x v="10"/>
    <s v="Austin"/>
    <s v="Americas &gt; USA &gt; Austin"/>
    <s v="Non-Profit"/>
    <s v="Direct"/>
    <s v="F. Müller"/>
    <x v="5"/>
    <s v="MON-4326"/>
    <n v="337"/>
    <n v="511.03"/>
    <s v="Low"/>
    <n v="0.108"/>
    <n v="7"/>
    <n v="3190.8713200000002"/>
    <n v="775273.97025999997"/>
    <n v="2359"/>
    <n v="831.8713200000002"/>
    <n v="0.26070349963219458"/>
    <n v="202306"/>
    <n v="202301"/>
    <s v="Jun-2023"/>
    <n v="5"/>
    <s v="Late"/>
    <n v="0"/>
  </r>
  <r>
    <x v="297"/>
    <d v="2024-03-26T00:00:00"/>
    <s v="Mar-2024"/>
    <s v="Q1"/>
    <d v="2024-04-05T00:00:00"/>
    <n v="10"/>
    <x v="2"/>
    <x v="10"/>
    <s v="Austin"/>
    <s v="Americas &gt; USA &gt; Austin"/>
    <s v="Consumer"/>
    <s v="Direct"/>
    <s v="J. Njeri"/>
    <x v="5"/>
    <s v="MON-5444"/>
    <n v="5.66"/>
    <n v="4.22"/>
    <s v="Low"/>
    <n v="0.11899999999999999"/>
    <n v="18"/>
    <n v="66.920760000000001"/>
    <n v="775273.97025999997"/>
    <n v="101.88"/>
    <n v="-34.959239999999994"/>
    <n v="-0.52239753403876454"/>
    <n v="202403"/>
    <n v="202301"/>
    <s v="Mar-2023"/>
    <n v="14"/>
    <s v="Late"/>
    <n v="0"/>
  </r>
  <r>
    <x v="298"/>
    <d v="2025-01-22T00:00:00"/>
    <s v="Jan-2025"/>
    <s v="Q1"/>
    <d v="2025-01-22T00:00:00"/>
    <n v="0"/>
    <x v="3"/>
    <x v="7"/>
    <s v="Lyon"/>
    <s v="Europe &gt; France &gt; Lyon"/>
    <s v="Small Business"/>
    <s v="Online"/>
    <s v="B. Chen"/>
    <x v="6"/>
    <s v="ACC-5422"/>
    <n v="591.72"/>
    <n v="577.24"/>
    <s v="Medium"/>
    <n v="0"/>
    <n v="22"/>
    <n v="12699.28"/>
    <n v="775273.97025999997"/>
    <n v="13017.84"/>
    <n v="-318.55999999999949"/>
    <n v="-2.5084886702238195E-2"/>
    <n v="202501"/>
    <n v="202301"/>
    <s v="Jan-2023"/>
    <n v="24"/>
    <s v="On Time"/>
    <n v="1"/>
  </r>
  <r>
    <x v="299"/>
    <d v="2025-05-10T00:00:00"/>
    <s v="May-2025"/>
    <s v="Q2"/>
    <d v="2025-05-27T00:00:00"/>
    <n v="17"/>
    <x v="2"/>
    <x v="3"/>
    <s v="Vancouver"/>
    <s v="Americas &gt; Canada &gt; Vancouver"/>
    <s v="Education"/>
    <s v="Direct"/>
    <s v="C. Otieno"/>
    <x v="0"/>
    <s v="CMP-9307"/>
    <n v="862.89"/>
    <n v="1426.03"/>
    <s v="Medium"/>
    <n v="5.6000000000000001E-2"/>
    <n v="19"/>
    <n v="25577.274079999999"/>
    <n v="775273.97025999997"/>
    <n v="16394.91"/>
    <n v="9182.3640799999994"/>
    <n v="0.35900479665188778"/>
    <n v="202505"/>
    <n v="202301"/>
    <s v="May-2023"/>
    <n v="28"/>
    <s v="Late"/>
    <n v="0"/>
  </r>
  <r>
    <x v="300"/>
    <d v="2023-10-05T00:00:00"/>
    <s v="Oct-2023"/>
    <s v="Q4"/>
    <d v="2023-10-31T00:00:00"/>
    <n v="26"/>
    <x v="1"/>
    <x v="9"/>
    <s v="Shanghai"/>
    <s v="Asia &gt; China &gt; Shanghai"/>
    <s v="Consumer"/>
    <s v="Not Provided"/>
    <s v="J. Njeri"/>
    <x v="1"/>
    <s v="PRN-6520"/>
    <n v="649.91"/>
    <n v="1360.12"/>
    <s v="Medium"/>
    <n v="0.19400000000000001"/>
    <n v="9"/>
    <n v="9866.3104799999983"/>
    <n v="749696.69617999985"/>
    <n v="5849.19"/>
    <n v="4017.1204799999987"/>
    <n v="0.40715528749506769"/>
    <n v="202310"/>
    <n v="202301"/>
    <s v="Oct-2023"/>
    <n v="9"/>
    <s v="Late"/>
    <n v="0"/>
  </r>
  <r>
    <x v="301"/>
    <d v="2023-07-18T00:00:00"/>
    <s v="Jul-2023"/>
    <s v="Q3"/>
    <d v="2023-07-22T00:00:00"/>
    <n v="4"/>
    <x v="2"/>
    <x v="5"/>
    <s v="São Paulo"/>
    <s v="Americas &gt; Brazil &gt; São Paulo"/>
    <s v="Consumer"/>
    <s v="Direct"/>
    <s v="F. Müller"/>
    <x v="2"/>
    <s v="NET-1699"/>
    <n v="1269.55"/>
    <n v="2071.1"/>
    <s v="High"/>
    <n v="0.129"/>
    <n v="22"/>
    <n v="39686.4182"/>
    <n v="749696.69617999985"/>
    <n v="27930.1"/>
    <n v="11756.318200000002"/>
    <n v="0.29623026549672354"/>
    <n v="202307"/>
    <n v="202301"/>
    <s v="Jul-2023"/>
    <n v="6"/>
    <s v="On Time"/>
    <n v="1"/>
  </r>
  <r>
    <x v="302"/>
    <d v="2025-06-22T00:00:00"/>
    <s v="Jun-2025"/>
    <s v="Q2"/>
    <d v="2025-07-08T00:00:00"/>
    <n v="16"/>
    <x v="3"/>
    <x v="8"/>
    <s v="London"/>
    <s v="Europe &gt; United Kingdom &gt; London"/>
    <s v="Education"/>
    <s v="Direct"/>
    <s v="A. Patel"/>
    <x v="3"/>
    <s v="PHN-5316"/>
    <n v="892.73"/>
    <n v="979.84"/>
    <s v="Medium"/>
    <n v="0.17399999999999999"/>
    <n v="10"/>
    <n v="8093.4784"/>
    <n v="749696.69617999985"/>
    <n v="8927.2999999999993"/>
    <n v="-833.82159999999931"/>
    <n v="-0.10302388649112838"/>
    <n v="202506"/>
    <n v="202301"/>
    <s v="Jun-2023"/>
    <n v="29"/>
    <s v="Late"/>
    <n v="0"/>
  </r>
  <r>
    <x v="303"/>
    <d v="2024-06-19T00:00:00"/>
    <s v="Jun-2024"/>
    <s v="Q2"/>
    <d v="2024-06-20T00:00:00"/>
    <n v="1"/>
    <x v="0"/>
    <x v="0"/>
    <s v="Kisumu"/>
    <s v="Africa &gt; Kenya &gt; Kisumu"/>
    <s v="Small Business"/>
    <s v="Direct"/>
    <s v="J. Njeri"/>
    <x v="4"/>
    <s v="LAP-4607"/>
    <n v="231.63"/>
    <n v="537.39"/>
    <s v="Low"/>
    <n v="0.08"/>
    <n v="12"/>
    <n v="5932.7856000000002"/>
    <n v="749696.69617999985"/>
    <n v="2779.56"/>
    <n v="3153.2256000000002"/>
    <n v="0.53149158129024587"/>
    <n v="202406"/>
    <n v="202301"/>
    <s v="Jun-2023"/>
    <n v="17"/>
    <s v="On Time"/>
    <n v="1"/>
  </r>
  <r>
    <x v="304"/>
    <d v="2025-04-09T00:00:00"/>
    <s v="Apr-2025"/>
    <s v="Q2"/>
    <d v="2025-04-12T00:00:00"/>
    <n v="3"/>
    <x v="3"/>
    <x v="7"/>
    <s v="Lyon"/>
    <s v="Europe &gt; France &gt; Lyon"/>
    <s v="Small Business"/>
    <s v="Distributor"/>
    <s v="H. Kim"/>
    <x v="5"/>
    <s v="MON-5276"/>
    <n v="86.68"/>
    <n v="213.32"/>
    <s v="Low"/>
    <n v="3.7999999999999999E-2"/>
    <n v="8"/>
    <n v="1641.7107199999998"/>
    <n v="749696.69617999985"/>
    <n v="693.44"/>
    <n v="948.27071999999976"/>
    <n v="0.57761133459614611"/>
    <n v="202504"/>
    <n v="202301"/>
    <s v="Apr-2023"/>
    <n v="27"/>
    <s v="On Time"/>
    <n v="1"/>
  </r>
  <r>
    <x v="305"/>
    <d v="2025-03-25T00:00:00"/>
    <s v="Mar-2025"/>
    <s v="Q1"/>
    <d v="2025-03-26T00:00:00"/>
    <n v="1"/>
    <x v="0"/>
    <x v="1"/>
    <s v="Lagos"/>
    <s v="Africa &gt; Nigeria &gt; Lagos"/>
    <s v="Education"/>
    <s v="Distributor"/>
    <s v="G. Dubois"/>
    <x v="6"/>
    <s v="ACC-9533"/>
    <n v="1450.43"/>
    <n v="1994.67"/>
    <s v="High"/>
    <n v="0.1"/>
    <n v="24"/>
    <n v="43084.872000000003"/>
    <n v="749696.69617999985"/>
    <n v="34810.32"/>
    <n v="8274.5520000000033"/>
    <n v="0.19205237513529116"/>
    <n v="202503"/>
    <n v="202301"/>
    <s v="Mar-2023"/>
    <n v="26"/>
    <s v="On Time"/>
    <n v="1"/>
  </r>
  <r>
    <x v="306"/>
    <d v="2025-05-18T00:00:00"/>
    <s v="May-2025"/>
    <s v="Q2"/>
    <d v="2025-06-09T00:00:00"/>
    <n v="22"/>
    <x v="2"/>
    <x v="10"/>
    <s v="New York"/>
    <s v="Americas &gt; USA &gt; New York"/>
    <s v="Consumer"/>
    <s v="Retail"/>
    <s v="H. Kim"/>
    <x v="2"/>
    <s v="NET-3749"/>
    <n v="382.96"/>
    <n v="552.84"/>
    <s v="Low"/>
    <n v="0.17599999999999999"/>
    <n v="8"/>
    <n v="3644.3212800000006"/>
    <n v="749696.69617999985"/>
    <n v="3063.68"/>
    <n v="580.64128000000073"/>
    <n v="0.15932768693763483"/>
    <n v="202505"/>
    <n v="202301"/>
    <s v="May-2023"/>
    <n v="28"/>
    <s v="Late"/>
    <n v="0"/>
  </r>
  <r>
    <x v="307"/>
    <d v="2025-01-22T00:00:00"/>
    <s v="Jan-2025"/>
    <s v="Q1"/>
    <d v="2025-02-04T00:00:00"/>
    <n v="13"/>
    <x v="1"/>
    <x v="2"/>
    <s v="Tokyo"/>
    <s v="Asia &gt; Japan &gt; Tokyo"/>
    <s v="Small Business"/>
    <s v="Distributor"/>
    <s v="L. Okafor"/>
    <x v="1"/>
    <s v="PRN-2991"/>
    <n v="122.29"/>
    <n v="224.95"/>
    <s v="Low"/>
    <n v="0.153"/>
    <n v="28"/>
    <n v="5334.9141999999993"/>
    <n v="749696.69617999985"/>
    <n v="3424.1200000000003"/>
    <n v="1910.7941999999989"/>
    <n v="0.3581677471026618"/>
    <n v="202501"/>
    <n v="202303"/>
    <s v="Jan-2023"/>
    <n v="22"/>
    <s v="Late"/>
    <n v="0"/>
  </r>
  <r>
    <x v="308"/>
    <d v="2023-01-10T00:00:00"/>
    <s v="Jan-2023"/>
    <s v="Q1"/>
    <d v="2023-01-29T00:00:00"/>
    <n v="19"/>
    <x v="3"/>
    <x v="7"/>
    <s v="Lyon"/>
    <s v="Europe &gt; France &gt; Lyon"/>
    <s v="Non-Profit"/>
    <s v="Direct"/>
    <s v="D. Smith"/>
    <x v="4"/>
    <s v="LAP-4551"/>
    <n v="401.66"/>
    <n v="772.09"/>
    <s v="Low"/>
    <n v="8.8999999999999996E-2"/>
    <n v="14"/>
    <n v="9847.2358600000007"/>
    <n v="749696.69617999985"/>
    <n v="5623.2400000000007"/>
    <n v="4223.99586"/>
    <n v="0.42895244107619046"/>
    <n v="202301"/>
    <n v="202301"/>
    <s v="Jan-2023"/>
    <n v="0"/>
    <s v="Late"/>
    <n v="0"/>
  </r>
  <r>
    <x v="309"/>
    <d v="2024-12-29T00:00:00"/>
    <s v="Dec-2024"/>
    <s v="Q4"/>
    <d v="2025-01-12T00:00:00"/>
    <n v="14"/>
    <x v="3"/>
    <x v="8"/>
    <s v="Manchester"/>
    <s v="Europe &gt; United Kingdom &gt; Manchester"/>
    <s v="Corporate"/>
    <s v="Direct"/>
    <s v="B. Chen"/>
    <x v="5"/>
    <s v="MON-6310"/>
    <n v="1399.72"/>
    <n v="3149.21"/>
    <s v="High"/>
    <n v="0.185"/>
    <n v="12"/>
    <n v="30799.273800000003"/>
    <n v="749696.69617999985"/>
    <n v="16796.64"/>
    <n v="14002.633800000003"/>
    <n v="0.45464168703873797"/>
    <n v="202412"/>
    <n v="202301"/>
    <s v="Dec-2023"/>
    <n v="23"/>
    <s v="Late"/>
    <n v="0"/>
  </r>
  <r>
    <x v="310"/>
    <d v="2024-05-23T00:00:00"/>
    <s v="May-2024"/>
    <s v="Q2"/>
    <d v="2024-06-06T00:00:00"/>
    <n v="14"/>
    <x v="2"/>
    <x v="5"/>
    <s v="Rio de Janeiro"/>
    <s v="Americas &gt; Brazil &gt; Rio de Janeiro"/>
    <s v="Non-Profit"/>
    <s v="Online"/>
    <s v="I. Johnson"/>
    <x v="2"/>
    <s v="NET-1166"/>
    <n v="51.13"/>
    <n v="57.53"/>
    <s v="Low"/>
    <n v="4.4999999999999998E-2"/>
    <n v="16"/>
    <n v="879.05840000000001"/>
    <n v="749696.69617999985"/>
    <n v="818.08"/>
    <n v="60.978399999999965"/>
    <n v="6.9367859973808302E-2"/>
    <n v="202405"/>
    <n v="202301"/>
    <s v="May-2023"/>
    <n v="16"/>
    <s v="Late"/>
    <n v="0"/>
  </r>
  <r>
    <x v="311"/>
    <d v="2023-06-24T00:00:00"/>
    <s v="Jun-2023"/>
    <s v="Q2"/>
    <d v="2023-06-26T00:00:00"/>
    <n v="2"/>
    <x v="2"/>
    <x v="3"/>
    <s v="Toronto"/>
    <s v="Americas &gt; Canada &gt; Toronto"/>
    <s v="Non-Profit"/>
    <s v="Retail"/>
    <s v="M. Rossi"/>
    <x v="6"/>
    <s v="ACC-2903"/>
    <n v="471.42"/>
    <n v="824.81"/>
    <s v="Low"/>
    <n v="8.7999999999999995E-2"/>
    <n v="15"/>
    <n v="11283.400799999999"/>
    <n v="749696.69617999985"/>
    <n v="7071.3"/>
    <n v="4212.1007999999993"/>
    <n v="0.37330064531608231"/>
    <n v="202306"/>
    <n v="202301"/>
    <s v="Jun-2023"/>
    <n v="5"/>
    <s v="On Time"/>
    <n v="1"/>
  </r>
  <r>
    <x v="312"/>
    <d v="2024-11-04T00:00:00"/>
    <s v="Nov-2024"/>
    <s v="Q4"/>
    <d v="2024-11-05T00:00:00"/>
    <n v="1"/>
    <x v="3"/>
    <x v="8"/>
    <s v="London"/>
    <s v="Europe &gt; United Kingdom &gt; London"/>
    <s v="Corporate"/>
    <s v="Retail"/>
    <s v="M. Rossi"/>
    <x v="1"/>
    <s v="PRN-2293"/>
    <n v="840.68"/>
    <n v="1493.53"/>
    <s v="Medium"/>
    <n v="0"/>
    <n v="27"/>
    <n v="40325.31"/>
    <n v="749696.69617999985"/>
    <n v="22698.359999999997"/>
    <n v="17626.95"/>
    <n v="0.43711877230454027"/>
    <n v="202411"/>
    <n v="202301"/>
    <s v="Nov-2023"/>
    <n v="22"/>
    <s v="On Time"/>
    <n v="1"/>
  </r>
  <r>
    <x v="313"/>
    <d v="2024-06-08T00:00:00"/>
    <s v="Jun-2024"/>
    <s v="Q2"/>
    <d v="2024-06-24T00:00:00"/>
    <n v="16"/>
    <x v="0"/>
    <x v="11"/>
    <s v="Durban"/>
    <s v="Africa &gt; South Africa &gt; Durban"/>
    <s v="Education"/>
    <s v="Distributor"/>
    <s v="H. Kim"/>
    <x v="5"/>
    <s v="MON-1389"/>
    <n v="597.85"/>
    <n v="741.92"/>
    <s v="Medium"/>
    <n v="3.1E-2"/>
    <n v="7"/>
    <n v="5032.4433599999993"/>
    <n v="749696.69617999985"/>
    <n v="4184.95"/>
    <n v="847.49335999999948"/>
    <n v="0.16840594108544515"/>
    <n v="202406"/>
    <n v="202301"/>
    <s v="Jun-2023"/>
    <n v="17"/>
    <s v="Late"/>
    <n v="0"/>
  </r>
  <r>
    <x v="314"/>
    <d v="2025-06-01T00:00:00"/>
    <s v="Jun-2025"/>
    <s v="Q2"/>
    <d v="2025-06-06T00:00:00"/>
    <n v="5"/>
    <x v="3"/>
    <x v="7"/>
    <s v="Paris"/>
    <s v="Europe &gt; France &gt; Paris"/>
    <s v="Consumer"/>
    <s v="Distributor"/>
    <s v="G. Dubois"/>
    <x v="0"/>
    <s v="CMP-4093"/>
    <n v="379.45"/>
    <n v="742.23"/>
    <s v="Low"/>
    <n v="0.09"/>
    <n v="13"/>
    <n v="8780.5809000000008"/>
    <n v="749696.69617999985"/>
    <n v="4932.8499999999995"/>
    <n v="3847.7309000000014"/>
    <n v="0.43820915083192286"/>
    <n v="202506"/>
    <n v="202301"/>
    <s v="Jun-2023"/>
    <n v="29"/>
    <s v="On Time"/>
    <n v="1"/>
  </r>
  <r>
    <x v="315"/>
    <d v="2023-05-06T00:00:00"/>
    <s v="May-2023"/>
    <s v="Q2"/>
    <d v="2023-05-14T00:00:00"/>
    <n v="8"/>
    <x v="1"/>
    <x v="2"/>
    <s v="Osaka"/>
    <s v="Asia &gt; Japan &gt; Osaka"/>
    <s v="Enterprise"/>
    <s v="Marketplace"/>
    <s v="B. Chen"/>
    <x v="3"/>
    <s v="PHN-6131"/>
    <n v="291.18"/>
    <n v="479.54"/>
    <s v="Low"/>
    <n v="0.14099999999999999"/>
    <n v="22"/>
    <n v="9062.34692"/>
    <n v="740916.11527999991"/>
    <n v="6405.96"/>
    <n v="2656.3869199999999"/>
    <n v="0.29312350801066001"/>
    <n v="202305"/>
    <n v="202303"/>
    <s v="May-2023"/>
    <n v="2"/>
    <s v="Late"/>
    <n v="0"/>
  </r>
  <r>
    <x v="316"/>
    <d v="2023-11-14T00:00:00"/>
    <s v="Nov-2023"/>
    <s v="Q4"/>
    <d v="2023-11-30T00:00:00"/>
    <n v="16"/>
    <x v="2"/>
    <x v="5"/>
    <s v="São Paulo"/>
    <s v="Americas &gt; Brazil &gt; São Paulo"/>
    <s v="Enterprise"/>
    <s v="Direct"/>
    <s v="K. Singh"/>
    <x v="2"/>
    <s v="NET-4104"/>
    <n v="1017.92"/>
    <n v="1175.25"/>
    <s v="High"/>
    <n v="7.4999999999999997E-2"/>
    <n v="15"/>
    <n v="16306.59375"/>
    <n v="740916.11527999991"/>
    <n v="15268.8"/>
    <n v="1037.7937500000007"/>
    <n v="6.3642583234159542E-2"/>
    <n v="202311"/>
    <n v="202301"/>
    <s v="Nov-2023"/>
    <n v="10"/>
    <s v="Late"/>
    <n v="0"/>
  </r>
  <r>
    <x v="317"/>
    <d v="2025-04-01T00:00:00"/>
    <s v="Apr-2025"/>
    <s v="Q2"/>
    <d v="2025-04-27T00:00:00"/>
    <n v="26"/>
    <x v="2"/>
    <x v="10"/>
    <s v="San Francisco"/>
    <s v="Americas &gt; USA &gt; San Francisco"/>
    <s v="Corporate"/>
    <s v="Direct"/>
    <s v="I. Johnson"/>
    <x v="5"/>
    <s v="MON-9319"/>
    <n v="156.55000000000001"/>
    <n v="227.45"/>
    <s v="Low"/>
    <n v="1.4E-2"/>
    <n v="13"/>
    <n v="2915.4540999999999"/>
    <n v="740916.11527999991"/>
    <n v="2035.15"/>
    <n v="880.30409999999983"/>
    <n v="0.3019440779396938"/>
    <n v="202504"/>
    <n v="202301"/>
    <s v="Apr-2023"/>
    <n v="27"/>
    <s v="Late"/>
    <n v="0"/>
  </r>
  <r>
    <x v="318"/>
    <d v="2023-03-23T00:00:00"/>
    <s v="Mar-2023"/>
    <s v="Q1"/>
    <d v="2023-04-15T00:00:00"/>
    <n v="23"/>
    <x v="0"/>
    <x v="0"/>
    <s v="Mombasa"/>
    <s v="Africa &gt; Kenya &gt; Mombasa"/>
    <s v="Small Business"/>
    <s v="Retail"/>
    <s v="C. Otieno"/>
    <x v="6"/>
    <s v="ACC-2988"/>
    <n v="875.36"/>
    <n v="1178.6199999999999"/>
    <s v="Medium"/>
    <n v="0.151"/>
    <n v="53"/>
    <n v="53034.364139999991"/>
    <n v="740916.11527999991"/>
    <n v="46394.080000000002"/>
    <n v="6640.2841399999888"/>
    <n v="0.12520719815685888"/>
    <n v="202303"/>
    <n v="202301"/>
    <s v="Mar-2023"/>
    <n v="2"/>
    <s v="Late"/>
    <n v="0"/>
  </r>
  <r>
    <x v="319"/>
    <d v="2024-05-28T00:00:00"/>
    <s v="May-2024"/>
    <s v="Q2"/>
    <d v="2024-06-18T00:00:00"/>
    <n v="21"/>
    <x v="3"/>
    <x v="6"/>
    <s v="Frankfurt"/>
    <s v="Europe &gt; Germany &gt; Frankfurt"/>
    <s v="Small Business"/>
    <s v="Online"/>
    <s v="E. Garcia"/>
    <x v="3"/>
    <s v="PHN-9399"/>
    <n v="986.85"/>
    <n v="2422.1"/>
    <s v="Medium"/>
    <n v="7.5999999999999998E-2"/>
    <n v="10"/>
    <n v="22380.204000000002"/>
    <n v="740916.11527999991"/>
    <n v="9868.5"/>
    <n v="12511.704000000002"/>
    <n v="0.55905227673527913"/>
    <n v="202405"/>
    <n v="202301"/>
    <s v="May-2023"/>
    <n v="16"/>
    <s v="Late"/>
    <n v="0"/>
  </r>
  <r>
    <x v="320"/>
    <d v="2024-01-02T00:00:00"/>
    <s v="Jan-2024"/>
    <s v="Q1"/>
    <d v="2024-01-03T00:00:00"/>
    <n v="1"/>
    <x v="2"/>
    <x v="10"/>
    <s v="Chicago"/>
    <s v="Americas &gt; USA &gt; Chicago"/>
    <s v="Education"/>
    <s v="Marketplace"/>
    <s v="B. Chen"/>
    <x v="2"/>
    <s v="NET-4554"/>
    <n v="404.77"/>
    <n v="433.88"/>
    <s v="Low"/>
    <n v="0.215"/>
    <n v="22"/>
    <n v="7493.1076000000012"/>
    <n v="740916.11527999991"/>
    <n v="8904.9399999999987"/>
    <n v="-1411.8323999999975"/>
    <n v="-0.18841747314558746"/>
    <n v="202401"/>
    <n v="202301"/>
    <s v="Jan-2023"/>
    <n v="12"/>
    <s v="On Time"/>
    <n v="1"/>
  </r>
  <r>
    <x v="321"/>
    <d v="2023-02-28T00:00:00"/>
    <s v="Feb-2023"/>
    <s v="Q1"/>
    <d v="2023-03-01T00:00:00"/>
    <n v="1"/>
    <x v="3"/>
    <x v="7"/>
    <s v="Marseille"/>
    <s v="Europe &gt; France &gt; Marseille"/>
    <s v="Corporate"/>
    <s v="Retail"/>
    <s v="K. Singh"/>
    <x v="2"/>
    <s v="NET-5195"/>
    <n v="1299.81"/>
    <n v="3149.13"/>
    <s v="High"/>
    <n v="0.10299999999999999"/>
    <n v="14"/>
    <n v="39546.774539999999"/>
    <n v="740916.11527999991"/>
    <n v="18197.34"/>
    <n v="21349.434539999998"/>
    <n v="0.53985273864511729"/>
    <n v="202302"/>
    <n v="202301"/>
    <s v="Feb-2023"/>
    <n v="1"/>
    <s v="On Time"/>
    <n v="1"/>
  </r>
  <r>
    <x v="322"/>
    <d v="2024-02-18T00:00:00"/>
    <s v="Feb-2024"/>
    <s v="Q1"/>
    <d v="2024-03-11T00:00:00"/>
    <n v="22"/>
    <x v="2"/>
    <x v="5"/>
    <s v="São Paulo"/>
    <s v="Americas &gt; Brazil &gt; São Paulo"/>
    <s v="Consumer"/>
    <s v="Online"/>
    <s v="A. Patel"/>
    <x v="0"/>
    <s v="CMP-9801"/>
    <n v="80.48"/>
    <n v="65.650000000000006"/>
    <s v="Low"/>
    <n v="0.17599999999999999"/>
    <n v="13"/>
    <n v="703.2428000000001"/>
    <n v="740916.11527999991"/>
    <n v="1046.24"/>
    <n v="-342.99719999999991"/>
    <n v="-0.48773652570634191"/>
    <n v="202402"/>
    <n v="202301"/>
    <s v="Feb-2023"/>
    <n v="13"/>
    <s v="Late"/>
    <n v="0"/>
  </r>
  <r>
    <x v="323"/>
    <d v="2024-09-09T00:00:00"/>
    <s v="Sept-2024"/>
    <s v="Q3"/>
    <d v="2024-10-08T00:00:00"/>
    <n v="29"/>
    <x v="2"/>
    <x v="5"/>
    <s v="São Paulo"/>
    <s v="Americas &gt; Brazil &gt; São Paulo"/>
    <s v="Education"/>
    <s v="Direct"/>
    <s v="J. Njeri"/>
    <x v="0"/>
    <s v="CMP-3093"/>
    <n v="1010.33"/>
    <n v="2492.14"/>
    <s v="High"/>
    <n v="5.0999999999999997E-2"/>
    <n v="11"/>
    <n v="26015.449459999996"/>
    <n v="740212.8724799999"/>
    <n v="11113.630000000001"/>
    <n v="14901.819459999995"/>
    <n v="0.57280653493656752"/>
    <n v="202409"/>
    <n v="202301"/>
    <s v="Sept-2023"/>
    <n v="20"/>
    <s v="Late"/>
    <n v="0"/>
  </r>
  <r>
    <x v="324"/>
    <d v="2023-05-07T00:00:00"/>
    <s v="May-2023"/>
    <s v="Q2"/>
    <d v="2023-05-29T00:00:00"/>
    <n v="22"/>
    <x v="0"/>
    <x v="11"/>
    <s v="Durban"/>
    <s v="Africa &gt; South Africa &gt; Durban"/>
    <s v="Education"/>
    <s v="Distributor"/>
    <s v="K. Singh"/>
    <x v="6"/>
    <s v="ACC-2364"/>
    <n v="653.86"/>
    <n v="931.84"/>
    <s v="Medium"/>
    <n v="0.121"/>
    <n v="12"/>
    <n v="9829.0483199999999"/>
    <n v="714197.42301999987"/>
    <n v="7846.32"/>
    <n v="1982.7283200000002"/>
    <n v="0.20172129136506273"/>
    <n v="202305"/>
    <n v="202301"/>
    <s v="May-2023"/>
    <n v="4"/>
    <s v="Late"/>
    <n v="0"/>
  </r>
  <r>
    <x v="325"/>
    <d v="2024-01-12T00:00:00"/>
    <s v="Jan-2024"/>
    <s v="Q1"/>
    <d v="2024-01-29T00:00:00"/>
    <n v="17"/>
    <x v="1"/>
    <x v="4"/>
    <s v="Hyderabad"/>
    <s v="Asia &gt; India &gt; Hyderabad"/>
    <s v="Small Business"/>
    <s v="Direct"/>
    <s v="B. Chen"/>
    <x v="0"/>
    <s v="CMP-5138"/>
    <n v="310.02"/>
    <n v="619.51"/>
    <s v="Low"/>
    <n v="4.2000000000000003E-2"/>
    <n v="4"/>
    <n v="2373.9623200000001"/>
    <n v="714197.42301999987"/>
    <n v="1240.08"/>
    <n v="1133.8823200000002"/>
    <n v="0.47763282106347843"/>
    <n v="202401"/>
    <n v="202301"/>
    <s v="Jan-2023"/>
    <n v="12"/>
    <s v="Late"/>
    <n v="0"/>
  </r>
  <r>
    <x v="326"/>
    <d v="2023-06-10T00:00:00"/>
    <s v="Jun-2023"/>
    <s v="Q2"/>
    <d v="2023-06-18T00:00:00"/>
    <n v="8"/>
    <x v="0"/>
    <x v="0"/>
    <s v="Nakuru"/>
    <s v="Africa &gt; Kenya &gt; Nakuru"/>
    <s v="Enterprise"/>
    <s v="Direct"/>
    <s v="H. Kim"/>
    <x v="3"/>
    <s v="PHN-2337"/>
    <n v="894.23"/>
    <n v="1421.55"/>
    <s v="Medium"/>
    <n v="0.109"/>
    <n v="3"/>
    <n v="3799.8031499999997"/>
    <n v="711823.46069999994"/>
    <n v="2682.69"/>
    <n v="1117.1131499999997"/>
    <n v="0.29399237431549574"/>
    <n v="202306"/>
    <n v="202301"/>
    <s v="Jun-2023"/>
    <n v="5"/>
    <s v="Late"/>
    <n v="0"/>
  </r>
  <r>
    <x v="327"/>
    <d v="2025-05-19T00:00:00"/>
    <s v="May-2025"/>
    <s v="Q2"/>
    <d v="2025-05-21T00:00:00"/>
    <n v="2"/>
    <x v="2"/>
    <x v="5"/>
    <s v="São Paulo"/>
    <s v="Americas &gt; Brazil &gt; São Paulo"/>
    <s v="Small Business"/>
    <s v="Distributor"/>
    <s v="L. Okafor"/>
    <x v="5"/>
    <s v="MON-2993"/>
    <n v="383.77"/>
    <n v="952.56"/>
    <s v="Low"/>
    <n v="0.34599999999999997"/>
    <n v="10"/>
    <n v="6229.7423999999992"/>
    <n v="711823.46069999994"/>
    <n v="3837.7"/>
    <n v="2392.0423999999994"/>
    <n v="0.38397131797937578"/>
    <n v="202505"/>
    <n v="202301"/>
    <s v="May-2023"/>
    <n v="28"/>
    <s v="On Time"/>
    <n v="1"/>
  </r>
  <r>
    <x v="328"/>
    <d v="2023-10-22T00:00:00"/>
    <s v="Oct-2023"/>
    <s v="Q4"/>
    <d v="2023-11-16T00:00:00"/>
    <n v="25"/>
    <x v="2"/>
    <x v="3"/>
    <s v="Toronto"/>
    <s v="Americas &gt; Canada &gt; Toronto"/>
    <s v="Small Business"/>
    <s v="Marketplace"/>
    <s v="I. Johnson"/>
    <x v="4"/>
    <s v="LAP-9024"/>
    <n v="1373.31"/>
    <n v="3154.14"/>
    <s v="High"/>
    <n v="0.2"/>
    <n v="11"/>
    <n v="27756.432000000001"/>
    <n v="711823.46069999994"/>
    <n v="15106.41"/>
    <n v="12650.022000000001"/>
    <n v="0.45575101295440279"/>
    <n v="202310"/>
    <n v="202301"/>
    <s v="Oct-2023"/>
    <n v="9"/>
    <s v="Late"/>
    <n v="0"/>
  </r>
  <r>
    <x v="329"/>
    <d v="2025-01-11T00:00:00"/>
    <s v="Jan-2025"/>
    <s v="Q1"/>
    <d v="2025-01-23T00:00:00"/>
    <n v="12"/>
    <x v="2"/>
    <x v="10"/>
    <s v="Austin"/>
    <s v="Americas &gt; USA &gt; Austin"/>
    <s v="Consumer"/>
    <s v="Distributor"/>
    <s v="H. Kim"/>
    <x v="3"/>
    <s v="PHN-6307"/>
    <n v="100.69"/>
    <n v="226.14"/>
    <s v="Low"/>
    <n v="6.5000000000000002E-2"/>
    <n v="12"/>
    <n v="2537.2908000000002"/>
    <n v="711823.46069999994"/>
    <n v="1208.28"/>
    <n v="1329.0108000000002"/>
    <n v="0.52379128162999689"/>
    <n v="202501"/>
    <n v="202301"/>
    <s v="Jan-2023"/>
    <n v="24"/>
    <s v="Late"/>
    <n v="0"/>
  </r>
  <r>
    <x v="330"/>
    <d v="2025-09-14T00:00:00"/>
    <s v="Sept-2025"/>
    <s v="Q3"/>
    <d v="2025-09-26T00:00:00"/>
    <n v="12"/>
    <x v="3"/>
    <x v="8"/>
    <s v="London"/>
    <s v="Europe &gt; United Kingdom &gt; London"/>
    <s v="Small Business"/>
    <s v="Direct"/>
    <s v="N. Brown"/>
    <x v="2"/>
    <s v="NET-9003"/>
    <n v="425.15"/>
    <n v="885.92"/>
    <s v="Low"/>
    <n v="0.23899999999999999"/>
    <n v="13"/>
    <n v="8764.4065599999994"/>
    <n v="711823.46069999994"/>
    <n v="5526.95"/>
    <n v="3237.4565599999996"/>
    <n v="0.3693868532725848"/>
    <n v="202509"/>
    <n v="202301"/>
    <s v="Sept-2023"/>
    <n v="32"/>
    <s v="Late"/>
    <n v="0"/>
  </r>
  <r>
    <x v="331"/>
    <d v="2023-08-30T00:00:00"/>
    <s v="Aug-2023"/>
    <s v="Q3"/>
    <d v="2023-09-03T00:00:00"/>
    <n v="4"/>
    <x v="1"/>
    <x v="4"/>
    <s v="Delhi"/>
    <s v="Asia &gt; India &gt; Delhi"/>
    <s v="Small Business"/>
    <s v="Marketplace"/>
    <s v="L. Okafor"/>
    <x v="6"/>
    <s v="ACC-3068"/>
    <n v="1082.25"/>
    <n v="2433.34"/>
    <s v="High"/>
    <n v="0.27"/>
    <n v="4"/>
    <n v="7105.3528000000006"/>
    <n v="711823.46069999994"/>
    <n v="4329"/>
    <n v="2776.3528000000006"/>
    <n v="0.3907410199251472"/>
    <n v="202308"/>
    <n v="202301"/>
    <s v="Aug-2023"/>
    <n v="7"/>
    <s v="On Time"/>
    <n v="1"/>
  </r>
  <r>
    <x v="332"/>
    <d v="2023-11-15T00:00:00"/>
    <s v="Nov-2023"/>
    <s v="Q4"/>
    <d v="2023-12-06T00:00:00"/>
    <n v="21"/>
    <x v="3"/>
    <x v="8"/>
    <s v="Manchester"/>
    <s v="Europe &gt; United Kingdom &gt; Manchester"/>
    <s v="Education"/>
    <s v="Direct"/>
    <s v="H. Kim"/>
    <x v="6"/>
    <s v="ACC-1060"/>
    <n v="1184.99"/>
    <n v="1154.3399999999999"/>
    <s v="High"/>
    <n v="2.8000000000000001E-2"/>
    <n v="5"/>
    <n v="5610.0923999999995"/>
    <n v="711823.46069999994"/>
    <n v="5924.95"/>
    <n v="-314.85760000000028"/>
    <n v="-5.6123424990290764E-2"/>
    <n v="202311"/>
    <n v="202301"/>
    <s v="Nov-2023"/>
    <n v="10"/>
    <s v="Late"/>
    <n v="0"/>
  </r>
  <r>
    <x v="333"/>
    <d v="2025-04-27T00:00:00"/>
    <s v="Apr-2025"/>
    <s v="Q2"/>
    <d v="2025-05-27T00:00:00"/>
    <n v="30"/>
    <x v="1"/>
    <x v="4"/>
    <s v="Not Provided"/>
    <s v="Asia &gt; India &gt; Not Provided"/>
    <s v="Enterprise"/>
    <s v="Marketplace"/>
    <s v="H. Kim"/>
    <x v="3"/>
    <s v="PHN-3854"/>
    <n v="481.32"/>
    <n v="1135.99"/>
    <s v="Low"/>
    <n v="0.14499999999999999"/>
    <n v="5"/>
    <n v="4856.35725"/>
    <n v="711823.46069999994"/>
    <n v="2406.6"/>
    <n v="2449.7572500000001"/>
    <n v="0.50444337677175621"/>
    <n v="202504"/>
    <n v="202301"/>
    <s v="Apr-2023"/>
    <n v="27"/>
    <s v="Late"/>
    <n v="0"/>
  </r>
  <r>
    <x v="334"/>
    <d v="2024-04-09T00:00:00"/>
    <s v="Apr-2024"/>
    <s v="Q2"/>
    <d v="2024-04-18T00:00:00"/>
    <n v="9"/>
    <x v="3"/>
    <x v="7"/>
    <s v="Lyon"/>
    <s v="Europe &gt; France &gt; Lyon"/>
    <s v="Consumer"/>
    <s v="Online"/>
    <s v="E. Garcia"/>
    <x v="1"/>
    <s v="PRN-1086"/>
    <n v="1288.8499999999999"/>
    <n v="2751.84"/>
    <s v="High"/>
    <n v="0.158"/>
    <n v="7"/>
    <n v="16219.34496"/>
    <n v="711823.46069999994"/>
    <n v="9021.9499999999989"/>
    <n v="7197.3949600000014"/>
    <n v="0.44375373837538756"/>
    <n v="202404"/>
    <n v="202301"/>
    <s v="Apr-2023"/>
    <n v="15"/>
    <s v="Late"/>
    <n v="0"/>
  </r>
  <r>
    <x v="335"/>
    <d v="2024-07-11T00:00:00"/>
    <s v="Jul-2024"/>
    <s v="Q3"/>
    <d v="2024-07-31T00:00:00"/>
    <n v="20"/>
    <x v="1"/>
    <x v="9"/>
    <s v="Shenzhen"/>
    <s v="Asia &gt; China &gt; Shenzhen"/>
    <s v="Consumer"/>
    <s v="Online"/>
    <s v="G. Dubois"/>
    <x v="3"/>
    <s v="PHN-7815"/>
    <n v="647.26"/>
    <n v="1374.72"/>
    <s v="Medium"/>
    <n v="6.6000000000000003E-2"/>
    <n v="22"/>
    <n v="28247.74656"/>
    <n v="711823.46069999994"/>
    <n v="14239.72"/>
    <n v="14008.02656"/>
    <n v="0.49589890401508901"/>
    <n v="202407"/>
    <n v="202301"/>
    <s v="Jul-2023"/>
    <n v="18"/>
    <s v="Late"/>
    <n v="0"/>
  </r>
  <r>
    <x v="336"/>
    <d v="2024-02-18T00:00:00"/>
    <s v="Feb-2024"/>
    <s v="Q1"/>
    <d v="2024-03-03T00:00:00"/>
    <n v="14"/>
    <x v="2"/>
    <x v="5"/>
    <s v="Not Provided"/>
    <s v="Americas &gt; Brazil &gt; Not Provided"/>
    <s v="Enterprise"/>
    <s v="Distributor"/>
    <s v="A. Patel"/>
    <x v="1"/>
    <s v="PRN-5384"/>
    <n v="624.23"/>
    <n v="1318.37"/>
    <s v="Medium"/>
    <n v="0.21"/>
    <n v="37"/>
    <n v="38535.955099999999"/>
    <n v="711823.46069999994"/>
    <n v="23096.510000000002"/>
    <n v="15439.445099999997"/>
    <n v="0.40065038118128793"/>
    <n v="202402"/>
    <n v="202301"/>
    <s v="Feb-2023"/>
    <n v="13"/>
    <s v="Late"/>
    <n v="0"/>
  </r>
  <r>
    <x v="337"/>
    <d v="2023-07-25T00:00:00"/>
    <s v="Jul-2023"/>
    <s v="Q3"/>
    <d v="2023-08-10T00:00:00"/>
    <n v="16"/>
    <x v="0"/>
    <x v="1"/>
    <s v="Port Harcourt"/>
    <s v="Africa &gt; Nigeria &gt; Port Harcourt"/>
    <s v="Corporate"/>
    <s v="Distributor"/>
    <s v="I. Johnson"/>
    <x v="6"/>
    <s v="ACC-8178"/>
    <n v="506.83"/>
    <n v="441.74"/>
    <s v="Medium"/>
    <n v="0.24"/>
    <n v="9"/>
    <n v="3021.5016000000001"/>
    <n v="711823.46069999994"/>
    <n v="4561.47"/>
    <n v="-1539.9684000000002"/>
    <n v="-0.50966989393618067"/>
    <n v="202307"/>
    <n v="202301"/>
    <s v="Jul-2023"/>
    <n v="6"/>
    <s v="Late"/>
    <n v="0"/>
  </r>
  <r>
    <x v="338"/>
    <d v="2023-07-14T00:00:00"/>
    <s v="Jul-2023"/>
    <s v="Q3"/>
    <d v="2023-07-21T00:00:00"/>
    <n v="7"/>
    <x v="0"/>
    <x v="11"/>
    <s v="Durban"/>
    <s v="Africa &gt; South Africa &gt; Durban"/>
    <s v="Enterprise"/>
    <s v="Marketplace"/>
    <s v="Not Provided"/>
    <x v="5"/>
    <s v="MON-1018"/>
    <n v="620.74"/>
    <n v="1330.07"/>
    <s v="Medium"/>
    <n v="0.29899999999999999"/>
    <n v="28"/>
    <n v="26106.613960000002"/>
    <n v="711823.46069999994"/>
    <n v="17380.72"/>
    <n v="8725.8939600000012"/>
    <n v="0.33424073965967516"/>
    <n v="202307"/>
    <n v="202301"/>
    <s v="Jul-2023"/>
    <n v="6"/>
    <s v="On Time"/>
    <n v="1"/>
  </r>
  <r>
    <x v="339"/>
    <d v="2023-07-24T00:00:00"/>
    <s v="Jul-2023"/>
    <s v="Q3"/>
    <d v="2023-08-19T00:00:00"/>
    <n v="26"/>
    <x v="0"/>
    <x v="0"/>
    <s v="Nairobi"/>
    <s v="Africa &gt; Kenya &gt; Nairobi"/>
    <s v="Enterprise"/>
    <s v="Distributor"/>
    <s v="M. Rossi"/>
    <x v="6"/>
    <s v="ACC-1238"/>
    <n v="661.45"/>
    <n v="1634.86"/>
    <s v="Medium"/>
    <n v="0.56499999999999995"/>
    <n v="24"/>
    <n v="17067.938400000003"/>
    <n v="711823.46069999994"/>
    <n v="15874.800000000001"/>
    <n v="1193.1384000000016"/>
    <n v="6.9905244092045793E-2"/>
    <n v="202307"/>
    <n v="202301"/>
    <s v="Jul-2023"/>
    <n v="6"/>
    <s v="Late"/>
    <n v="0"/>
  </r>
  <r>
    <x v="340"/>
    <d v="2023-04-13T00:00:00"/>
    <s v="Apr-2023"/>
    <s v="Q2"/>
    <d v="2023-04-15T00:00:00"/>
    <n v="2"/>
    <x v="2"/>
    <x v="10"/>
    <s v="San Francisco"/>
    <s v="Americas &gt; USA &gt; San Francisco"/>
    <s v="Education"/>
    <s v="Marketplace"/>
    <s v="G. Dubois"/>
    <x v="2"/>
    <s v="NET-1816"/>
    <n v="32.1"/>
    <n v="70.599999999999994"/>
    <s v="Low"/>
    <n v="0.28199999999999997"/>
    <n v="22"/>
    <n v="1115.1975999999997"/>
    <n v="711823.46069999994"/>
    <n v="706.2"/>
    <n v="408.99759999999969"/>
    <n v="0.36674899587301818"/>
    <n v="202304"/>
    <n v="202301"/>
    <s v="Apr-2023"/>
    <n v="3"/>
    <s v="On Time"/>
    <n v="1"/>
  </r>
  <r>
    <x v="341"/>
    <d v="2024-10-29T00:00:00"/>
    <s v="Oct-2024"/>
    <s v="Q4"/>
    <d v="2024-11-04T00:00:00"/>
    <n v="6"/>
    <x v="0"/>
    <x v="0"/>
    <s v="Nairobi"/>
    <s v="Africa &gt; Kenya &gt; Nairobi"/>
    <s v="Corporate"/>
    <s v="Distributor"/>
    <s v="M. Rossi"/>
    <x v="1"/>
    <s v="PRN-4893"/>
    <n v="805.81"/>
    <n v="1823.04"/>
    <s v="Medium"/>
    <n v="0"/>
    <n v="11"/>
    <n v="20053.439999999999"/>
    <n v="711823.46069999994"/>
    <n v="8863.91"/>
    <n v="11189.529999999999"/>
    <n v="0.55798556257679477"/>
    <n v="202410"/>
    <n v="202301"/>
    <s v="Oct-2023"/>
    <n v="21"/>
    <s v="On Time"/>
    <n v="1"/>
  </r>
  <r>
    <x v="342"/>
    <d v="2024-02-17T00:00:00"/>
    <s v="Feb-2024"/>
    <s v="Q1"/>
    <d v="2024-03-04T00:00:00"/>
    <n v="16"/>
    <x v="1"/>
    <x v="4"/>
    <s v="Delhi"/>
    <s v="Asia &gt; India &gt; Delhi"/>
    <s v="Small Business"/>
    <s v="Marketplace"/>
    <s v="F. Müller"/>
    <x v="3"/>
    <s v="PHN-1717"/>
    <n v="1231.8"/>
    <n v="2015.99"/>
    <s v="High"/>
    <n v="0.26100000000000001"/>
    <n v="6"/>
    <n v="8938.8996600000009"/>
    <n v="711823.46069999994"/>
    <n v="7390.7999999999993"/>
    <n v="1548.0996600000017"/>
    <n v="0.17318682599464391"/>
    <n v="202402"/>
    <n v="202301"/>
    <s v="Feb-2023"/>
    <n v="13"/>
    <s v="Late"/>
    <n v="0"/>
  </r>
  <r>
    <x v="343"/>
    <d v="2024-07-13T00:00:00"/>
    <s v="Jul-2024"/>
    <s v="Q3"/>
    <d v="2024-07-14T00:00:00"/>
    <n v="1"/>
    <x v="1"/>
    <x v="2"/>
    <s v="Nagoya"/>
    <s v="Asia &gt; Japan &gt; Nagoya"/>
    <s v="Small Business"/>
    <s v="Marketplace"/>
    <s v="F. Müller"/>
    <x v="2"/>
    <s v="NET-9575"/>
    <n v="105.13"/>
    <n v="244.13"/>
    <s v="Low"/>
    <n v="7.0999999999999994E-2"/>
    <n v="14"/>
    <n v="3175.1547799999998"/>
    <n v="711823.46069999994"/>
    <n v="1471.82"/>
    <n v="1703.3347799999999"/>
    <n v="0.53645724319618837"/>
    <n v="202407"/>
    <n v="202303"/>
    <s v="Jul-2023"/>
    <n v="16"/>
    <s v="On Time"/>
    <n v="1"/>
  </r>
  <r>
    <x v="344"/>
    <d v="2023-12-01T00:00:00"/>
    <s v="Dec-2023"/>
    <s v="Q4"/>
    <d v="2023-12-18T00:00:00"/>
    <n v="17"/>
    <x v="1"/>
    <x v="2"/>
    <s v="Nagoya"/>
    <s v="Asia &gt; Japan &gt; Nagoya"/>
    <s v="Small Business"/>
    <s v="Direct"/>
    <s v="N. Brown"/>
    <x v="4"/>
    <s v="LAP-3604"/>
    <n v="1495.79"/>
    <n v="2783.12"/>
    <s v="High"/>
    <n v="0.02"/>
    <n v="5"/>
    <n v="13637.287999999999"/>
    <n v="711823.46069999994"/>
    <n v="7478.95"/>
    <n v="6158.3379999999988"/>
    <n v="0.45158084217331185"/>
    <n v="202312"/>
    <n v="202303"/>
    <s v="Dec-2023"/>
    <n v="9"/>
    <s v="Late"/>
    <n v="0"/>
  </r>
  <r>
    <x v="345"/>
    <d v="2024-07-25T00:00:00"/>
    <s v="Jul-2024"/>
    <s v="Q3"/>
    <d v="2024-08-02T00:00:00"/>
    <n v="8"/>
    <x v="2"/>
    <x v="3"/>
    <s v="Montreal"/>
    <s v="Americas &gt; Canada &gt; Montreal"/>
    <s v="Consumer"/>
    <s v="Direct"/>
    <s v="J. Njeri"/>
    <x v="6"/>
    <s v="ACC-6626"/>
    <n v="986.81"/>
    <n v="2050.31"/>
    <s v="Medium"/>
    <n v="0.10299999999999999"/>
    <n v="43"/>
    <n v="79082.507010000001"/>
    <n v="711823.46069999994"/>
    <n v="42432.829999999994"/>
    <n v="36649.677010000007"/>
    <n v="0.46343595310358138"/>
    <n v="202407"/>
    <n v="202301"/>
    <s v="Jul-2023"/>
    <n v="18"/>
    <s v="Late"/>
    <n v="0"/>
  </r>
  <r>
    <x v="346"/>
    <d v="2023-05-04T00:00:00"/>
    <s v="May-2023"/>
    <s v="Q2"/>
    <d v="2023-05-16T00:00:00"/>
    <n v="12"/>
    <x v="0"/>
    <x v="1"/>
    <s v="Abuja"/>
    <s v="Africa &gt; Nigeria &gt; Abuja"/>
    <s v="Small Business"/>
    <s v="Marketplace"/>
    <s v="J. Njeri"/>
    <x v="3"/>
    <s v="PHN-1670"/>
    <n v="77.739999999999995"/>
    <n v="147.12"/>
    <s v="Low"/>
    <n v="0"/>
    <n v="15"/>
    <n v="2206.8000000000002"/>
    <n v="711823.46069999994"/>
    <n v="1166.0999999999999"/>
    <n v="1040.7000000000003"/>
    <n v="0.47158781946710177"/>
    <n v="202305"/>
    <n v="202301"/>
    <s v="May-2023"/>
    <n v="4"/>
    <s v="Late"/>
    <n v="0"/>
  </r>
  <r>
    <x v="347"/>
    <d v="2023-12-21T00:00:00"/>
    <s v="Dec-2023"/>
    <s v="Q4"/>
    <d v="2024-01-06T00:00:00"/>
    <n v="16"/>
    <x v="0"/>
    <x v="1"/>
    <s v="Not Provided"/>
    <s v="Africa &gt; Nigeria &gt; Not Provided"/>
    <s v="Corporate"/>
    <s v="Marketplace"/>
    <s v="K. Singh"/>
    <x v="0"/>
    <s v="CMP-4792"/>
    <n v="932.61"/>
    <n v="1982.98"/>
    <s v="Medium"/>
    <n v="0.14399999999999999"/>
    <n v="16"/>
    <n v="27158.894079999998"/>
    <n v="711823.46069999994"/>
    <n v="14921.76"/>
    <n v="12237.134079999998"/>
    <n v="0.45057556629345635"/>
    <n v="202312"/>
    <n v="202301"/>
    <s v="Dec-2023"/>
    <n v="11"/>
    <s v="Late"/>
    <n v="0"/>
  </r>
  <r>
    <x v="348"/>
    <d v="2025-06-17T00:00:00"/>
    <s v="Jun-2025"/>
    <s v="Q2"/>
    <d v="2025-07-05T00:00:00"/>
    <n v="18"/>
    <x v="1"/>
    <x v="4"/>
    <s v="Delhi"/>
    <s v="Asia &gt; India &gt; Delhi"/>
    <s v="Consumer"/>
    <s v="Marketplace"/>
    <s v="L. Okafor"/>
    <x v="4"/>
    <s v="LAP-1990"/>
    <n v="982.93"/>
    <n v="2299.3000000000002"/>
    <s v="Medium"/>
    <n v="0.113"/>
    <n v="6"/>
    <n v="12236.874600000001"/>
    <n v="684664.56661999994"/>
    <n v="5897.58"/>
    <n v="6339.2946000000011"/>
    <n v="0.51804850562087157"/>
    <n v="202506"/>
    <n v="202301"/>
    <s v="Jun-2023"/>
    <n v="29"/>
    <s v="Late"/>
    <n v="0"/>
  </r>
  <r>
    <x v="349"/>
    <d v="2023-02-23T00:00:00"/>
    <s v="Feb-2023"/>
    <s v="Q1"/>
    <d v="2023-03-08T00:00:00"/>
    <n v="13"/>
    <x v="3"/>
    <x v="8"/>
    <s v="Manchester"/>
    <s v="Europe &gt; United Kingdom &gt; Manchester"/>
    <s v="Small Business"/>
    <s v="Direct"/>
    <s v="C. Otieno"/>
    <x v="1"/>
    <s v="PRN-7410"/>
    <n v="307.37"/>
    <n v="462.61"/>
    <s v="Low"/>
    <n v="0.188"/>
    <n v="11"/>
    <n v="4132.0325200000007"/>
    <n v="684664.56661999994"/>
    <n v="3381.07"/>
    <n v="750.9625200000005"/>
    <n v="0.18174167709599739"/>
    <n v="202302"/>
    <n v="202301"/>
    <s v="Feb-2023"/>
    <n v="1"/>
    <s v="Late"/>
    <n v="0"/>
  </r>
  <r>
    <x v="350"/>
    <d v="2023-12-02T00:00:00"/>
    <s v="Dec-2023"/>
    <s v="Q4"/>
    <d v="2023-12-16T00:00:00"/>
    <n v="14"/>
    <x v="3"/>
    <x v="6"/>
    <s v="Frankfurt"/>
    <s v="Europe &gt; Germany &gt; Frankfurt"/>
    <s v="Education"/>
    <s v="Direct"/>
    <s v="N. Brown"/>
    <x v="5"/>
    <s v="MON-4278"/>
    <n v="879.08"/>
    <n v="1093.3900000000001"/>
    <s v="Medium"/>
    <n v="0.113"/>
    <n v="17"/>
    <n v="16487.22781"/>
    <n v="684664.56661999994"/>
    <n v="14944.36"/>
    <n v="1542.8678099999997"/>
    <n v="9.3579577341935186E-2"/>
    <n v="202312"/>
    <n v="202301"/>
    <s v="Dec-2023"/>
    <n v="11"/>
    <s v="Late"/>
    <n v="0"/>
  </r>
  <r>
    <x v="351"/>
    <d v="2023-07-14T00:00:00"/>
    <s v="Jul-2023"/>
    <s v="Q3"/>
    <d v="2023-07-14T00:00:00"/>
    <n v="0"/>
    <x v="0"/>
    <x v="1"/>
    <s v="Lagos"/>
    <s v="Africa &gt; Nigeria &gt; Lagos"/>
    <s v="Education"/>
    <s v="Retail"/>
    <s v="I. Johnson"/>
    <x v="6"/>
    <s v="ACC-5334"/>
    <n v="956.38"/>
    <n v="1454.22"/>
    <s v="Medium"/>
    <n v="3.9E-2"/>
    <n v="19"/>
    <n v="26552.60298"/>
    <n v="684664.56661999994"/>
    <n v="18171.22"/>
    <n v="8381.3829799999985"/>
    <n v="0.31565202802576603"/>
    <n v="202307"/>
    <n v="202301"/>
    <s v="Jul-2023"/>
    <n v="6"/>
    <s v="On Time"/>
    <n v="1"/>
  </r>
  <r>
    <x v="352"/>
    <d v="2024-08-08T00:00:00"/>
    <s v="Aug-2024"/>
    <s v="Q3"/>
    <d v="2024-08-20T00:00:00"/>
    <n v="12"/>
    <x v="1"/>
    <x v="2"/>
    <s v="Osaka"/>
    <s v="Asia &gt; Japan &gt; Osaka"/>
    <s v="Small Business"/>
    <s v="Retail"/>
    <s v="H. Kim"/>
    <x v="2"/>
    <s v="NET-8957"/>
    <n v="1233.3599999999999"/>
    <n v="2120.4"/>
    <s v="High"/>
    <n v="0.17899999999999999"/>
    <n v="20"/>
    <n v="34816.968000000001"/>
    <n v="684664.56661999994"/>
    <n v="24667.199999999997"/>
    <n v="10149.768000000004"/>
    <n v="0.29151785991244278"/>
    <n v="202408"/>
    <n v="202303"/>
    <s v="Aug-2023"/>
    <n v="17"/>
    <s v="Late"/>
    <n v="0"/>
  </r>
  <r>
    <x v="353"/>
    <d v="2024-11-07T00:00:00"/>
    <s v="Nov-2024"/>
    <s v="Q4"/>
    <d v="2024-11-26T00:00:00"/>
    <n v="19"/>
    <x v="2"/>
    <x v="5"/>
    <s v="Rio de Janeiro"/>
    <s v="Americas &gt; Brazil &gt; Rio de Janeiro"/>
    <s v="Non-Profit"/>
    <s v="Distributor"/>
    <s v="J. Njeri"/>
    <x v="1"/>
    <s v="PRN-9960"/>
    <n v="55.35"/>
    <n v="128.68"/>
    <s v="Low"/>
    <n v="0.128"/>
    <n v="10"/>
    <n v="1122.0896000000002"/>
    <n v="684664.56661999994"/>
    <n v="553.5"/>
    <n v="568.58960000000025"/>
    <n v="0.50672388372550647"/>
    <n v="202411"/>
    <n v="202301"/>
    <s v="Nov-2023"/>
    <n v="22"/>
    <s v="Late"/>
    <n v="0"/>
  </r>
  <r>
    <x v="354"/>
    <d v="2024-01-01T00:00:00"/>
    <s v="Jan-2024"/>
    <s v="Q1"/>
    <d v="2024-01-27T00:00:00"/>
    <n v="26"/>
    <x v="3"/>
    <x v="8"/>
    <s v="Manchester"/>
    <s v="Europe &gt; United Kingdom &gt; Manchester"/>
    <s v="Education"/>
    <s v="Distributor"/>
    <s v="D. Smith"/>
    <x v="6"/>
    <s v="ACC-3103"/>
    <n v="657.45"/>
    <n v="1325.96"/>
    <s v="Medium"/>
    <n v="0.16700000000000001"/>
    <n v="21"/>
    <n v="23195.01828"/>
    <n v="684664.56661999994"/>
    <n v="13806.45"/>
    <n v="9388.5682799999995"/>
    <n v="0.40476658249048808"/>
    <n v="202401"/>
    <n v="202301"/>
    <s v="Jan-2023"/>
    <n v="12"/>
    <s v="Late"/>
    <n v="0"/>
  </r>
  <r>
    <x v="355"/>
    <d v="2025-08-14T00:00:00"/>
    <s v="Aug-2025"/>
    <s v="Q3"/>
    <d v="2025-09-11T00:00:00"/>
    <n v="28"/>
    <x v="2"/>
    <x v="5"/>
    <s v="São Paulo"/>
    <s v="Americas &gt; Brazil &gt; São Paulo"/>
    <s v="Non-Profit"/>
    <s v="Direct"/>
    <s v="F. Müller"/>
    <x v="1"/>
    <s v="PRN-9490"/>
    <n v="1203.02"/>
    <n v="2439.33"/>
    <s v="High"/>
    <n v="0"/>
    <n v="18"/>
    <n v="43907.94"/>
    <n v="684664.56661999994"/>
    <n v="21654.36"/>
    <n v="22253.58"/>
    <n v="0.50682359500354612"/>
    <n v="202508"/>
    <n v="202301"/>
    <s v="Aug-2023"/>
    <n v="31"/>
    <s v="Late"/>
    <n v="0"/>
  </r>
  <r>
    <x v="356"/>
    <d v="2024-04-03T00:00:00"/>
    <s v="Apr-2024"/>
    <s v="Q2"/>
    <d v="2024-04-21T00:00:00"/>
    <n v="18"/>
    <x v="2"/>
    <x v="5"/>
    <s v="Brasília"/>
    <s v="Americas &gt; Brazil &gt; Brasília"/>
    <s v="Small Business"/>
    <s v="Distributor"/>
    <s v="B. Chen"/>
    <x v="2"/>
    <s v="NET-3850"/>
    <n v="1176.69"/>
    <n v="2201.54"/>
    <s v="High"/>
    <n v="0.17"/>
    <n v="27"/>
    <n v="49336.511399999996"/>
    <n v="684664.56661999994"/>
    <n v="31770.63"/>
    <n v="17565.881399999995"/>
    <n v="0.35604222717701106"/>
    <n v="202404"/>
    <n v="202301"/>
    <s v="Apr-2023"/>
    <n v="15"/>
    <s v="Late"/>
    <n v="0"/>
  </r>
  <r>
    <x v="357"/>
    <d v="2024-11-25T00:00:00"/>
    <s v="Nov-2024"/>
    <s v="Q4"/>
    <d v="2024-12-07T00:00:00"/>
    <n v="12"/>
    <x v="1"/>
    <x v="9"/>
    <s v="Shanghai"/>
    <s v="Asia &gt; China &gt; Shanghai"/>
    <s v="Corporate"/>
    <s v="Distributor"/>
    <s v="A. Patel"/>
    <x v="6"/>
    <s v="ACC-7047"/>
    <n v="769.9"/>
    <n v="814.36"/>
    <s v="Medium"/>
    <n v="0"/>
    <n v="5"/>
    <n v="4071.8"/>
    <n v="684664.56661999994"/>
    <n v="3849.5"/>
    <n v="222.30000000000018"/>
    <n v="5.4595019401738831E-2"/>
    <n v="202411"/>
    <n v="202301"/>
    <s v="Nov-2023"/>
    <n v="22"/>
    <s v="Late"/>
    <n v="0"/>
  </r>
  <r>
    <x v="358"/>
    <d v="2024-01-18T00:00:00"/>
    <s v="Jan-2024"/>
    <s v="Q1"/>
    <d v="2024-02-03T00:00:00"/>
    <n v="16"/>
    <x v="0"/>
    <x v="11"/>
    <s v="Cape Town"/>
    <s v="Africa &gt; South Africa &gt; Cape Town"/>
    <s v="Non-Profit"/>
    <s v="Distributor"/>
    <s v="L. Okafor"/>
    <x v="1"/>
    <s v="PRN-6660"/>
    <n v="666.23"/>
    <n v="1382.91"/>
    <s v="Medium"/>
    <n v="0.17599999999999999"/>
    <n v="13"/>
    <n v="14813.731920000002"/>
    <n v="684664.56661999994"/>
    <n v="8660.99"/>
    <n v="6152.7419200000022"/>
    <n v="0.41534043907553048"/>
    <n v="202401"/>
    <n v="202301"/>
    <s v="Jan-2023"/>
    <n v="12"/>
    <s v="Late"/>
    <n v="0"/>
  </r>
  <r>
    <x v="359"/>
    <d v="2024-06-23T00:00:00"/>
    <s v="Jun-2024"/>
    <s v="Q2"/>
    <d v="2024-06-25T00:00:00"/>
    <n v="2"/>
    <x v="3"/>
    <x v="8"/>
    <s v="Birmingham"/>
    <s v="Europe &gt; United Kingdom &gt; Birmingham"/>
    <s v="Small Business"/>
    <s v="Marketplace"/>
    <s v="L. Okafor"/>
    <x v="6"/>
    <s v="ACC-7838"/>
    <n v="951.44"/>
    <n v="1646.43"/>
    <s v="Medium"/>
    <n v="0.11"/>
    <n v="24"/>
    <n v="35167.7448"/>
    <n v="684664.56661999994"/>
    <n v="22834.560000000001"/>
    <n v="12333.184799999999"/>
    <n v="0.35069592520473475"/>
    <n v="202406"/>
    <n v="202301"/>
    <s v="Jun-2023"/>
    <n v="17"/>
    <s v="On Time"/>
    <n v="1"/>
  </r>
  <r>
    <x v="360"/>
    <d v="2025-06-25T00:00:00"/>
    <s v="Jun-2025"/>
    <s v="Q2"/>
    <d v="2025-07-10T00:00:00"/>
    <n v="15"/>
    <x v="3"/>
    <x v="8"/>
    <s v="Birmingham"/>
    <s v="Europe &gt; United Kingdom &gt; Birmingham"/>
    <s v="Non-Profit"/>
    <s v="Marketplace"/>
    <s v="D. Smith"/>
    <x v="3"/>
    <s v="PHN-5383"/>
    <n v="546.83000000000004"/>
    <n v="400.84"/>
    <s v="Medium"/>
    <n v="7.8E-2"/>
    <n v="13"/>
    <n v="4804.4682400000002"/>
    <n v="684664.56661999994"/>
    <n v="7108.7900000000009"/>
    <n v="-2304.3217600000007"/>
    <n v="-0.47962056254533608"/>
    <n v="202506"/>
    <n v="202301"/>
    <s v="Jun-2023"/>
    <n v="29"/>
    <s v="Late"/>
    <n v="0"/>
  </r>
  <r>
    <x v="361"/>
    <d v="2023-07-01T00:00:00"/>
    <s v="Jul-2023"/>
    <s v="Q3"/>
    <d v="2023-07-08T00:00:00"/>
    <n v="7"/>
    <x v="0"/>
    <x v="1"/>
    <s v="Port Harcourt"/>
    <s v="Africa &gt; Nigeria &gt; Port Harcourt"/>
    <s v="Corporate"/>
    <s v="Retail"/>
    <s v="A. Patel"/>
    <x v="4"/>
    <s v="LAP-3904"/>
    <n v="834.26"/>
    <n v="1780.56"/>
    <s v="Medium"/>
    <n v="1.4E-2"/>
    <n v="47"/>
    <n v="82514.711519999997"/>
    <n v="684664.56661999994"/>
    <n v="39210.22"/>
    <n v="43304.491519999996"/>
    <n v="0.5248093427497933"/>
    <n v="202307"/>
    <n v="202301"/>
    <s v="Jul-2023"/>
    <n v="6"/>
    <s v="On Time"/>
    <n v="1"/>
  </r>
  <r>
    <x v="362"/>
    <d v="2024-03-09T00:00:00"/>
    <s v="Mar-2024"/>
    <s v="Q1"/>
    <d v="2024-03-26T00:00:00"/>
    <n v="17"/>
    <x v="1"/>
    <x v="9"/>
    <s v="Shenzhen"/>
    <s v="Asia &gt; China &gt; Shenzhen"/>
    <s v="Enterprise"/>
    <s v="Online"/>
    <s v="K. Singh"/>
    <x v="5"/>
    <s v="MON-5749"/>
    <n v="1029.67"/>
    <n v="1118.43"/>
    <s v="High"/>
    <n v="0.27200000000000002"/>
    <n v="9"/>
    <n v="7327.9533600000004"/>
    <n v="684664.56661999994"/>
    <n v="9267.0300000000007"/>
    <n v="-1939.0766400000002"/>
    <n v="-0.26461367106736061"/>
    <n v="202403"/>
    <n v="202301"/>
    <s v="Mar-2023"/>
    <n v="14"/>
    <s v="Late"/>
    <n v="0"/>
  </r>
  <r>
    <x v="363"/>
    <d v="2023-06-05T00:00:00"/>
    <s v="Jun-2023"/>
    <s v="Q2"/>
    <d v="2023-06-28T00:00:00"/>
    <n v="23"/>
    <x v="3"/>
    <x v="8"/>
    <s v="Birmingham"/>
    <s v="Europe &gt; United Kingdom &gt; Birmingham"/>
    <s v="Corporate"/>
    <s v="Direct"/>
    <s v="K. Singh"/>
    <x v="1"/>
    <s v="PRN-3690"/>
    <n v="605.82000000000005"/>
    <n v="771.12"/>
    <s v="Medium"/>
    <n v="0.13200000000000001"/>
    <n v="19"/>
    <n v="12717.311040000001"/>
    <n v="684664.56661999994"/>
    <n v="11510.580000000002"/>
    <n v="1206.7310399999988"/>
    <n v="9.4888851597986767E-2"/>
    <n v="202306"/>
    <n v="202301"/>
    <s v="Jun-2023"/>
    <n v="5"/>
    <s v="Late"/>
    <n v="0"/>
  </r>
  <r>
    <x v="364"/>
    <d v="2025-03-21T00:00:00"/>
    <s v="Mar-2025"/>
    <s v="Q1"/>
    <d v="2025-04-09T00:00:00"/>
    <n v="19"/>
    <x v="1"/>
    <x v="2"/>
    <s v="Tokyo"/>
    <s v="Asia &gt; Japan &gt; Tokyo"/>
    <s v="Small Business"/>
    <s v="Distributor"/>
    <s v="E. Garcia"/>
    <x v="0"/>
    <s v="CMP-7055"/>
    <n v="1055.45"/>
    <n v="1210.04"/>
    <s v="High"/>
    <n v="8.9999999999999993E-3"/>
    <n v="18"/>
    <n v="21584.693520000001"/>
    <n v="684664.56661999994"/>
    <n v="18998.100000000002"/>
    <n v="2586.5935199999985"/>
    <n v="0.1198346188053727"/>
    <n v="202503"/>
    <n v="202303"/>
    <s v="Mar-2023"/>
    <n v="24"/>
    <s v="Late"/>
    <n v="0"/>
  </r>
  <r>
    <x v="365"/>
    <d v="2024-06-02T00:00:00"/>
    <s v="Jun-2024"/>
    <s v="Q2"/>
    <d v="2024-06-15T00:00:00"/>
    <n v="13"/>
    <x v="0"/>
    <x v="0"/>
    <s v="Mombasa"/>
    <s v="Africa &gt; Kenya &gt; Mombasa"/>
    <s v="Education"/>
    <s v="Online"/>
    <s v="O. Wang"/>
    <x v="3"/>
    <s v="PHN-6866"/>
    <n v="1295.18"/>
    <n v="3024.03"/>
    <s v="High"/>
    <n v="0.192"/>
    <n v="8"/>
    <n v="19547.329920000004"/>
    <n v="663079.87309999997"/>
    <n v="10361.44"/>
    <n v="9185.8899200000033"/>
    <n v="0.46993067378483178"/>
    <n v="202406"/>
    <n v="202301"/>
    <s v="Jun-2023"/>
    <n v="17"/>
    <s v="Late"/>
    <n v="0"/>
  </r>
  <r>
    <x v="366"/>
    <d v="2025-03-15T00:00:00"/>
    <s v="Mar-2025"/>
    <s v="Q1"/>
    <d v="2025-03-29T00:00:00"/>
    <n v="14"/>
    <x v="1"/>
    <x v="4"/>
    <s v="Mumbai"/>
    <s v="Asia &gt; India &gt; Mumbai"/>
    <s v="Enterprise"/>
    <s v="Direct"/>
    <s v="C. Otieno"/>
    <x v="0"/>
    <s v="CMP-3259"/>
    <n v="935.83"/>
    <n v="2303.46"/>
    <s v="Medium"/>
    <n v="0.105"/>
    <n v="9"/>
    <n v="18554.370299999999"/>
    <n v="663079.87309999997"/>
    <n v="8422.4700000000012"/>
    <n v="10131.900299999998"/>
    <n v="0.54606543559174292"/>
    <n v="202503"/>
    <n v="202301"/>
    <s v="Mar-2023"/>
    <n v="26"/>
    <s v="Late"/>
    <n v="0"/>
  </r>
  <r>
    <x v="367"/>
    <d v="2023-09-25T00:00:00"/>
    <s v="Sept-2023"/>
    <s v="Q3"/>
    <d v="2023-10-09T00:00:00"/>
    <n v="14"/>
    <x v="2"/>
    <x v="10"/>
    <s v="New York"/>
    <s v="Americas &gt; USA &gt; New York"/>
    <s v="Small Business"/>
    <s v="Marketplace"/>
    <s v="J. Njeri"/>
    <x v="4"/>
    <s v="LAP-6750"/>
    <n v="1279.56"/>
    <n v="3083.8"/>
    <s v="High"/>
    <n v="0.106"/>
    <n v="5"/>
    <n v="13784.586000000001"/>
    <n v="644525.50280000002"/>
    <n v="6397.7999999999993"/>
    <n v="7386.7860000000019"/>
    <n v="0.53587289455047848"/>
    <n v="202309"/>
    <n v="202301"/>
    <s v="Sept-2023"/>
    <n v="8"/>
    <s v="Late"/>
    <n v="0"/>
  </r>
  <r>
    <x v="368"/>
    <d v="2025-06-24T00:00:00"/>
    <s v="Jun-2025"/>
    <s v="Q2"/>
    <d v="2025-07-23T00:00:00"/>
    <n v="29"/>
    <x v="2"/>
    <x v="3"/>
    <s v="Vancouver"/>
    <s v="Americas &gt; Canada &gt; Vancouver"/>
    <s v="Non-Profit"/>
    <s v="Marketplace"/>
    <s v="I. Johnson"/>
    <x v="1"/>
    <s v="PRN-3775"/>
    <n v="255.4"/>
    <n v="322.70999999999998"/>
    <s v="Low"/>
    <n v="0.115"/>
    <n v="16"/>
    <n v="4569.5735999999997"/>
    <n v="644525.50280000002"/>
    <n v="4086.4"/>
    <n v="483.17359999999962"/>
    <n v="0.10573713048412212"/>
    <n v="202506"/>
    <n v="202301"/>
    <s v="Jun-2023"/>
    <n v="29"/>
    <s v="Late"/>
    <n v="0"/>
  </r>
  <r>
    <x v="369"/>
    <d v="2023-12-26T00:00:00"/>
    <s v="Dec-2023"/>
    <s v="Q4"/>
    <d v="2024-01-03T00:00:00"/>
    <n v="8"/>
    <x v="3"/>
    <x v="7"/>
    <s v="Lyon"/>
    <s v="Europe &gt; France &gt; Lyon"/>
    <s v="Small Business"/>
    <s v="Retail"/>
    <s v="M. Rossi"/>
    <x v="4"/>
    <s v="LAP-2942"/>
    <n v="492.75"/>
    <n v="731.29"/>
    <s v="Low"/>
    <n v="5.8000000000000003E-2"/>
    <n v="6"/>
    <n v="4133.25108"/>
    <n v="644525.50280000002"/>
    <n v="2956.5"/>
    <n v="1176.75108"/>
    <n v="0.28470350753528384"/>
    <n v="202312"/>
    <n v="202301"/>
    <s v="Dec-2023"/>
    <n v="11"/>
    <s v="Late"/>
    <n v="0"/>
  </r>
  <r>
    <x v="370"/>
    <d v="2023-02-05T00:00:00"/>
    <s v="Feb-2023"/>
    <s v="Q1"/>
    <d v="2023-02-28T00:00:00"/>
    <n v="23"/>
    <x v="2"/>
    <x v="10"/>
    <s v="Austin"/>
    <s v="Americas &gt; USA &gt; Austin"/>
    <s v="Non-Profit"/>
    <s v="Distributor"/>
    <s v="L. Okafor"/>
    <x v="3"/>
    <s v="PHN-2036"/>
    <n v="1214.49"/>
    <n v="1533.95"/>
    <s v="High"/>
    <n v="0"/>
    <n v="11"/>
    <n v="16873.45"/>
    <n v="644525.50280000002"/>
    <n v="13359.39"/>
    <n v="3514.0600000000013"/>
    <n v="0.20825972163369086"/>
    <n v="202302"/>
    <n v="202301"/>
    <s v="Feb-2023"/>
    <n v="1"/>
    <s v="Late"/>
    <n v="0"/>
  </r>
  <r>
    <x v="371"/>
    <d v="2023-04-06T00:00:00"/>
    <s v="Apr-2023"/>
    <s v="Q2"/>
    <d v="2023-04-08T00:00:00"/>
    <n v="2"/>
    <x v="0"/>
    <x v="1"/>
    <s v="Abuja"/>
    <s v="Africa &gt; Nigeria &gt; Abuja"/>
    <s v="Small Business"/>
    <s v="Marketplace"/>
    <s v="K. Singh"/>
    <x v="5"/>
    <s v="MON-4373"/>
    <n v="720.35"/>
    <n v="1571.66"/>
    <s v="Medium"/>
    <n v="0.107"/>
    <n v="23"/>
    <n v="32280.32474"/>
    <n v="644525.50280000002"/>
    <n v="16568.05"/>
    <n v="15712.274740000001"/>
    <n v="0.4867446305622265"/>
    <n v="202304"/>
    <n v="202301"/>
    <s v="Apr-2023"/>
    <n v="3"/>
    <s v="On Time"/>
    <n v="1"/>
  </r>
  <r>
    <x v="372"/>
    <d v="2025-04-04T00:00:00"/>
    <s v="Apr-2025"/>
    <s v="Q2"/>
    <d v="2025-04-10T00:00:00"/>
    <n v="6"/>
    <x v="3"/>
    <x v="8"/>
    <s v="Birmingham"/>
    <s v="Europe &gt; United Kingdom &gt; Birmingham"/>
    <s v="Non-Profit"/>
    <s v="Direct"/>
    <s v="N. Brown"/>
    <x v="1"/>
    <s v="PRN-8657"/>
    <n v="290.14"/>
    <n v="250.73"/>
    <s v="Low"/>
    <n v="3.4000000000000002E-2"/>
    <n v="17"/>
    <n v="4117.4880599999997"/>
    <n v="644525.50280000002"/>
    <n v="4932.38"/>
    <n v="-814.89194000000043"/>
    <n v="-0.19790997038131072"/>
    <n v="202504"/>
    <n v="202301"/>
    <s v="Apr-2023"/>
    <n v="27"/>
    <s v="On Time"/>
    <n v="1"/>
  </r>
  <r>
    <x v="373"/>
    <d v="2024-05-17T00:00:00"/>
    <s v="May-2024"/>
    <s v="Q2"/>
    <d v="2024-05-27T00:00:00"/>
    <n v="10"/>
    <x v="2"/>
    <x v="10"/>
    <s v="Austin"/>
    <s v="Americas &gt; USA &gt; Austin"/>
    <s v="Non-Profit"/>
    <s v="Online"/>
    <s v="C. Otieno"/>
    <x v="3"/>
    <s v="PHN-7974"/>
    <n v="1484.23"/>
    <n v="3472.81"/>
    <s v="High"/>
    <n v="0.25600000000000001"/>
    <n v="12"/>
    <n v="31005.24768"/>
    <n v="644525.50280000002"/>
    <n v="17810.760000000002"/>
    <n v="13194.487679999998"/>
    <n v="0.42555659661803413"/>
    <n v="202405"/>
    <n v="202301"/>
    <s v="May-2023"/>
    <n v="16"/>
    <s v="Late"/>
    <n v="0"/>
  </r>
  <r>
    <x v="374"/>
    <d v="2024-03-03T00:00:00"/>
    <s v="Mar-2024"/>
    <s v="Q1"/>
    <d v="2024-03-19T00:00:00"/>
    <n v="16"/>
    <x v="1"/>
    <x v="9"/>
    <s v="Beijing"/>
    <s v="Asia &gt; China &gt; Beijing"/>
    <s v="Consumer"/>
    <s v="Distributor"/>
    <s v="G. Dubois"/>
    <x v="3"/>
    <s v="PHN-4915"/>
    <n v="988.83"/>
    <n v="1206.04"/>
    <s v="Medium"/>
    <n v="6.3E-2"/>
    <n v="34"/>
    <n v="38422.022320000004"/>
    <n v="644525.50280000002"/>
    <n v="33620.22"/>
    <n v="4801.8023200000025"/>
    <n v="0.12497526236406606"/>
    <n v="202403"/>
    <n v="202301"/>
    <s v="Mar-2023"/>
    <n v="14"/>
    <s v="Late"/>
    <n v="0"/>
  </r>
  <r>
    <x v="375"/>
    <d v="2025-06-27T00:00:00"/>
    <s v="Jun-2025"/>
    <s v="Q2"/>
    <d v="2025-07-11T00:00:00"/>
    <n v="14"/>
    <x v="1"/>
    <x v="9"/>
    <s v="Shanghai"/>
    <s v="Asia &gt; China &gt; Shanghai"/>
    <s v="Small Business"/>
    <s v="Marketplace"/>
    <s v="L. Okafor"/>
    <x v="2"/>
    <s v="NET-3535"/>
    <n v="1227.7"/>
    <n v="2197.23"/>
    <s v="High"/>
    <n v="9.9000000000000005E-2"/>
    <n v="22"/>
    <n v="43553.493060000001"/>
    <n v="644525.50280000002"/>
    <n v="27009.4"/>
    <n v="16544.093059999999"/>
    <n v="0.37985685871873898"/>
    <n v="202506"/>
    <n v="202301"/>
    <s v="Jun-2023"/>
    <n v="29"/>
    <s v="Late"/>
    <n v="0"/>
  </r>
  <r>
    <x v="376"/>
    <d v="2023-03-13T00:00:00"/>
    <s v="Mar-2023"/>
    <s v="Q1"/>
    <d v="2023-04-04T00:00:00"/>
    <n v="22"/>
    <x v="0"/>
    <x v="11"/>
    <s v="Durban"/>
    <s v="Africa &gt; South Africa &gt; Durban"/>
    <s v="Small Business"/>
    <s v="Retail"/>
    <s v="A. Patel"/>
    <x v="0"/>
    <s v="CMP-2574"/>
    <n v="1113.7"/>
    <n v="1620.6"/>
    <s v="High"/>
    <n v="0.13900000000000001"/>
    <n v="11"/>
    <n v="15348.702599999999"/>
    <n v="644525.50280000002"/>
    <n v="12250.7"/>
    <n v="3098.002599999998"/>
    <n v="0.20184133348182787"/>
    <n v="202303"/>
    <n v="202301"/>
    <s v="Mar-2023"/>
    <n v="2"/>
    <s v="Late"/>
    <n v="0"/>
  </r>
  <r>
    <x v="377"/>
    <d v="2025-01-07T00:00:00"/>
    <s v="Jan-2025"/>
    <s v="Q1"/>
    <d v="2025-01-20T00:00:00"/>
    <n v="13"/>
    <x v="0"/>
    <x v="11"/>
    <s v="Cape Town"/>
    <s v="Africa &gt; South Africa &gt; Cape Town"/>
    <s v="Corporate"/>
    <s v="Direct"/>
    <s v="K. Singh"/>
    <x v="2"/>
    <s v="NET-7901"/>
    <n v="432.13"/>
    <n v="1034.6600000000001"/>
    <s v="Low"/>
    <n v="9.1999999999999998E-2"/>
    <n v="7"/>
    <n v="6576.298960000001"/>
    <n v="629176.80019999994"/>
    <n v="3024.91"/>
    <n v="3551.3889600000011"/>
    <n v="0.54002851476204794"/>
    <n v="202501"/>
    <n v="202301"/>
    <s v="Jan-2023"/>
    <n v="24"/>
    <s v="Late"/>
    <n v="0"/>
  </r>
  <r>
    <x v="378"/>
    <d v="2025-02-06T00:00:00"/>
    <s v="Feb-2025"/>
    <s v="Q1"/>
    <d v="2025-02-15T00:00:00"/>
    <n v="9"/>
    <x v="2"/>
    <x v="5"/>
    <s v="São Paulo"/>
    <s v="Americas &gt; Brazil &gt; São Paulo"/>
    <s v="Non-Profit"/>
    <s v="Distributor"/>
    <s v="F. Müller"/>
    <x v="2"/>
    <s v="NET-5482"/>
    <n v="837.39"/>
    <n v="1905.42"/>
    <s v="Medium"/>
    <n v="3.2000000000000001E-2"/>
    <n v="18"/>
    <n v="33200.038079999998"/>
    <n v="629176.80019999994"/>
    <n v="15073.02"/>
    <n v="18127.018079999998"/>
    <n v="0.54599389423350919"/>
    <n v="202502"/>
    <n v="202301"/>
    <s v="Feb-2023"/>
    <n v="25"/>
    <s v="Late"/>
    <n v="0"/>
  </r>
  <r>
    <x v="379"/>
    <d v="2025-01-31T00:00:00"/>
    <s v="Jan-2025"/>
    <s v="Q1"/>
    <d v="2025-02-17T00:00:00"/>
    <n v="17"/>
    <x v="3"/>
    <x v="8"/>
    <s v="London"/>
    <s v="Europe &gt; United Kingdom &gt; London"/>
    <s v="Enterprise"/>
    <s v="Retail"/>
    <s v="H. Kim"/>
    <x v="0"/>
    <s v="CMP-5820"/>
    <n v="378.26"/>
    <n v="541.55999999999995"/>
    <s v="Low"/>
    <n v="0.16300000000000001"/>
    <n v="25"/>
    <n v="11332.142999999998"/>
    <n v="629176.80019999994"/>
    <n v="9456.5"/>
    <n v="1875.6429999999982"/>
    <n v="0.16551529573885526"/>
    <n v="202501"/>
    <n v="202301"/>
    <s v="Jan-2023"/>
    <n v="24"/>
    <s v="Late"/>
    <n v="0"/>
  </r>
  <r>
    <x v="380"/>
    <d v="2025-08-07T00:00:00"/>
    <s v="Aug-2025"/>
    <s v="Q3"/>
    <d v="2025-09-06T00:00:00"/>
    <n v="30"/>
    <x v="2"/>
    <x v="3"/>
    <s v="Montreal"/>
    <s v="Americas &gt; Canada &gt; Montreal"/>
    <s v="Education"/>
    <s v="Direct"/>
    <s v="M. Rossi"/>
    <x v="2"/>
    <s v="NET-1336"/>
    <n v="833.73"/>
    <n v="1116.5999999999999"/>
    <s v="Medium"/>
    <n v="0.17599999999999999"/>
    <n v="14"/>
    <n v="12881.097599999999"/>
    <n v="617844.65720000002"/>
    <n v="11672.220000000001"/>
    <n v="1208.877599999998"/>
    <n v="9.3848958958279924E-2"/>
    <n v="202508"/>
    <n v="202301"/>
    <s v="Aug-2023"/>
    <n v="31"/>
    <s v="Late"/>
    <n v="0"/>
  </r>
  <r>
    <x v="381"/>
    <d v="2025-07-23T00:00:00"/>
    <s v="Jul-2025"/>
    <s v="Q3"/>
    <d v="2025-08-17T00:00:00"/>
    <n v="25"/>
    <x v="3"/>
    <x v="8"/>
    <s v="Birmingham"/>
    <s v="Europe &gt; United Kingdom &gt; Birmingham"/>
    <s v="Education"/>
    <s v="Online"/>
    <s v="I. Johnson"/>
    <x v="1"/>
    <s v="PRN-5876"/>
    <n v="1142.06"/>
    <n v="1455"/>
    <s v="High"/>
    <n v="7.8E-2"/>
    <n v="28"/>
    <n v="37562.28"/>
    <n v="617844.65720000002"/>
    <n v="31977.68"/>
    <n v="5584.5999999999985"/>
    <n v="0.1486757459877302"/>
    <n v="202507"/>
    <n v="202301"/>
    <s v="Jul-2023"/>
    <n v="30"/>
    <s v="Late"/>
    <n v="0"/>
  </r>
  <r>
    <x v="382"/>
    <d v="2023-06-20T00:00:00"/>
    <s v="Jun-2023"/>
    <s v="Q2"/>
    <d v="2023-07-08T00:00:00"/>
    <n v="18"/>
    <x v="2"/>
    <x v="10"/>
    <s v="New York"/>
    <s v="Americas &gt; USA &gt; New York"/>
    <s v="Consumer"/>
    <s v="Marketplace"/>
    <s v="O. Wang"/>
    <x v="2"/>
    <s v="NET-3828"/>
    <n v="1145.53"/>
    <n v="1278.3"/>
    <s v="High"/>
    <n v="0.09"/>
    <n v="41"/>
    <n v="47693.373"/>
    <n v="617844.65720000002"/>
    <n v="46966.729999999996"/>
    <n v="726.64300000000367"/>
    <n v="1.5235722581416158E-2"/>
    <n v="202306"/>
    <n v="202301"/>
    <s v="Jun-2023"/>
    <n v="5"/>
    <s v="Late"/>
    <n v="0"/>
  </r>
  <r>
    <x v="383"/>
    <d v="2024-07-18T00:00:00"/>
    <s v="Jul-2024"/>
    <s v="Q3"/>
    <d v="2024-08-07T00:00:00"/>
    <n v="20"/>
    <x v="3"/>
    <x v="7"/>
    <s v="Marseille"/>
    <s v="Europe &gt; France &gt; Marseille"/>
    <s v="Corporate"/>
    <s v="Retail"/>
    <s v="F. Müller"/>
    <x v="5"/>
    <s v="MON-7622"/>
    <n v="941.35"/>
    <n v="899.83"/>
    <s v="Medium"/>
    <n v="5.8000000000000003E-2"/>
    <n v="18"/>
    <n v="15257.51748"/>
    <n v="617844.65720000002"/>
    <n v="16944.3"/>
    <n v="-1686.7825199999988"/>
    <n v="-0.11055419220139073"/>
    <n v="202407"/>
    <n v="202301"/>
    <s v="Jul-2023"/>
    <n v="18"/>
    <s v="Late"/>
    <n v="0"/>
  </r>
  <r>
    <x v="384"/>
    <d v="2023-05-20T00:00:00"/>
    <s v="May-2023"/>
    <s v="Q2"/>
    <d v="2023-06-19T00:00:00"/>
    <n v="30"/>
    <x v="1"/>
    <x v="4"/>
    <s v="Delhi"/>
    <s v="Asia &gt; India &gt; Delhi"/>
    <s v="Non-Profit"/>
    <s v="Marketplace"/>
    <s v="H. Kim"/>
    <x v="4"/>
    <s v="LAP-2806"/>
    <n v="1161.2"/>
    <n v="878.73"/>
    <s v="High"/>
    <n v="0.19"/>
    <n v="31"/>
    <n v="22064.910300000003"/>
    <n v="617844.65720000002"/>
    <n v="35997.200000000004"/>
    <n v="-13932.289700000001"/>
    <n v="-0.63142290227212028"/>
    <n v="202305"/>
    <n v="202301"/>
    <s v="May-2023"/>
    <n v="4"/>
    <s v="Late"/>
    <n v="0"/>
  </r>
  <r>
    <x v="385"/>
    <d v="2025-05-12T00:00:00"/>
    <s v="May-2025"/>
    <s v="Q2"/>
    <d v="2025-05-26T00:00:00"/>
    <n v="14"/>
    <x v="1"/>
    <x v="4"/>
    <s v="Hyderabad"/>
    <s v="Asia &gt; India &gt; Hyderabad"/>
    <s v="Corporate"/>
    <s v="Marketplace"/>
    <s v="G. Dubois"/>
    <x v="1"/>
    <s v="PRN-8850"/>
    <n v="320.12"/>
    <n v="594.41999999999996"/>
    <s v="Low"/>
    <n v="0.104"/>
    <n v="18"/>
    <n v="9586.8057599999993"/>
    <n v="617844.65720000002"/>
    <n v="5762.16"/>
    <n v="3824.6457599999994"/>
    <n v="0.39894891538931104"/>
    <n v="202505"/>
    <n v="202301"/>
    <s v="May-2023"/>
    <n v="28"/>
    <s v="Late"/>
    <n v="0"/>
  </r>
  <r>
    <x v="386"/>
    <d v="2024-05-07T00:00:00"/>
    <s v="May-2024"/>
    <s v="Q2"/>
    <d v="2024-05-12T00:00:00"/>
    <n v="5"/>
    <x v="0"/>
    <x v="1"/>
    <s v="Abuja"/>
    <s v="Africa &gt; Nigeria &gt; Abuja"/>
    <s v="Non-Profit"/>
    <s v="Distributor"/>
    <s v="L. Okafor"/>
    <x v="4"/>
    <s v="LAP-9100"/>
    <n v="1163.99"/>
    <n v="1617.85"/>
    <s v="High"/>
    <n v="0.127"/>
    <n v="14"/>
    <n v="19773.362699999998"/>
    <n v="617844.65720000002"/>
    <n v="16295.86"/>
    <n v="3477.5026999999973"/>
    <n v="0.17586804797749436"/>
    <n v="202405"/>
    <n v="202301"/>
    <s v="May-2023"/>
    <n v="16"/>
    <s v="On Time"/>
    <n v="1"/>
  </r>
  <r>
    <x v="387"/>
    <d v="2023-09-30T00:00:00"/>
    <s v="Sept-2023"/>
    <s v="Q3"/>
    <d v="2023-10-03T00:00:00"/>
    <n v="3"/>
    <x v="1"/>
    <x v="9"/>
    <s v="Beijing"/>
    <s v="Asia &gt; China &gt; Beijing"/>
    <s v="Non-Profit"/>
    <s v="Retail"/>
    <s v="J. Njeri"/>
    <x v="4"/>
    <s v="LAP-5763"/>
    <n v="1019.36"/>
    <n v="972.91"/>
    <s v="High"/>
    <n v="0.14699999999999999"/>
    <n v="17"/>
    <n v="14108.16791"/>
    <n v="617844.65720000002"/>
    <n v="17329.12"/>
    <n v="-3220.9520899999989"/>
    <n v="-0.22830406545678819"/>
    <n v="202309"/>
    <n v="202301"/>
    <s v="Sept-2023"/>
    <n v="8"/>
    <s v="On Time"/>
    <n v="1"/>
  </r>
  <r>
    <x v="388"/>
    <d v="2023-10-26T00:00:00"/>
    <s v="Oct-2023"/>
    <s v="Q4"/>
    <d v="2023-11-05T00:00:00"/>
    <n v="10"/>
    <x v="0"/>
    <x v="11"/>
    <s v="Cape Town"/>
    <s v="Africa &gt; South Africa &gt; Cape Town"/>
    <s v="Non-Profit"/>
    <s v="Online"/>
    <s v="I. Johnson"/>
    <x v="4"/>
    <s v="LAP-7320"/>
    <n v="20.38"/>
    <n v="42.56"/>
    <s v="Low"/>
    <n v="7.1999999999999995E-2"/>
    <n v="11"/>
    <n v="434.45248000000004"/>
    <n v="617844.65720000002"/>
    <n v="224.17999999999998"/>
    <n v="210.27248000000006"/>
    <n v="0.48399419885921713"/>
    <n v="202310"/>
    <n v="202301"/>
    <s v="Oct-2023"/>
    <n v="9"/>
    <s v="Late"/>
    <n v="0"/>
  </r>
  <r>
    <x v="389"/>
    <d v="2025-06-15T00:00:00"/>
    <s v="Jun-2025"/>
    <s v="Q2"/>
    <d v="2025-06-30T00:00:00"/>
    <n v="15"/>
    <x v="0"/>
    <x v="11"/>
    <s v="Johannesburg"/>
    <s v="Africa &gt; South Africa &gt; Johannesburg"/>
    <s v="Small Business"/>
    <s v="Direct"/>
    <s v="C. Otieno"/>
    <x v="5"/>
    <s v="MON-5891"/>
    <n v="1487.59"/>
    <n v="1480.83"/>
    <s v="High"/>
    <n v="8.9999999999999993E-3"/>
    <n v="11"/>
    <n v="16142.527829999999"/>
    <n v="617844.65720000002"/>
    <n v="16363.49"/>
    <n v="-220.9621700000007"/>
    <n v="-1.3688201273492908E-2"/>
    <n v="202506"/>
    <n v="202301"/>
    <s v="Jun-2023"/>
    <n v="29"/>
    <s v="Late"/>
    <n v="0"/>
  </r>
  <r>
    <x v="390"/>
    <d v="2024-08-10T00:00:00"/>
    <s v="Aug-2024"/>
    <s v="Q3"/>
    <d v="2024-09-07T00:00:00"/>
    <n v="28"/>
    <x v="3"/>
    <x v="7"/>
    <s v="Marseille"/>
    <s v="Europe &gt; France &gt; Marseille"/>
    <s v="Non-Profit"/>
    <s v="Direct"/>
    <s v="F. Müller"/>
    <x v="1"/>
    <s v="PRN-1183"/>
    <n v="229.96"/>
    <n v="564.26"/>
    <s v="Low"/>
    <n v="0.105"/>
    <n v="5"/>
    <n v="2525.0635000000002"/>
    <n v="617844.65720000002"/>
    <n v="1149.8"/>
    <n v="1375.2635000000002"/>
    <n v="0.54464511486542821"/>
    <n v="202408"/>
    <n v="202301"/>
    <s v="Aug-2023"/>
    <n v="19"/>
    <s v="Late"/>
    <n v="0"/>
  </r>
  <r>
    <x v="391"/>
    <d v="2023-10-09T00:00:00"/>
    <s v="Oct-2023"/>
    <s v="Q4"/>
    <d v="2023-10-26T00:00:00"/>
    <n v="17"/>
    <x v="1"/>
    <x v="9"/>
    <s v="Shanghai"/>
    <s v="Asia &gt; China &gt; Shanghai"/>
    <s v="Consumer"/>
    <s v="Marketplace"/>
    <s v="C. Otieno"/>
    <x v="0"/>
    <s v="CMP-2096"/>
    <n v="1132.03"/>
    <n v="2137.21"/>
    <s v="High"/>
    <n v="0.35699999999999998"/>
    <n v="35"/>
    <n v="48097.911050000002"/>
    <n v="617844.65720000002"/>
    <n v="39621.049999999996"/>
    <n v="8476.8610500000068"/>
    <n v="0.17624177152284051"/>
    <n v="202310"/>
    <n v="202301"/>
    <s v="Oct-2023"/>
    <n v="9"/>
    <s v="Late"/>
    <n v="0"/>
  </r>
  <r>
    <x v="392"/>
    <d v="2024-03-09T00:00:00"/>
    <s v="Mar-2024"/>
    <s v="Q1"/>
    <d v="2024-03-26T00:00:00"/>
    <n v="17"/>
    <x v="2"/>
    <x v="10"/>
    <s v="San Francisco"/>
    <s v="Americas &gt; USA &gt; San Francisco"/>
    <s v="Education"/>
    <s v="Direct"/>
    <s v="I. Johnson"/>
    <x v="3"/>
    <s v="PHN-3398"/>
    <n v="1137.4100000000001"/>
    <n v="1680.93"/>
    <s v="High"/>
    <n v="0.254"/>
    <n v="9"/>
    <n v="11285.764020000001"/>
    <n v="569746.74615000014"/>
    <n v="10236.69"/>
    <n v="1049.07402"/>
    <n v="9.2955516183121464E-2"/>
    <n v="202403"/>
    <n v="202301"/>
    <s v="Mar-2023"/>
    <n v="14"/>
    <s v="Late"/>
    <n v="0"/>
  </r>
  <r>
    <x v="393"/>
    <d v="2023-05-29T00:00:00"/>
    <s v="May-2023"/>
    <s v="Q2"/>
    <d v="2023-06-20T00:00:00"/>
    <n v="22"/>
    <x v="3"/>
    <x v="8"/>
    <s v="London"/>
    <s v="Europe &gt; United Kingdom &gt; London"/>
    <s v="Small Business"/>
    <s v="Direct"/>
    <s v="K. Singh"/>
    <x v="0"/>
    <s v="CMP-8545"/>
    <n v="1295.3900000000001"/>
    <n v="2905.06"/>
    <s v="High"/>
    <n v="0.14799999999999999"/>
    <n v="8"/>
    <n v="19800.88896"/>
    <n v="569746.74615000014"/>
    <n v="10363.120000000001"/>
    <n v="9437.7689599999994"/>
    <n v="0.47663359857556614"/>
    <n v="202305"/>
    <n v="202301"/>
    <s v="May-2023"/>
    <n v="4"/>
    <s v="Late"/>
    <n v="0"/>
  </r>
  <r>
    <x v="394"/>
    <d v="2025-05-27T00:00:00"/>
    <s v="May-2025"/>
    <s v="Q2"/>
    <d v="2025-06-08T00:00:00"/>
    <n v="12"/>
    <x v="1"/>
    <x v="2"/>
    <s v="Osaka"/>
    <s v="Asia &gt; Japan &gt; Osaka"/>
    <s v="Corporate"/>
    <s v="Retail"/>
    <s v="H. Kim"/>
    <x v="6"/>
    <s v="ACC-1249"/>
    <n v="653.6"/>
    <n v="842.09"/>
    <s v="Medium"/>
    <n v="9.8000000000000004E-2"/>
    <n v="19"/>
    <n v="14431.738420000001"/>
    <n v="549945.85719000013"/>
    <n v="12418.4"/>
    <n v="2013.3384200000019"/>
    <n v="0.13950768517324622"/>
    <n v="202505"/>
    <n v="202303"/>
    <s v="May-2023"/>
    <n v="26"/>
    <s v="Late"/>
    <n v="0"/>
  </r>
  <r>
    <x v="395"/>
    <d v="2025-08-21T00:00:00"/>
    <s v="Aug-2025"/>
    <s v="Q3"/>
    <d v="2025-09-14T00:00:00"/>
    <n v="24"/>
    <x v="3"/>
    <x v="6"/>
    <s v="Berlin"/>
    <s v="Europe &gt; Germany &gt; Berlin"/>
    <s v="Non-Profit"/>
    <s v="Online"/>
    <s v="A. Patel"/>
    <x v="5"/>
    <s v="MON-9662"/>
    <n v="1397.67"/>
    <n v="3131.37"/>
    <s v="High"/>
    <n v="0.10299999999999999"/>
    <n v="20"/>
    <n v="56176.777799999996"/>
    <n v="549945.85719000013"/>
    <n v="27953.4"/>
    <n v="28223.377799999995"/>
    <n v="0.50240293062874808"/>
    <n v="202508"/>
    <n v="202301"/>
    <s v="Aug-2023"/>
    <n v="31"/>
    <s v="Late"/>
    <n v="0"/>
  </r>
  <r>
    <x v="396"/>
    <d v="2024-12-12T00:00:00"/>
    <s v="Dec-2024"/>
    <s v="Q4"/>
    <d v="2024-12-20T00:00:00"/>
    <n v="8"/>
    <x v="1"/>
    <x v="2"/>
    <s v="Tokyo"/>
    <s v="Asia &gt; Japan &gt; Tokyo"/>
    <s v="Corporate"/>
    <s v="Retail"/>
    <s v="B. Chen"/>
    <x v="4"/>
    <s v="LAP-8347"/>
    <n v="1202.47"/>
    <n v="1444.72"/>
    <s v="High"/>
    <n v="0.24099999999999999"/>
    <n v="17"/>
    <n v="18641.222160000001"/>
    <n v="549945.85719000013"/>
    <n v="20441.990000000002"/>
    <n v="-1800.7678400000004"/>
    <n v="-9.6601382921343834E-2"/>
    <n v="202412"/>
    <n v="202303"/>
    <s v="Dec-2023"/>
    <n v="21"/>
    <s v="Late"/>
    <n v="0"/>
  </r>
  <r>
    <x v="397"/>
    <d v="2025-09-14T00:00:00"/>
    <s v="Sept-2025"/>
    <s v="Q3"/>
    <d v="2025-09-23T00:00:00"/>
    <n v="9"/>
    <x v="0"/>
    <x v="11"/>
    <s v="Durban"/>
    <s v="Africa &gt; South Africa &gt; Durban"/>
    <s v="Non-Profit"/>
    <s v="Online"/>
    <s v="D. Smith"/>
    <x v="0"/>
    <s v="CMP-6898"/>
    <n v="1310.3"/>
    <n v="2875.8"/>
    <s v="High"/>
    <n v="8.3000000000000004E-2"/>
    <n v="5"/>
    <n v="13185.543"/>
    <n v="549945.85719000013"/>
    <n v="6551.5"/>
    <n v="6634.0429999999997"/>
    <n v="0.50313005691157353"/>
    <n v="202509"/>
    <n v="202301"/>
    <s v="Sept-2023"/>
    <n v="32"/>
    <s v="Late"/>
    <n v="0"/>
  </r>
  <r>
    <x v="398"/>
    <d v="2024-09-06T00:00:00"/>
    <s v="Sept-2024"/>
    <s v="Q3"/>
    <d v="2024-10-04T00:00:00"/>
    <n v="28"/>
    <x v="0"/>
    <x v="11"/>
    <s v="Cape Town"/>
    <s v="Africa &gt; South Africa &gt; Cape Town"/>
    <s v="Corporate"/>
    <s v="Marketplace"/>
    <s v="D. Smith"/>
    <x v="5"/>
    <s v="MON-3504"/>
    <n v="1174.17"/>
    <n v="1641.61"/>
    <s v="High"/>
    <n v="0.122"/>
    <n v="9"/>
    <n v="12972.00222"/>
    <n v="536760.31419000006"/>
    <n v="10567.53"/>
    <n v="2404.4722199999997"/>
    <n v="0.18535860380079394"/>
    <n v="202409"/>
    <n v="202301"/>
    <s v="Sept-2023"/>
    <n v="20"/>
    <s v="Late"/>
    <n v="0"/>
  </r>
  <r>
    <x v="399"/>
    <d v="2025-04-12T00:00:00"/>
    <s v="Apr-2025"/>
    <s v="Q2"/>
    <d v="2025-04-30T00:00:00"/>
    <n v="18"/>
    <x v="0"/>
    <x v="0"/>
    <s v="Kisumu"/>
    <s v="Africa &gt; Kenya &gt; Kisumu"/>
    <s v="Corporate"/>
    <s v="Marketplace"/>
    <s v="F. Müller"/>
    <x v="2"/>
    <s v="NET-3432"/>
    <n v="1119.04"/>
    <n v="1299.02"/>
    <s v="High"/>
    <n v="2.5000000000000001E-2"/>
    <n v="14"/>
    <n v="17731.623"/>
    <n v="536760.31419000006"/>
    <n v="15666.56"/>
    <n v="2065.0630000000001"/>
    <n v="0.11646215352085933"/>
    <n v="202504"/>
    <n v="202301"/>
    <s v="Apr-2023"/>
    <n v="27"/>
    <s v="Late"/>
    <n v="0"/>
  </r>
  <r>
    <x v="400"/>
    <d v="2024-08-12T00:00:00"/>
    <s v="Aug-2024"/>
    <s v="Q3"/>
    <d v="2024-08-15T00:00:00"/>
    <n v="3"/>
    <x v="2"/>
    <x v="10"/>
    <s v="Chicago"/>
    <s v="Americas &gt; USA &gt; Chicago"/>
    <s v="Corporate"/>
    <s v="Marketplace"/>
    <s v="D. Smith"/>
    <x v="1"/>
    <s v="PRN-5591"/>
    <n v="850.7"/>
    <n v="1118.56"/>
    <s v="Medium"/>
    <n v="0.18"/>
    <n v="19"/>
    <n v="17427.164800000002"/>
    <n v="536760.31419000006"/>
    <n v="16163.300000000001"/>
    <n v="1263.8648000000012"/>
    <n v="7.2522685962090688E-2"/>
    <n v="202408"/>
    <n v="202301"/>
    <s v="Aug-2023"/>
    <n v="19"/>
    <s v="On Time"/>
    <n v="1"/>
  </r>
  <r>
    <x v="401"/>
    <d v="2024-11-05T00:00:00"/>
    <s v="Nov-2024"/>
    <s v="Q4"/>
    <d v="2024-11-08T00:00:00"/>
    <n v="3"/>
    <x v="2"/>
    <x v="3"/>
    <s v="Toronto"/>
    <s v="Americas &gt; Canada &gt; Toronto"/>
    <s v="Education"/>
    <s v="Marketplace"/>
    <s v="O. Wang"/>
    <x v="0"/>
    <s v="CMP-2015"/>
    <n v="1020.4"/>
    <n v="1184.71"/>
    <s v="High"/>
    <n v="0.106"/>
    <n v="16"/>
    <n v="16946.091840000001"/>
    <n v="536760.31419000006"/>
    <n v="16326.4"/>
    <n v="619.69184000000132"/>
    <n v="3.6568422138328345E-2"/>
    <n v="202411"/>
    <n v="202301"/>
    <s v="Nov-2023"/>
    <n v="22"/>
    <s v="On Time"/>
    <n v="1"/>
  </r>
  <r>
    <x v="402"/>
    <d v="2024-07-24T00:00:00"/>
    <s v="Jul-2024"/>
    <s v="Q3"/>
    <d v="2024-08-08T00:00:00"/>
    <n v="15"/>
    <x v="3"/>
    <x v="7"/>
    <s v="Marseille"/>
    <s v="Europe &gt; France &gt; Marseille"/>
    <s v="Enterprise"/>
    <s v="Marketplace"/>
    <s v="H. Kim"/>
    <x v="4"/>
    <s v="LAP-9901"/>
    <n v="501.5"/>
    <n v="1201.47"/>
    <s v="Medium"/>
    <n v="0.126"/>
    <n v="5"/>
    <n v="5250.4239000000007"/>
    <n v="519814.22235000005"/>
    <n v="2507.5"/>
    <n v="2742.9239000000007"/>
    <n v="0.52241951359394057"/>
    <n v="202407"/>
    <n v="202301"/>
    <s v="Jul-2023"/>
    <n v="18"/>
    <s v="Late"/>
    <n v="0"/>
  </r>
  <r>
    <x v="403"/>
    <d v="2025-01-20T00:00:00"/>
    <s v="Jan-2025"/>
    <s v="Q1"/>
    <d v="2025-02-03T00:00:00"/>
    <n v="14"/>
    <x v="2"/>
    <x v="5"/>
    <s v="Brasília"/>
    <s v="Americas &gt; Brazil &gt; Brasília"/>
    <s v="Enterprise"/>
    <s v="Marketplace"/>
    <s v="F. Müller"/>
    <x v="0"/>
    <s v="CMP-8658"/>
    <n v="974.11"/>
    <n v="880.99"/>
    <s v="Medium"/>
    <n v="0.111"/>
    <n v="10"/>
    <n v="7832.0010999999995"/>
    <n v="519814.22235000005"/>
    <n v="9741.1"/>
    <n v="-1909.0989000000009"/>
    <n v="-0.2437562093805121"/>
    <n v="202501"/>
    <n v="202301"/>
    <s v="Jan-2023"/>
    <n v="24"/>
    <s v="Late"/>
    <n v="0"/>
  </r>
  <r>
    <x v="404"/>
    <d v="2023-03-06T00:00:00"/>
    <s v="Mar-2023"/>
    <s v="Q1"/>
    <d v="2023-04-04T00:00:00"/>
    <n v="29"/>
    <x v="1"/>
    <x v="9"/>
    <s v="Beijing"/>
    <s v="Asia &gt; China &gt; Beijing"/>
    <s v="Small Business"/>
    <s v="Direct"/>
    <s v="C. Otieno"/>
    <x v="5"/>
    <s v="MON-2073"/>
    <n v="1126.29"/>
    <n v="2050.87"/>
    <s v="High"/>
    <n v="6.4000000000000001E-2"/>
    <n v="7"/>
    <n v="13437.300239999999"/>
    <n v="511982.22125000006"/>
    <n v="7884.03"/>
    <n v="5553.2702399999989"/>
    <n v="0.41327276616690373"/>
    <n v="202303"/>
    <n v="202301"/>
    <s v="Mar-2023"/>
    <n v="2"/>
    <s v="Late"/>
    <n v="0"/>
  </r>
  <r>
    <x v="405"/>
    <d v="2024-12-20T00:00:00"/>
    <s v="Dec-2024"/>
    <s v="Q4"/>
    <d v="2025-01-14T00:00:00"/>
    <n v="25"/>
    <x v="1"/>
    <x v="4"/>
    <s v="Delhi"/>
    <s v="Asia &gt; India &gt; Delhi"/>
    <s v="Small Business"/>
    <s v="Retail"/>
    <s v="M. Rossi"/>
    <x v="1"/>
    <s v="PRN-9378"/>
    <n v="1361.34"/>
    <n v="1737.9"/>
    <s v="High"/>
    <n v="7.6999999999999999E-2"/>
    <n v="14"/>
    <n v="22457.143800000002"/>
    <n v="511982.22125000006"/>
    <n v="19058.759999999998"/>
    <n v="3398.3838000000032"/>
    <n v="0.15132751654731813"/>
    <n v="202412"/>
    <n v="202301"/>
    <s v="Dec-2023"/>
    <n v="23"/>
    <s v="Late"/>
    <n v="0"/>
  </r>
  <r>
    <x v="406"/>
    <d v="2025-02-21T00:00:00"/>
    <s v="Feb-2025"/>
    <s v="Q1"/>
    <d v="2025-03-21T00:00:00"/>
    <n v="28"/>
    <x v="0"/>
    <x v="1"/>
    <s v="Abuja"/>
    <s v="Africa &gt; Nigeria &gt; Abuja"/>
    <s v="Enterprise"/>
    <s v="Marketplace"/>
    <s v="I. Johnson"/>
    <x v="3"/>
    <s v="PHN-5887"/>
    <n v="1437.39"/>
    <n v="1388.31"/>
    <s v="High"/>
    <n v="0.13800000000000001"/>
    <n v="18"/>
    <n v="21541.017959999997"/>
    <n v="511982.22125000006"/>
    <n v="25873.02"/>
    <n v="-4332.002040000003"/>
    <n v="-0.20110479681341872"/>
    <n v="202502"/>
    <n v="202301"/>
    <s v="Feb-2023"/>
    <n v="25"/>
    <s v="Late"/>
    <n v="0"/>
  </r>
  <r>
    <x v="407"/>
    <d v="2025-03-08T00:00:00"/>
    <s v="Mar-2025"/>
    <s v="Q1"/>
    <d v="2025-03-15T00:00:00"/>
    <n v="7"/>
    <x v="1"/>
    <x v="4"/>
    <s v="Bengaluru"/>
    <s v="Asia &gt; India &gt; Bengaluru"/>
    <s v="Corporate"/>
    <s v="Distributor"/>
    <s v="K. Singh"/>
    <x v="4"/>
    <s v="LAP-8119"/>
    <n v="475.66"/>
    <n v="529.14"/>
    <s v="Low"/>
    <n v="0.19600000000000001"/>
    <n v="11"/>
    <n v="4679.7141600000004"/>
    <n v="511982.22125000006"/>
    <n v="5232.26"/>
    <n v="-552.54583999999977"/>
    <n v="-0.11807256193613323"/>
    <n v="202503"/>
    <n v="202301"/>
    <s v="Mar-2023"/>
    <n v="26"/>
    <s v="On Time"/>
    <n v="1"/>
  </r>
  <r>
    <x v="408"/>
    <d v="2023-12-16T00:00:00"/>
    <s v="Dec-2023"/>
    <s v="Q4"/>
    <d v="2023-12-19T00:00:00"/>
    <n v="3"/>
    <x v="1"/>
    <x v="9"/>
    <s v="Beijing"/>
    <s v="Asia &gt; China &gt; Beijing"/>
    <s v="Education"/>
    <s v="Retail"/>
    <s v="A. Patel"/>
    <x v="6"/>
    <s v="ACC-9644"/>
    <n v="1415.05"/>
    <n v="1972.38"/>
    <s v="High"/>
    <n v="0"/>
    <n v="12"/>
    <n v="23668.560000000001"/>
    <n v="511982.22125000006"/>
    <n v="16980.599999999999"/>
    <n v="6687.9600000000028"/>
    <n v="0.28256725377462771"/>
    <n v="202312"/>
    <n v="202301"/>
    <s v="Dec-2023"/>
    <n v="11"/>
    <s v="On Time"/>
    <n v="1"/>
  </r>
  <r>
    <x v="409"/>
    <d v="2024-08-30T00:00:00"/>
    <s v="Aug-2024"/>
    <s v="Q3"/>
    <d v="2024-09-05T00:00:00"/>
    <n v="6"/>
    <x v="1"/>
    <x v="2"/>
    <s v="Nagoya"/>
    <s v="Asia &gt; Japan &gt; Nagoya"/>
    <s v="Education"/>
    <s v="Online"/>
    <s v="N. Brown"/>
    <x v="4"/>
    <s v="LAP-7009"/>
    <n v="466.16"/>
    <n v="876.81"/>
    <s v="Low"/>
    <n v="0.24099999999999999"/>
    <n v="8"/>
    <n v="5323.9903199999999"/>
    <n v="511982.22125000006"/>
    <n v="3729.28"/>
    <n v="1594.7103199999997"/>
    <n v="0.29953291124691594"/>
    <n v="202408"/>
    <n v="202303"/>
    <s v="Aug-2023"/>
    <n v="17"/>
    <s v="On Time"/>
    <n v="1"/>
  </r>
  <r>
    <x v="410"/>
    <d v="2024-05-18T00:00:00"/>
    <s v="May-2024"/>
    <s v="Q2"/>
    <d v="2024-05-21T00:00:00"/>
    <n v="3"/>
    <x v="3"/>
    <x v="7"/>
    <s v="Marseille"/>
    <s v="Europe &gt; France &gt; Marseille"/>
    <s v="Non-Profit"/>
    <s v="Marketplace"/>
    <s v="D. Smith"/>
    <x v="1"/>
    <s v="PRN-1725"/>
    <n v="663.66"/>
    <n v="824.26"/>
    <s v="Medium"/>
    <n v="0.23899999999999999"/>
    <n v="11"/>
    <n v="6899.8804600000003"/>
    <n v="511982.22125000006"/>
    <n v="7300.2599999999993"/>
    <n v="-400.379539999999"/>
    <n v="-5.8027025587048933E-2"/>
    <n v="202405"/>
    <n v="202301"/>
    <s v="May-2023"/>
    <n v="16"/>
    <s v="On Time"/>
    <n v="1"/>
  </r>
  <r>
    <x v="411"/>
    <d v="2023-03-17T00:00:00"/>
    <s v="Mar-2023"/>
    <s v="Q1"/>
    <d v="2023-04-06T00:00:00"/>
    <n v="20"/>
    <x v="3"/>
    <x v="6"/>
    <s v="Munich"/>
    <s v="Europe &gt; Germany &gt; Munich"/>
    <s v="Consumer"/>
    <s v="Retail"/>
    <s v="O. Wang"/>
    <x v="3"/>
    <s v="PHN-8483"/>
    <n v="692.18"/>
    <n v="1159.3499999999999"/>
    <s v="Medium"/>
    <n v="0.112"/>
    <n v="2"/>
    <n v="2059.0056"/>
    <n v="511982.22125000006"/>
    <n v="1384.36"/>
    <n v="674.64560000000006"/>
    <n v="0.32765602968734037"/>
    <n v="202303"/>
    <n v="202301"/>
    <s v="Mar-2023"/>
    <n v="2"/>
    <s v="Late"/>
    <n v="0"/>
  </r>
  <r>
    <x v="412"/>
    <d v="2023-08-25T00:00:00"/>
    <s v="Aug-2023"/>
    <s v="Q3"/>
    <d v="2023-09-16T00:00:00"/>
    <n v="22"/>
    <x v="0"/>
    <x v="1"/>
    <s v="Abuja"/>
    <s v="Africa &gt; Nigeria &gt; Abuja"/>
    <s v="Corporate"/>
    <s v="Marketplace"/>
    <s v="L. Okafor"/>
    <x v="3"/>
    <s v="PHN-3971"/>
    <n v="1196.83"/>
    <n v="2513.5100000000002"/>
    <s v="High"/>
    <n v="8.3000000000000004E-2"/>
    <n v="7"/>
    <n v="16134.22069"/>
    <n v="511982.22125000006"/>
    <n v="8377.81"/>
    <n v="7756.4106900000006"/>
    <n v="0.48074281609445374"/>
    <n v="202308"/>
    <n v="202301"/>
    <s v="Aug-2023"/>
    <n v="7"/>
    <s v="Late"/>
    <n v="0"/>
  </r>
  <r>
    <x v="413"/>
    <d v="2024-06-06T00:00:00"/>
    <s v="Jun-2024"/>
    <s v="Q2"/>
    <d v="2024-06-24T00:00:00"/>
    <n v="18"/>
    <x v="1"/>
    <x v="4"/>
    <s v="Bengaluru"/>
    <s v="Asia &gt; India &gt; Bengaluru"/>
    <s v="Small Business"/>
    <s v="Direct"/>
    <s v="H. Kim"/>
    <x v="2"/>
    <s v="NET-6578"/>
    <n v="1253.25"/>
    <n v="3087.13"/>
    <s v="High"/>
    <n v="7.1999999999999995E-2"/>
    <n v="11"/>
    <n v="31513.423040000001"/>
    <n v="511982.22125000006"/>
    <n v="13785.75"/>
    <n v="17727.673040000001"/>
    <n v="0.562543555408064"/>
    <n v="202406"/>
    <n v="202301"/>
    <s v="Jun-2023"/>
    <n v="17"/>
    <s v="Late"/>
    <n v="0"/>
  </r>
  <r>
    <x v="414"/>
    <d v="2023-08-29T00:00:00"/>
    <s v="Aug-2023"/>
    <s v="Q3"/>
    <d v="2023-09-13T00:00:00"/>
    <n v="15"/>
    <x v="2"/>
    <x v="3"/>
    <s v="Vancouver"/>
    <s v="Americas &gt; Canada &gt; Vancouver"/>
    <s v="Small Business"/>
    <s v="Marketplace"/>
    <s v="O. Wang"/>
    <x v="1"/>
    <s v="PRN-9975"/>
    <n v="1287.6400000000001"/>
    <n v="2717.15"/>
    <s v="High"/>
    <n v="3.2000000000000001E-2"/>
    <n v="7"/>
    <n v="18411.4084"/>
    <n v="511982.22125000006"/>
    <n v="9013.4800000000014"/>
    <n v="9397.9283999999989"/>
    <n v="0.51044049405802105"/>
    <n v="202308"/>
    <n v="202301"/>
    <s v="Aug-2023"/>
    <n v="7"/>
    <s v="Late"/>
    <n v="0"/>
  </r>
  <r>
    <x v="415"/>
    <d v="2024-11-30T00:00:00"/>
    <s v="Nov-2024"/>
    <s v="Q4"/>
    <d v="2024-12-10T00:00:00"/>
    <n v="10"/>
    <x v="1"/>
    <x v="4"/>
    <s v="Hyderabad"/>
    <s v="Asia &gt; India &gt; Hyderabad"/>
    <s v="Small Business"/>
    <s v="Retail"/>
    <s v="F. Müller"/>
    <x v="6"/>
    <s v="ACC-1075"/>
    <n v="851.49"/>
    <n v="901.79"/>
    <s v="Medium"/>
    <n v="0.245"/>
    <n v="16"/>
    <n v="10893.6232"/>
    <n v="511982.22125000006"/>
    <n v="13623.84"/>
    <n v="-2730.2168000000001"/>
    <n v="-0.25062522816100341"/>
    <n v="202411"/>
    <n v="202301"/>
    <s v="Nov-2023"/>
    <n v="22"/>
    <s v="Late"/>
    <n v="0"/>
  </r>
  <r>
    <x v="416"/>
    <d v="2025-06-05T00:00:00"/>
    <s v="Jun-2025"/>
    <s v="Q2"/>
    <d v="2025-06-14T00:00:00"/>
    <n v="9"/>
    <x v="1"/>
    <x v="4"/>
    <s v="Delhi"/>
    <s v="Asia &gt; India &gt; Delhi"/>
    <s v="Non-Profit"/>
    <s v="Retail"/>
    <s v="A. Patel"/>
    <x v="6"/>
    <s v="ACC-2902"/>
    <n v="618.69000000000005"/>
    <n v="796.15"/>
    <s v="Medium"/>
    <n v="0.09"/>
    <n v="11"/>
    <n v="7969.4615000000003"/>
    <n v="511982.22125000006"/>
    <n v="6805.59"/>
    <n v="1163.8715000000002"/>
    <n v="0.14604142325049191"/>
    <n v="202506"/>
    <n v="202301"/>
    <s v="Jun-2023"/>
    <n v="29"/>
    <s v="Late"/>
    <n v="0"/>
  </r>
  <r>
    <x v="417"/>
    <d v="2025-03-14T00:00:00"/>
    <s v="Mar-2025"/>
    <s v="Q1"/>
    <d v="2025-04-08T00:00:00"/>
    <n v="25"/>
    <x v="1"/>
    <x v="9"/>
    <s v="Not Provided"/>
    <s v="Asia &gt; China &gt; Not Provided"/>
    <s v="Corporate"/>
    <s v="Distributor"/>
    <s v="D. Smith"/>
    <x v="1"/>
    <s v="PRN-5815"/>
    <n v="80.59"/>
    <n v="157.82"/>
    <s v="Low"/>
    <n v="0.217"/>
    <n v="6"/>
    <n v="741.43835999999999"/>
    <n v="511982.22125000006"/>
    <n v="483.54"/>
    <n v="257.89835999999997"/>
    <n v="0.34783519967863541"/>
    <n v="202503"/>
    <n v="202301"/>
    <s v="Mar-2023"/>
    <n v="26"/>
    <s v="Late"/>
    <n v="0"/>
  </r>
  <r>
    <x v="418"/>
    <d v="2024-01-16T00:00:00"/>
    <s v="Jan-2024"/>
    <s v="Q1"/>
    <d v="2024-02-11T00:00:00"/>
    <n v="26"/>
    <x v="3"/>
    <x v="6"/>
    <s v="Frankfurt"/>
    <s v="Europe &gt; Germany &gt; Frankfurt"/>
    <s v="Non-Profit"/>
    <s v="Distributor"/>
    <s v="E. Garcia"/>
    <x v="5"/>
    <s v="MON-4195"/>
    <n v="504.93"/>
    <n v="819.06"/>
    <s v="Medium"/>
    <n v="0.22600000000000001"/>
    <n v="15"/>
    <n v="9509.2865999999995"/>
    <n v="511982.22125000006"/>
    <n v="7573.95"/>
    <n v="1935.3365999999996"/>
    <n v="0.20352069312959814"/>
    <n v="202401"/>
    <n v="202301"/>
    <s v="Jan-2023"/>
    <n v="12"/>
    <s v="Late"/>
    <n v="0"/>
  </r>
  <r>
    <x v="419"/>
    <d v="2023-10-12T00:00:00"/>
    <s v="Oct-2023"/>
    <s v="Q4"/>
    <d v="2023-10-29T00:00:00"/>
    <n v="17"/>
    <x v="1"/>
    <x v="2"/>
    <s v="Nagoya"/>
    <s v="Asia &gt; Japan &gt; Nagoya"/>
    <s v="Non-Profit"/>
    <s v="Direct"/>
    <s v="H. Kim"/>
    <x v="3"/>
    <s v="PHN-8478"/>
    <n v="1102.19"/>
    <n v="1711.16"/>
    <s v="High"/>
    <n v="0.151"/>
    <n v="10"/>
    <n v="14527.748400000002"/>
    <n v="511982.22125000006"/>
    <n v="11021.900000000001"/>
    <n v="3505.8484000000008"/>
    <n v="0.24132083675127525"/>
    <n v="202310"/>
    <n v="202303"/>
    <s v="Oct-2023"/>
    <n v="7"/>
    <s v="Late"/>
    <n v="0"/>
  </r>
  <r>
    <x v="420"/>
    <d v="2025-02-25T00:00:00"/>
    <s v="Feb-2025"/>
    <s v="Q1"/>
    <d v="2025-03-17T00:00:00"/>
    <n v="20"/>
    <x v="2"/>
    <x v="10"/>
    <s v="San Francisco"/>
    <s v="Americas &gt; USA &gt; San Francisco"/>
    <s v="Non-Profit"/>
    <s v="Marketplace"/>
    <s v="H. Kim"/>
    <x v="3"/>
    <s v="PHN-1044"/>
    <n v="1205.26"/>
    <n v="1696.35"/>
    <s v="High"/>
    <n v="1.9E-2"/>
    <n v="6"/>
    <n v="9984.7160999999978"/>
    <n v="511982.22125000006"/>
    <n v="7231.5599999999995"/>
    <n v="2753.1560999999983"/>
    <n v="0.27573704374028213"/>
    <n v="202502"/>
    <n v="202301"/>
    <s v="Feb-2023"/>
    <n v="25"/>
    <s v="Late"/>
    <n v="0"/>
  </r>
  <r>
    <x v="421"/>
    <d v="2025-07-03T00:00:00"/>
    <s v="Jul-2025"/>
    <s v="Q3"/>
    <d v="2025-07-06T00:00:00"/>
    <n v="3"/>
    <x v="0"/>
    <x v="1"/>
    <s v="Lagos"/>
    <s v="Africa &gt; Nigeria &gt; Lagos"/>
    <s v="Consumer"/>
    <s v="Online"/>
    <s v="Not Provided"/>
    <x v="4"/>
    <s v="LAP-8910"/>
    <n v="1313.3"/>
    <n v="2884.34"/>
    <s v="High"/>
    <n v="0.157"/>
    <n v="42"/>
    <n v="102122.94203999999"/>
    <n v="511982.22125000006"/>
    <n v="55158.6"/>
    <n v="46964.342039999996"/>
    <n v="0.45988042551305253"/>
    <n v="202507"/>
    <n v="202301"/>
    <s v="Jul-2023"/>
    <n v="30"/>
    <s v="On Time"/>
    <n v="1"/>
  </r>
  <r>
    <x v="422"/>
    <d v="2025-09-15T00:00:00"/>
    <s v="Sept-2025"/>
    <s v="Q3"/>
    <d v="2025-09-25T00:00:00"/>
    <n v="10"/>
    <x v="1"/>
    <x v="4"/>
    <s v="Delhi"/>
    <s v="Asia &gt; India &gt; Delhi"/>
    <s v="Consumer"/>
    <s v="Retail"/>
    <s v="A. Patel"/>
    <x v="3"/>
    <s v="PHN-2859"/>
    <n v="1488.91"/>
    <n v="1483.74"/>
    <s v="High"/>
    <n v="0.16800000000000001"/>
    <n v="24"/>
    <n v="29627.320319999999"/>
    <n v="511982.22125000006"/>
    <n v="35733.840000000004"/>
    <n v="-6106.5196800000049"/>
    <n v="-0.20611110333450519"/>
    <n v="202509"/>
    <n v="202301"/>
    <s v="Sept-2023"/>
    <n v="32"/>
    <s v="Late"/>
    <n v="0"/>
  </r>
  <r>
    <x v="423"/>
    <d v="2024-02-19T00:00:00"/>
    <s v="Feb-2024"/>
    <s v="Q1"/>
    <d v="2024-03-06T00:00:00"/>
    <n v="16"/>
    <x v="1"/>
    <x v="9"/>
    <s v="Beijing"/>
    <s v="Asia &gt; China &gt; Beijing"/>
    <s v="Education"/>
    <s v="Marketplace"/>
    <s v="O. Wang"/>
    <x v="1"/>
    <s v="PRN-6308"/>
    <n v="1477.84"/>
    <n v="3197.47"/>
    <s v="High"/>
    <n v="0.24299999999999999"/>
    <n v="24"/>
    <n v="58091.634960000003"/>
    <n v="511982.22125000006"/>
    <n v="35468.159999999996"/>
    <n v="22623.474960000007"/>
    <n v="0.38944462443823091"/>
    <n v="202402"/>
    <n v="202301"/>
    <s v="Feb-2023"/>
    <n v="13"/>
    <s v="Late"/>
    <n v="0"/>
  </r>
  <r>
    <x v="424"/>
    <d v="2024-02-27T00:00:00"/>
    <s v="Feb-2024"/>
    <s v="Q1"/>
    <d v="2024-03-26T00:00:00"/>
    <n v="28"/>
    <x v="1"/>
    <x v="4"/>
    <s v="Mumbai"/>
    <s v="Asia &gt; India &gt; Mumbai"/>
    <s v="Education"/>
    <s v="Marketplace"/>
    <s v="G. Dubois"/>
    <x v="4"/>
    <s v="LAP-8469"/>
    <n v="1035.19"/>
    <n v="2322.6999999999998"/>
    <s v="High"/>
    <n v="0.17299999999999999"/>
    <n v="8"/>
    <n v="15366.983199999999"/>
    <n v="511982.22125000006"/>
    <n v="8281.52"/>
    <n v="7085.4631999999983"/>
    <n v="0.46108355217047409"/>
    <n v="202402"/>
    <n v="202301"/>
    <s v="Feb-2023"/>
    <n v="13"/>
    <s v="Late"/>
    <n v="0"/>
  </r>
  <r>
    <x v="425"/>
    <d v="2025-08-28T00:00:00"/>
    <s v="Aug-2025"/>
    <s v="Q3"/>
    <d v="2025-09-05T00:00:00"/>
    <n v="8"/>
    <x v="0"/>
    <x v="1"/>
    <s v="Port Harcourt"/>
    <s v="Africa &gt; Nigeria &gt; Port Harcourt"/>
    <s v="Small Business"/>
    <s v="Marketplace"/>
    <s v="E. Garcia"/>
    <x v="4"/>
    <s v="LAP-7553"/>
    <n v="1271.0999999999999"/>
    <n v="1932.42"/>
    <s v="High"/>
    <n v="0.25"/>
    <n v="21"/>
    <n v="30435.614999999998"/>
    <n v="511982.22125000006"/>
    <n v="26693.1"/>
    <n v="3742.5149999999994"/>
    <n v="0.12296498690760807"/>
    <n v="202508"/>
    <n v="202301"/>
    <s v="Aug-2023"/>
    <n v="31"/>
    <s v="Late"/>
    <n v="0"/>
  </r>
  <r>
    <x v="426"/>
    <d v="2024-08-18T00:00:00"/>
    <s v="Aug-2024"/>
    <s v="Q3"/>
    <d v="2024-09-12T00:00:00"/>
    <n v="25"/>
    <x v="1"/>
    <x v="4"/>
    <s v="Mumbai"/>
    <s v="Asia &gt; India &gt; Mumbai"/>
    <s v="Consumer"/>
    <s v="Marketplace"/>
    <s v="C. Otieno"/>
    <x v="3"/>
    <s v="PHN-3077"/>
    <n v="1154.03"/>
    <n v="1590.36"/>
    <s v="High"/>
    <n v="0.314"/>
    <n v="18"/>
    <n v="19637.76528"/>
    <n v="511982.22125000006"/>
    <n v="20772.54"/>
    <n v="-1134.7747200000013"/>
    <n v="-5.7785328616576745E-2"/>
    <n v="202408"/>
    <n v="202301"/>
    <s v="Aug-2023"/>
    <n v="19"/>
    <s v="Late"/>
    <n v="0"/>
  </r>
  <r>
    <x v="427"/>
    <d v="2024-02-25T00:00:00"/>
    <s v="Feb-2024"/>
    <s v="Q1"/>
    <d v="2024-03-09T00:00:00"/>
    <n v="13"/>
    <x v="3"/>
    <x v="7"/>
    <s v="Marseille"/>
    <s v="Europe &gt; France &gt; Marseille"/>
    <s v="Small Business"/>
    <s v="Distributor"/>
    <s v="E. Garcia"/>
    <x v="5"/>
    <s v="MON-3350"/>
    <n v="322.44"/>
    <n v="395.61"/>
    <s v="Low"/>
    <n v="0"/>
    <n v="34"/>
    <n v="13450.74"/>
    <n v="511982.22125000006"/>
    <n v="10962.96"/>
    <n v="2487.7800000000007"/>
    <n v="0.18495487980586947"/>
    <n v="202402"/>
    <n v="202301"/>
    <s v="Feb-2023"/>
    <n v="13"/>
    <s v="Late"/>
    <n v="0"/>
  </r>
  <r>
    <x v="428"/>
    <d v="2025-05-07T00:00:00"/>
    <s v="May-2025"/>
    <s v="Q2"/>
    <d v="2025-05-13T00:00:00"/>
    <n v="6"/>
    <x v="1"/>
    <x v="4"/>
    <s v="Bengaluru"/>
    <s v="Asia &gt; India &gt; Bengaluru"/>
    <s v="Enterprise"/>
    <s v="Direct"/>
    <s v="J. Njeri"/>
    <x v="3"/>
    <s v="PHN-5683"/>
    <n v="935.98"/>
    <n v="2077.69"/>
    <s v="Medium"/>
    <n v="0.17499999999999999"/>
    <n v="24"/>
    <n v="41138.261999999995"/>
    <n v="511982.22125000006"/>
    <n v="22463.52"/>
    <n v="18674.741999999995"/>
    <n v="0.45395067978321491"/>
    <n v="202505"/>
    <n v="202301"/>
    <s v="May-2023"/>
    <n v="28"/>
    <s v="On Time"/>
    <n v="1"/>
  </r>
  <r>
    <x v="429"/>
    <d v="2024-11-01T00:00:00"/>
    <s v="Nov-2024"/>
    <s v="Q4"/>
    <d v="2024-11-12T00:00:00"/>
    <n v="11"/>
    <x v="3"/>
    <x v="6"/>
    <s v="Frankfurt"/>
    <s v="Europe &gt; Germany &gt; Frankfurt"/>
    <s v="Consumer"/>
    <s v="Online"/>
    <s v="B. Chen"/>
    <x v="1"/>
    <s v="PRN-2409"/>
    <n v="599.84"/>
    <n v="1330.85"/>
    <s v="Medium"/>
    <n v="0.115"/>
    <n v="11"/>
    <n v="12955.824749999998"/>
    <n v="511982.22125000006"/>
    <n v="6598.2400000000007"/>
    <n v="6357.5847499999973"/>
    <n v="0.49071246892252063"/>
    <n v="202411"/>
    <n v="202301"/>
    <s v="Nov-2023"/>
    <n v="22"/>
    <s v="Late"/>
    <n v="0"/>
  </r>
  <r>
    <x v="430"/>
    <d v="2024-12-28T00:00:00"/>
    <s v="Dec-2024"/>
    <s v="Q4"/>
    <d v="2025-01-08T00:00:00"/>
    <n v="11"/>
    <x v="1"/>
    <x v="9"/>
    <s v="Shenzhen"/>
    <s v="Asia &gt; China &gt; Shenzhen"/>
    <s v="Enterprise"/>
    <s v="Online"/>
    <s v="K. Singh"/>
    <x v="4"/>
    <s v="LAP-8825"/>
    <n v="1201.31"/>
    <n v="2764.65"/>
    <s v="High"/>
    <n v="0"/>
    <n v="21"/>
    <n v="58057.65"/>
    <n v="511982.22125000006"/>
    <n v="25227.51"/>
    <n v="32830.14"/>
    <n v="0.56547483406579491"/>
    <n v="202412"/>
    <n v="202301"/>
    <s v="Dec-2023"/>
    <n v="23"/>
    <s v="Late"/>
    <n v="0"/>
  </r>
  <r>
    <x v="431"/>
    <d v="2023-10-21T00:00:00"/>
    <s v="Oct-2023"/>
    <s v="Q4"/>
    <d v="2023-10-21T00:00:00"/>
    <n v="0"/>
    <x v="3"/>
    <x v="8"/>
    <s v="Manchester"/>
    <s v="Europe &gt; United Kingdom &gt; Manchester"/>
    <s v="Enterprise"/>
    <s v="Distributor"/>
    <s v="J. Njeri"/>
    <x v="5"/>
    <s v="MON-8697"/>
    <n v="384.19"/>
    <n v="278.35000000000002"/>
    <s v="Low"/>
    <n v="5.6000000000000001E-2"/>
    <n v="10"/>
    <n v="2627.6239999999998"/>
    <n v="511982.22125000006"/>
    <n v="3841.9"/>
    <n v="-1214.2760000000003"/>
    <n v="-0.46211938998882657"/>
    <n v="202310"/>
    <n v="202301"/>
    <s v="Oct-2023"/>
    <n v="9"/>
    <s v="On Time"/>
    <n v="1"/>
  </r>
  <r>
    <x v="432"/>
    <d v="2024-12-10T00:00:00"/>
    <s v="Dec-2024"/>
    <s v="Q4"/>
    <d v="2024-12-19T00:00:00"/>
    <n v="9"/>
    <x v="0"/>
    <x v="1"/>
    <s v="Lagos"/>
    <s v="Africa &gt; Nigeria &gt; Lagos"/>
    <s v="Corporate"/>
    <s v="Retail"/>
    <s v="O. Wang"/>
    <x v="5"/>
    <s v="MON-4789"/>
    <n v="488.68"/>
    <n v="984.36"/>
    <s v="Low"/>
    <n v="5.8999999999999997E-2"/>
    <n v="14"/>
    <n v="12967.958640000001"/>
    <n v="511982.22125000006"/>
    <n v="6841.52"/>
    <n v="6126.4386400000003"/>
    <n v="0.47242891576649876"/>
    <n v="202412"/>
    <n v="202301"/>
    <s v="Dec-2023"/>
    <n v="23"/>
    <s v="Late"/>
    <n v="0"/>
  </r>
  <r>
    <x v="433"/>
    <d v="2024-09-07T00:00:00"/>
    <s v="Sept-2024"/>
    <s v="Q3"/>
    <d v="2024-09-18T00:00:00"/>
    <n v="11"/>
    <x v="1"/>
    <x v="9"/>
    <s v="Beijing"/>
    <s v="Asia &gt; China &gt; Beijing"/>
    <s v="Consumer"/>
    <s v="Distributor"/>
    <s v="O. Wang"/>
    <x v="2"/>
    <s v="NET-7998"/>
    <n v="181.74"/>
    <n v="190.84"/>
    <s v="Low"/>
    <n v="0.214"/>
    <n v="13"/>
    <n v="1950.0031200000001"/>
    <n v="511982.22125000006"/>
    <n v="2362.62"/>
    <n v="-412.61687999999981"/>
    <n v="-0.21159806144310159"/>
    <n v="202409"/>
    <n v="202301"/>
    <s v="Sept-2023"/>
    <n v="20"/>
    <s v="Late"/>
    <n v="0"/>
  </r>
  <r>
    <x v="434"/>
    <d v="2023-10-18T00:00:00"/>
    <s v="Oct-2023"/>
    <s v="Q4"/>
    <d v="2023-10-20T00:00:00"/>
    <n v="2"/>
    <x v="0"/>
    <x v="0"/>
    <s v="Kisumu"/>
    <s v="Africa &gt; Kenya &gt; Kisumu"/>
    <s v="Consumer"/>
    <s v="Retail"/>
    <s v="J. Njeri"/>
    <x v="3"/>
    <s v="PHN-8891"/>
    <n v="774.12"/>
    <n v="908.3"/>
    <s v="Medium"/>
    <n v="0"/>
    <n v="30"/>
    <n v="27249"/>
    <n v="511982.22125000006"/>
    <n v="23223.599999999999"/>
    <n v="4025.4000000000015"/>
    <n v="0.14772652207420461"/>
    <n v="202310"/>
    <n v="202301"/>
    <s v="Oct-2023"/>
    <n v="9"/>
    <s v="On Time"/>
    <n v="1"/>
  </r>
  <r>
    <x v="435"/>
    <d v="2024-12-24T00:00:00"/>
    <s v="Dec-2024"/>
    <s v="Q4"/>
    <d v="2025-01-13T00:00:00"/>
    <n v="20"/>
    <x v="1"/>
    <x v="4"/>
    <s v="Bengaluru"/>
    <s v="Asia &gt; India &gt; Bengaluru"/>
    <s v="Corporate"/>
    <s v="Marketplace"/>
    <s v="D. Smith"/>
    <x v="2"/>
    <s v="NET-9832"/>
    <n v="126.15"/>
    <n v="284.23"/>
    <s v="Low"/>
    <n v="0.113"/>
    <n v="22"/>
    <n v="5546.4642200000008"/>
    <n v="511982.22125000006"/>
    <n v="2775.3"/>
    <n v="2771.1642200000006"/>
    <n v="0.49962716968541088"/>
    <n v="202412"/>
    <n v="202301"/>
    <s v="Dec-2023"/>
    <n v="23"/>
    <s v="Late"/>
    <n v="0"/>
  </r>
  <r>
    <x v="436"/>
    <d v="2023-04-21T00:00:00"/>
    <s v="Apr-2023"/>
    <s v="Q2"/>
    <d v="2023-04-23T00:00:00"/>
    <n v="2"/>
    <x v="1"/>
    <x v="2"/>
    <s v="Nagoya"/>
    <s v="Asia &gt; Japan &gt; Nagoya"/>
    <s v="Small Business"/>
    <s v="Direct"/>
    <s v="M. Rossi"/>
    <x v="0"/>
    <s v="CMP-8604"/>
    <n v="607.04"/>
    <n v="1229.3399999999999"/>
    <s v="Medium"/>
    <n v="0.14699999999999999"/>
    <n v="7"/>
    <n v="7340.3891399999993"/>
    <n v="511982.22125000006"/>
    <n v="4249.28"/>
    <n v="3091.1091399999996"/>
    <n v="0.42110970972310058"/>
    <n v="202304"/>
    <n v="202303"/>
    <s v="Apr-2023"/>
    <n v="1"/>
    <s v="On Time"/>
    <n v="1"/>
  </r>
  <r>
    <x v="437"/>
    <d v="2023-12-30T00:00:00"/>
    <s v="Dec-2023"/>
    <s v="Q4"/>
    <d v="2024-01-08T00:00:00"/>
    <n v="9"/>
    <x v="3"/>
    <x v="7"/>
    <s v="Marseille"/>
    <s v="Europe &gt; France &gt; Marseille"/>
    <s v="Consumer"/>
    <s v="Marketplace"/>
    <s v="L. Okafor"/>
    <x v="6"/>
    <s v="ACC-6594"/>
    <n v="861.1"/>
    <n v="1224.72"/>
    <s v="Medium"/>
    <n v="0.17399999999999999"/>
    <n v="24"/>
    <n v="24278.849280000002"/>
    <n v="504641.83211000008"/>
    <n v="20666.400000000001"/>
    <n v="3612.4492800000007"/>
    <n v="0.14878997098827909"/>
    <n v="202312"/>
    <n v="202301"/>
    <s v="Dec-2023"/>
    <n v="11"/>
    <s v="Late"/>
    <n v="0"/>
  </r>
  <r>
    <x v="438"/>
    <d v="2023-02-21T00:00:00"/>
    <s v="Feb-2023"/>
    <s v="Q1"/>
    <d v="2023-03-12T00:00:00"/>
    <n v="19"/>
    <x v="0"/>
    <x v="0"/>
    <s v="Nakuru"/>
    <s v="Africa &gt; Kenya &gt; Nakuru"/>
    <s v="Corporate"/>
    <s v="Online"/>
    <s v="F. Müller"/>
    <x v="2"/>
    <s v="NET-2499"/>
    <n v="352.65"/>
    <n v="485.86"/>
    <s v="Low"/>
    <n v="4.1000000000000002E-2"/>
    <n v="6"/>
    <n v="2795.6384399999997"/>
    <n v="504641.83211000008"/>
    <n v="2115.8999999999996"/>
    <n v="679.73844000000008"/>
    <n v="0.24314247159943908"/>
    <n v="202302"/>
    <n v="202301"/>
    <s v="Feb-2023"/>
    <n v="1"/>
    <s v="Late"/>
    <n v="0"/>
  </r>
  <r>
    <x v="439"/>
    <d v="2023-05-17T00:00:00"/>
    <s v="May-2023"/>
    <s v="Q2"/>
    <d v="2023-06-03T00:00:00"/>
    <n v="17"/>
    <x v="1"/>
    <x v="9"/>
    <s v="Beijing"/>
    <s v="Asia &gt; China &gt; Beijing"/>
    <s v="Non-Profit"/>
    <s v="Distributor"/>
    <s v="M. Rossi"/>
    <x v="1"/>
    <s v="PRN-1923"/>
    <n v="979.59"/>
    <n v="2210.94"/>
    <s v="Medium"/>
    <n v="0.15"/>
    <n v="11"/>
    <n v="20672.289000000001"/>
    <n v="504641.83211000008"/>
    <n v="10775.49"/>
    <n v="9896.7990000000009"/>
    <n v="0.47874712858358359"/>
    <n v="202305"/>
    <n v="202301"/>
    <s v="May-2023"/>
    <n v="4"/>
    <s v="Late"/>
    <n v="0"/>
  </r>
  <r>
    <x v="440"/>
    <d v="2024-03-23T00:00:00"/>
    <s v="Mar-2024"/>
    <s v="Q1"/>
    <d v="2024-03-26T00:00:00"/>
    <n v="3"/>
    <x v="1"/>
    <x v="4"/>
    <s v="Bengaluru"/>
    <s v="Asia &gt; India &gt; Bengaluru"/>
    <s v="Education"/>
    <s v="Direct"/>
    <s v="G. Dubois"/>
    <x v="3"/>
    <s v="PHN-4346"/>
    <n v="382.21"/>
    <n v="571.89"/>
    <s v="Low"/>
    <n v="0.14799999999999999"/>
    <n v="26"/>
    <n v="12668.50728"/>
    <n v="504641.83211000008"/>
    <n v="9937.4599999999991"/>
    <n v="2731.0472800000007"/>
    <n v="0.2155776698578809"/>
    <n v="202403"/>
    <n v="202301"/>
    <s v="Mar-2023"/>
    <n v="14"/>
    <s v="On Time"/>
    <n v="1"/>
  </r>
  <r>
    <x v="441"/>
    <d v="2023-09-20T00:00:00"/>
    <s v="Sept-2023"/>
    <s v="Q3"/>
    <d v="2023-09-28T00:00:00"/>
    <n v="8"/>
    <x v="1"/>
    <x v="4"/>
    <s v="Not Provided"/>
    <s v="Asia &gt; India &gt; Not Provided"/>
    <s v="Corporate"/>
    <s v="Not Provided"/>
    <s v="B. Chen"/>
    <x v="6"/>
    <s v="ACC-1375"/>
    <n v="1362.06"/>
    <n v="3398.37"/>
    <s v="High"/>
    <n v="0.157"/>
    <n v="11"/>
    <n v="31513.085009999999"/>
    <n v="504641.83211000008"/>
    <n v="14982.66"/>
    <n v="16530.425009999999"/>
    <n v="0.52455749745714919"/>
    <n v="202309"/>
    <n v="202301"/>
    <s v="Sept-2023"/>
    <n v="8"/>
    <s v="Late"/>
    <n v="0"/>
  </r>
  <r>
    <x v="442"/>
    <d v="2024-08-22T00:00:00"/>
    <s v="Aug-2024"/>
    <s v="Q3"/>
    <d v="2024-09-04T00:00:00"/>
    <n v="13"/>
    <x v="3"/>
    <x v="6"/>
    <s v="Frankfurt"/>
    <s v="Europe &gt; Germany &gt; Frankfurt"/>
    <s v="Non-Profit"/>
    <s v="Retail"/>
    <s v="L. Okafor"/>
    <x v="1"/>
    <s v="PRN-4892"/>
    <n v="90.04"/>
    <n v="194.62"/>
    <s v="Low"/>
    <n v="4.2999999999999997E-2"/>
    <n v="32"/>
    <n v="5960.04288"/>
    <n v="504641.83211000008"/>
    <n v="2881.28"/>
    <n v="3078.7628799999998"/>
    <n v="0.51656723650954672"/>
    <n v="202408"/>
    <n v="202301"/>
    <s v="Aug-2023"/>
    <n v="19"/>
    <s v="Late"/>
    <n v="0"/>
  </r>
  <r>
    <x v="443"/>
    <d v="2024-09-25T00:00:00"/>
    <s v="Sept-2024"/>
    <s v="Q3"/>
    <d v="2024-10-03T00:00:00"/>
    <n v="8"/>
    <x v="2"/>
    <x v="3"/>
    <s v="Toronto"/>
    <s v="Americas &gt; Canada &gt; Toronto"/>
    <s v="Consumer"/>
    <s v="Online"/>
    <s v="E. Garcia"/>
    <x v="1"/>
    <s v="PRN-9557"/>
    <n v="558.19000000000005"/>
    <n v="1031.6400000000001"/>
    <s v="Medium"/>
    <n v="0"/>
    <n v="21"/>
    <n v="21664.440000000002"/>
    <n v="504641.83211000008"/>
    <n v="11721.990000000002"/>
    <n v="9942.4500000000007"/>
    <n v="0.45892947152107322"/>
    <n v="202409"/>
    <n v="202301"/>
    <s v="Sept-2023"/>
    <n v="20"/>
    <s v="Late"/>
    <n v="0"/>
  </r>
  <r>
    <x v="444"/>
    <d v="2023-06-13T00:00:00"/>
    <s v="Jun-2023"/>
    <s v="Q2"/>
    <d v="2023-06-24T00:00:00"/>
    <n v="11"/>
    <x v="2"/>
    <x v="3"/>
    <s v="Toronto"/>
    <s v="Americas &gt; Canada &gt; Toronto"/>
    <s v="Corporate"/>
    <s v="Online"/>
    <s v="C. Otieno"/>
    <x v="1"/>
    <s v="PRN-8008"/>
    <n v="247.07"/>
    <n v="495.19"/>
    <s v="Low"/>
    <n v="2.8000000000000001E-2"/>
    <n v="4"/>
    <n v="1925.29872"/>
    <n v="504641.83211000008"/>
    <n v="988.28"/>
    <n v="937.01872000000003"/>
    <n v="0.48668744764968214"/>
    <n v="202306"/>
    <n v="202301"/>
    <s v="Jun-2023"/>
    <n v="5"/>
    <s v="Late"/>
    <n v="0"/>
  </r>
  <r>
    <x v="445"/>
    <d v="2023-12-24T00:00:00"/>
    <s v="Dec-2023"/>
    <s v="Q4"/>
    <d v="2024-01-13T00:00:00"/>
    <n v="20"/>
    <x v="1"/>
    <x v="2"/>
    <s v="Nagoya"/>
    <s v="Asia &gt; Japan &gt; Nagoya"/>
    <s v="Education"/>
    <s v="Direct"/>
    <s v="B. Chen"/>
    <x v="4"/>
    <s v="LAP-1946"/>
    <n v="625.37"/>
    <n v="1319.04"/>
    <s v="Medium"/>
    <n v="7.3999999999999996E-2"/>
    <n v="8"/>
    <n v="9771.4483199999995"/>
    <n v="504641.83211000008"/>
    <n v="5002.96"/>
    <n v="4768.4883199999995"/>
    <n v="0.48800220436513547"/>
    <n v="202312"/>
    <n v="202303"/>
    <s v="Dec-2023"/>
    <n v="9"/>
    <s v="Late"/>
    <n v="0"/>
  </r>
  <r>
    <x v="446"/>
    <d v="2025-03-30T00:00:00"/>
    <s v="Mar-2025"/>
    <s v="Q1"/>
    <d v="2025-04-29T00:00:00"/>
    <n v="30"/>
    <x v="0"/>
    <x v="11"/>
    <s v="Durban"/>
    <s v="Africa &gt; South Africa &gt; Durban"/>
    <s v="Consumer"/>
    <s v="Marketplace"/>
    <s v="J. Njeri"/>
    <x v="5"/>
    <s v="MON-7106"/>
    <n v="194.6"/>
    <n v="314.87"/>
    <s v="Low"/>
    <n v="0.29299999999999998"/>
    <n v="25"/>
    <n v="5565.3272500000003"/>
    <n v="504641.83211000008"/>
    <n v="4865"/>
    <n v="700.32725000000028"/>
    <n v="0.1258375686712763"/>
    <n v="202503"/>
    <n v="202301"/>
    <s v="Mar-2023"/>
    <n v="26"/>
    <s v="Late"/>
    <n v="0"/>
  </r>
  <r>
    <x v="447"/>
    <d v="2024-06-03T00:00:00"/>
    <s v="Jun-2024"/>
    <s v="Q2"/>
    <d v="2024-06-24T00:00:00"/>
    <n v="21"/>
    <x v="2"/>
    <x v="3"/>
    <s v="Toronto"/>
    <s v="Americas &gt; Canada &gt; Toronto"/>
    <s v="Small Business"/>
    <s v="Direct"/>
    <s v="G. Dubois"/>
    <x v="5"/>
    <s v="MON-5386"/>
    <n v="1205.5"/>
    <n v="2210.17"/>
    <s v="High"/>
    <n v="0.104"/>
    <n v="23"/>
    <n v="45547.183360000003"/>
    <n v="504641.83211000008"/>
    <n v="27726.5"/>
    <n v="17820.683360000003"/>
    <n v="0.39125763758314652"/>
    <n v="202406"/>
    <n v="202301"/>
    <s v="Jun-2023"/>
    <n v="17"/>
    <s v="Late"/>
    <n v="0"/>
  </r>
  <r>
    <x v="448"/>
    <d v="2024-06-11T00:00:00"/>
    <s v="Jun-2024"/>
    <s v="Q2"/>
    <d v="2024-07-09T00:00:00"/>
    <n v="28"/>
    <x v="0"/>
    <x v="1"/>
    <s v="Port Harcourt"/>
    <s v="Africa &gt; Nigeria &gt; Port Harcourt"/>
    <s v="Corporate"/>
    <s v="Marketplace"/>
    <s v="I. Johnson"/>
    <x v="3"/>
    <s v="PHN-2436"/>
    <n v="895.54"/>
    <n v="1045"/>
    <s v="Medium"/>
    <n v="0.216"/>
    <n v="15"/>
    <n v="12289.2"/>
    <n v="504641.83211000008"/>
    <n v="13433.099999999999"/>
    <n v="-1143.8999999999978"/>
    <n v="-9.3081730299775234E-2"/>
    <n v="202406"/>
    <n v="202301"/>
    <s v="Jun-2023"/>
    <n v="17"/>
    <s v="Late"/>
    <n v="0"/>
  </r>
  <r>
    <x v="449"/>
    <d v="2023-07-22T00:00:00"/>
    <s v="Jul-2023"/>
    <s v="Q3"/>
    <d v="2023-07-23T00:00:00"/>
    <n v="1"/>
    <x v="1"/>
    <x v="4"/>
    <s v="Delhi"/>
    <s v="Asia &gt; India &gt; Delhi"/>
    <s v="Small Business"/>
    <s v="Distributor"/>
    <s v="E. Garcia"/>
    <x v="1"/>
    <s v="PRN-2301"/>
    <n v="946.99"/>
    <n v="2132.19"/>
    <s v="Medium"/>
    <n v="0.16500000000000001"/>
    <n v="7"/>
    <n v="12462.65055"/>
    <n v="504641.83211000008"/>
    <n v="6628.93"/>
    <n v="5833.72055"/>
    <n v="0.46809629513362228"/>
    <n v="202307"/>
    <n v="202301"/>
    <s v="Jul-2023"/>
    <n v="6"/>
    <s v="On Time"/>
    <n v="1"/>
  </r>
  <r>
    <x v="450"/>
    <d v="2023-01-19T00:00:00"/>
    <s v="Jan-2023"/>
    <s v="Q1"/>
    <d v="2023-02-03T00:00:00"/>
    <n v="15"/>
    <x v="3"/>
    <x v="8"/>
    <s v="London"/>
    <s v="Europe &gt; United Kingdom &gt; London"/>
    <s v="Enterprise"/>
    <s v="Distributor"/>
    <s v="G. Dubois"/>
    <x v="6"/>
    <s v="ACC-3645"/>
    <n v="873.06"/>
    <n v="2101.5500000000002"/>
    <s v="Medium"/>
    <n v="6.6000000000000003E-2"/>
    <n v="10"/>
    <n v="19628.476999999999"/>
    <n v="504641.83211000008"/>
    <n v="8730.5999999999985"/>
    <n v="10897.877"/>
    <n v="0.55520746719167269"/>
    <n v="202301"/>
    <n v="202301"/>
    <s v="Jan-2023"/>
    <n v="0"/>
    <s v="Late"/>
    <n v="0"/>
  </r>
  <r>
    <x v="451"/>
    <d v="2024-05-01T00:00:00"/>
    <s v="May-2024"/>
    <s v="Q2"/>
    <d v="2024-05-16T00:00:00"/>
    <n v="15"/>
    <x v="1"/>
    <x v="4"/>
    <s v="Bengaluru"/>
    <s v="Asia &gt; India &gt; Bengaluru"/>
    <s v="Small Business"/>
    <s v="Retail"/>
    <s v="L. Okafor"/>
    <x v="0"/>
    <s v="CMP-6811"/>
    <n v="901.19"/>
    <n v="2125.44"/>
    <s v="Medium"/>
    <n v="7.0999999999999994E-2"/>
    <n v="12"/>
    <n v="23694.405119999999"/>
    <n v="504641.83211000008"/>
    <n v="10814.28"/>
    <n v="12880.125119999999"/>
    <n v="0.54359352154100415"/>
    <n v="202405"/>
    <n v="202301"/>
    <s v="May-2023"/>
    <n v="16"/>
    <s v="Late"/>
    <n v="0"/>
  </r>
  <r>
    <x v="452"/>
    <d v="2025-06-09T00:00:00"/>
    <s v="Jun-2025"/>
    <s v="Q2"/>
    <d v="2025-06-24T00:00:00"/>
    <n v="15"/>
    <x v="1"/>
    <x v="2"/>
    <s v="Nagoya"/>
    <s v="Asia &gt; Japan &gt; Nagoya"/>
    <s v="Corporate"/>
    <s v="Direct"/>
    <s v="B. Chen"/>
    <x v="3"/>
    <s v="PHN-5675"/>
    <n v="400.39"/>
    <n v="712.75"/>
    <s v="Low"/>
    <n v="0.115"/>
    <n v="19"/>
    <n v="11984.891250000001"/>
    <n v="480947.42699000012"/>
    <n v="7607.41"/>
    <n v="4377.4812500000007"/>
    <n v="0.36524997671547504"/>
    <n v="202506"/>
    <n v="202303"/>
    <s v="Jun-2023"/>
    <n v="27"/>
    <s v="Late"/>
    <n v="0"/>
  </r>
  <r>
    <x v="453"/>
    <d v="2023-05-24T00:00:00"/>
    <s v="May-2023"/>
    <s v="Q2"/>
    <d v="2023-06-21T00:00:00"/>
    <n v="28"/>
    <x v="2"/>
    <x v="10"/>
    <s v="Austin"/>
    <s v="Americas &gt; USA &gt; Austin"/>
    <s v="Small Business"/>
    <s v="Marketplace"/>
    <s v="G. Dubois"/>
    <x v="5"/>
    <s v="MON-6882"/>
    <n v="813.97"/>
    <n v="1568.83"/>
    <s v="Medium"/>
    <n v="1.7000000000000001E-2"/>
    <n v="15"/>
    <n v="23132.398349999996"/>
    <n v="480947.42699000012"/>
    <n v="12209.550000000001"/>
    <n v="10922.848349999995"/>
    <n v="0.4721883215364911"/>
    <n v="202305"/>
    <n v="202301"/>
    <s v="May-2023"/>
    <n v="4"/>
    <s v="Late"/>
    <n v="0"/>
  </r>
  <r>
    <x v="454"/>
    <d v="2024-12-27T00:00:00"/>
    <s v="Dec-2024"/>
    <s v="Q4"/>
    <d v="2024-12-29T00:00:00"/>
    <n v="2"/>
    <x v="2"/>
    <x v="3"/>
    <s v="Vancouver"/>
    <s v="Americas &gt; Canada &gt; Vancouver"/>
    <s v="Enterprise"/>
    <s v="Marketplace"/>
    <s v="C. Otieno"/>
    <x v="6"/>
    <s v="ACC-8620"/>
    <n v="1146.72"/>
    <n v="2074.34"/>
    <s v="High"/>
    <n v="0.111"/>
    <n v="8"/>
    <n v="14752.706080000002"/>
    <n v="480947.42699000012"/>
    <n v="9173.76"/>
    <n v="5578.9460800000015"/>
    <n v="0.37816425337472737"/>
    <n v="202412"/>
    <n v="202301"/>
    <s v="Dec-2023"/>
    <n v="23"/>
    <s v="On Time"/>
    <n v="1"/>
  </r>
  <r>
    <x v="455"/>
    <d v="2023-12-05T00:00:00"/>
    <s v="Dec-2023"/>
    <s v="Q4"/>
    <d v="2023-12-12T00:00:00"/>
    <n v="7"/>
    <x v="2"/>
    <x v="5"/>
    <s v="Brasília"/>
    <s v="Americas &gt; Brazil &gt; Brasília"/>
    <s v="Corporate"/>
    <s v="Direct"/>
    <s v="F. Müller"/>
    <x v="3"/>
    <s v="PHN-6506"/>
    <n v="307.43"/>
    <n v="495.19"/>
    <s v="Low"/>
    <n v="0"/>
    <n v="42"/>
    <n v="20797.98"/>
    <n v="480947.42699000012"/>
    <n v="12912.06"/>
    <n v="7885.92"/>
    <n v="0.37916759223732305"/>
    <n v="202312"/>
    <n v="202301"/>
    <s v="Dec-2023"/>
    <n v="11"/>
    <s v="On Time"/>
    <n v="1"/>
  </r>
  <r>
    <x v="456"/>
    <d v="2023-05-02T00:00:00"/>
    <s v="May-2023"/>
    <s v="Q2"/>
    <d v="2023-05-19T00:00:00"/>
    <n v="17"/>
    <x v="1"/>
    <x v="9"/>
    <s v="Shanghai"/>
    <s v="Asia &gt; China &gt; Shanghai"/>
    <s v="Non-Profit"/>
    <s v="Direct"/>
    <s v="J. Njeri"/>
    <x v="5"/>
    <s v="MON-5086"/>
    <n v="714.28"/>
    <n v="757.59"/>
    <s v="Medium"/>
    <n v="0.13600000000000001"/>
    <n v="12"/>
    <n v="7854.6931199999999"/>
    <n v="480947.42699000012"/>
    <n v="8571.36"/>
    <n v="-716.66688000000067"/>
    <n v="-9.1240595787910383E-2"/>
    <n v="202305"/>
    <n v="202301"/>
    <s v="May-2023"/>
    <n v="4"/>
    <s v="Late"/>
    <n v="0"/>
  </r>
  <r>
    <x v="457"/>
    <d v="2023-11-30T00:00:00"/>
    <s v="Nov-2023"/>
    <s v="Q4"/>
    <d v="2023-12-10T00:00:00"/>
    <n v="10"/>
    <x v="3"/>
    <x v="6"/>
    <s v="Munich"/>
    <s v="Europe &gt; Germany &gt; Munich"/>
    <s v="Small Business"/>
    <s v="Direct"/>
    <s v="F. Müller"/>
    <x v="4"/>
    <s v="LAP-4899"/>
    <n v="174.74"/>
    <n v="415.96"/>
    <s v="Low"/>
    <n v="0.125"/>
    <n v="21"/>
    <n v="7643.2649999999994"/>
    <n v="480947.42699000012"/>
    <n v="3669.54"/>
    <n v="3973.7249999999995"/>
    <n v="0.51989889137691803"/>
    <n v="202311"/>
    <n v="202301"/>
    <s v="Nov-2023"/>
    <n v="10"/>
    <s v="Late"/>
    <n v="0"/>
  </r>
  <r>
    <x v="458"/>
    <d v="2024-05-05T00:00:00"/>
    <s v="May-2024"/>
    <s v="Q2"/>
    <d v="2024-05-18T00:00:00"/>
    <n v="13"/>
    <x v="3"/>
    <x v="7"/>
    <s v="Marseille"/>
    <s v="Europe &gt; France &gt; Marseille"/>
    <s v="Corporate"/>
    <s v="Marketplace"/>
    <s v="A. Patel"/>
    <x v="0"/>
    <s v="CMP-3313"/>
    <n v="1264.04"/>
    <n v="1870.89"/>
    <s v="High"/>
    <n v="0"/>
    <n v="13"/>
    <n v="24321.57"/>
    <n v="480947.42699000012"/>
    <n v="16432.52"/>
    <n v="7889.0499999999993"/>
    <n v="0.32436433996653996"/>
    <n v="202405"/>
    <n v="202301"/>
    <s v="May-2023"/>
    <n v="16"/>
    <s v="Late"/>
    <n v="0"/>
  </r>
  <r>
    <x v="459"/>
    <d v="2023-07-09T00:00:00"/>
    <s v="Jul-2023"/>
    <s v="Q3"/>
    <d v="2023-07-19T00:00:00"/>
    <n v="10"/>
    <x v="1"/>
    <x v="2"/>
    <s v="Tokyo"/>
    <s v="Asia &gt; Japan &gt; Tokyo"/>
    <s v="Enterprise"/>
    <s v="Distributor"/>
    <s v="N. Brown"/>
    <x v="0"/>
    <s v="CMP-6649"/>
    <n v="141.26"/>
    <n v="206.88"/>
    <s v="Low"/>
    <n v="0.107"/>
    <n v="9"/>
    <n v="1662.6945600000001"/>
    <n v="456625.85699000012"/>
    <n v="1271.3399999999999"/>
    <n v="391.35456000000022"/>
    <n v="0.23537369365062469"/>
    <n v="202307"/>
    <n v="202303"/>
    <s v="Jul-2023"/>
    <n v="4"/>
    <s v="Late"/>
    <n v="0"/>
  </r>
  <r>
    <x v="460"/>
    <d v="2023-05-17T00:00:00"/>
    <s v="May-2023"/>
    <s v="Q2"/>
    <d v="2023-06-15T00:00:00"/>
    <n v="29"/>
    <x v="0"/>
    <x v="11"/>
    <s v="Durban"/>
    <s v="Africa &gt; South Africa &gt; Durban"/>
    <s v="Enterprise"/>
    <s v="Retail"/>
    <s v="K. Singh"/>
    <x v="6"/>
    <s v="ACC-5206"/>
    <n v="40.89"/>
    <n v="62.82"/>
    <s v="Low"/>
    <n v="0.129"/>
    <n v="17"/>
    <n v="930.17574000000002"/>
    <n v="454963.16243000008"/>
    <n v="695.13"/>
    <n v="235.04574000000002"/>
    <n v="0.25268960465470752"/>
    <n v="202305"/>
    <n v="202301"/>
    <s v="May-2023"/>
    <n v="4"/>
    <s v="Late"/>
    <n v="0"/>
  </r>
  <r>
    <x v="461"/>
    <d v="2024-03-07T00:00:00"/>
    <s v="Mar-2024"/>
    <s v="Q1"/>
    <d v="2024-04-03T00:00:00"/>
    <n v="27"/>
    <x v="3"/>
    <x v="6"/>
    <s v="Frankfurt"/>
    <s v="Europe &gt; Germany &gt; Frankfurt"/>
    <s v="Corporate"/>
    <s v="Direct"/>
    <s v="M. Rossi"/>
    <x v="1"/>
    <s v="PRN-6911"/>
    <n v="738.16"/>
    <n v="956.49"/>
    <s v="Medium"/>
    <n v="0.152"/>
    <n v="5"/>
    <n v="4055.5175999999997"/>
    <n v="454963.16243000008"/>
    <n v="3690.7999999999997"/>
    <n v="364.71759999999995"/>
    <n v="8.9931208780847108E-2"/>
    <n v="202403"/>
    <n v="202301"/>
    <s v="Mar-2023"/>
    <n v="14"/>
    <s v="Late"/>
    <n v="0"/>
  </r>
  <r>
    <x v="462"/>
    <d v="2025-04-10T00:00:00"/>
    <s v="Apr-2025"/>
    <s v="Q2"/>
    <d v="2025-04-19T00:00:00"/>
    <n v="9"/>
    <x v="0"/>
    <x v="11"/>
    <s v="Durban"/>
    <s v="Africa &gt; South Africa &gt; Durban"/>
    <s v="Enterprise"/>
    <s v="Not Provided"/>
    <s v="G. Dubois"/>
    <x v="2"/>
    <s v="NET-5270"/>
    <n v="113.74"/>
    <n v="165.7"/>
    <s v="Low"/>
    <n v="0.124"/>
    <n v="13"/>
    <n v="1886.9915999999998"/>
    <n v="454963.16243000008"/>
    <n v="1478.62"/>
    <n v="408.37159999999994"/>
    <n v="0.21641410592394794"/>
    <n v="202504"/>
    <n v="202301"/>
    <s v="Apr-2023"/>
    <n v="27"/>
    <s v="Late"/>
    <n v="0"/>
  </r>
  <r>
    <x v="463"/>
    <d v="2025-07-27T00:00:00"/>
    <s v="Jul-2025"/>
    <s v="Q3"/>
    <d v="2025-08-15T00:00:00"/>
    <n v="19"/>
    <x v="1"/>
    <x v="2"/>
    <s v="Tokyo"/>
    <s v="Asia &gt; Japan &gt; Tokyo"/>
    <s v="Small Business"/>
    <s v="Marketplace"/>
    <s v="J. Njeri"/>
    <x v="0"/>
    <s v="CMP-5658"/>
    <n v="275.43"/>
    <n v="608.36"/>
    <s v="Low"/>
    <n v="0.25700000000000001"/>
    <n v="4"/>
    <n v="1808.04592"/>
    <n v="454963.16243000008"/>
    <n v="1101.72"/>
    <n v="706.32592"/>
    <n v="0.39065706915231446"/>
    <n v="202507"/>
    <n v="202303"/>
    <s v="Jul-2023"/>
    <n v="28"/>
    <s v="Late"/>
    <n v="0"/>
  </r>
  <r>
    <x v="464"/>
    <d v="2024-11-22T00:00:00"/>
    <s v="Nov-2024"/>
    <s v="Q4"/>
    <d v="2024-12-15T00:00:00"/>
    <n v="23"/>
    <x v="0"/>
    <x v="0"/>
    <s v="Mombasa"/>
    <s v="Africa &gt; Kenya &gt; Mombasa"/>
    <s v="Non-Profit"/>
    <s v="Distributor"/>
    <s v="C. Otieno"/>
    <x v="0"/>
    <s v="CMP-3938"/>
    <n v="1335.76"/>
    <n v="2665.91"/>
    <s v="High"/>
    <n v="0.21099999999999999"/>
    <n v="40"/>
    <n v="84136.119600000005"/>
    <n v="453155.11651000002"/>
    <n v="53430.400000000001"/>
    <n v="30705.719600000004"/>
    <n v="0.36495288522909253"/>
    <n v="202411"/>
    <n v="202301"/>
    <s v="Nov-2023"/>
    <n v="22"/>
    <s v="Late"/>
    <n v="0"/>
  </r>
  <r>
    <x v="465"/>
    <d v="2024-06-23T00:00:00"/>
    <s v="Jun-2024"/>
    <s v="Q2"/>
    <d v="2024-06-28T00:00:00"/>
    <n v="5"/>
    <x v="0"/>
    <x v="1"/>
    <s v="Port Harcourt"/>
    <s v="Africa &gt; Nigeria &gt; Port Harcourt"/>
    <s v="Non-Profit"/>
    <s v="Direct"/>
    <s v="M. Rossi"/>
    <x v="6"/>
    <s v="ACC-7671"/>
    <n v="242.31"/>
    <n v="587.95000000000005"/>
    <s v="Low"/>
    <n v="0.22900000000000001"/>
    <n v="6"/>
    <n v="2719.8567000000003"/>
    <n v="369018.99690999999"/>
    <n v="1453.8600000000001"/>
    <n v="1265.9967000000001"/>
    <n v="0.46546448568411714"/>
    <n v="202406"/>
    <n v="202301"/>
    <s v="Jun-2023"/>
    <n v="17"/>
    <s v="On Time"/>
    <n v="1"/>
  </r>
  <r>
    <x v="466"/>
    <d v="2023-12-18T00:00:00"/>
    <s v="Dec-2023"/>
    <s v="Q4"/>
    <d v="2024-01-14T00:00:00"/>
    <n v="27"/>
    <x v="1"/>
    <x v="4"/>
    <s v="Mumbai"/>
    <s v="Asia &gt; India &gt; Mumbai"/>
    <s v="Consumer"/>
    <s v="Distributor"/>
    <s v="D. Smith"/>
    <x v="2"/>
    <s v="NET-6014"/>
    <n v="1408.3"/>
    <n v="2193.13"/>
    <s v="High"/>
    <n v="7.0999999999999994E-2"/>
    <n v="7"/>
    <n v="14261.92439"/>
    <n v="369018.99690999999"/>
    <n v="9858.1"/>
    <n v="4403.8243899999998"/>
    <n v="0.30878191957656281"/>
    <n v="202312"/>
    <n v="202301"/>
    <s v="Dec-2023"/>
    <n v="11"/>
    <s v="Late"/>
    <n v="0"/>
  </r>
  <r>
    <x v="467"/>
    <d v="2025-06-01T00:00:00"/>
    <s v="Jun-2025"/>
    <s v="Q2"/>
    <d v="2025-06-05T00:00:00"/>
    <n v="4"/>
    <x v="3"/>
    <x v="6"/>
    <s v="Munich"/>
    <s v="Europe &gt; Germany &gt; Munich"/>
    <s v="Enterprise"/>
    <s v="Direct"/>
    <s v="M. Rossi"/>
    <x v="0"/>
    <s v="CMP-4159"/>
    <n v="1171.42"/>
    <n v="2187.8000000000002"/>
    <s v="High"/>
    <n v="0.23"/>
    <n v="15"/>
    <n v="25269.09"/>
    <n v="369018.99690999999"/>
    <n v="17571.300000000003"/>
    <n v="7697.7899999999972"/>
    <n v="0.30463265594447592"/>
    <n v="202506"/>
    <n v="202301"/>
    <s v="Jun-2023"/>
    <n v="29"/>
    <s v="On Time"/>
    <n v="1"/>
  </r>
  <r>
    <x v="468"/>
    <d v="2025-03-23T00:00:00"/>
    <s v="Mar-2025"/>
    <s v="Q1"/>
    <d v="2025-04-02T00:00:00"/>
    <n v="10"/>
    <x v="3"/>
    <x v="6"/>
    <s v="Berlin"/>
    <s v="Europe &gt; Germany &gt; Berlin"/>
    <s v="Enterprise"/>
    <s v="Online"/>
    <s v="E. Garcia"/>
    <x v="1"/>
    <s v="PRN-3159"/>
    <n v="663.61"/>
    <n v="1002.11"/>
    <s v="Medium"/>
    <n v="4.5999999999999999E-2"/>
    <n v="17"/>
    <n v="16252.219979999998"/>
    <n v="343749.90690999996"/>
    <n v="11281.37"/>
    <n v="4970.8499799999972"/>
    <n v="0.30585667595670812"/>
    <n v="202503"/>
    <n v="202301"/>
    <s v="Mar-2023"/>
    <n v="26"/>
    <s v="Late"/>
    <n v="0"/>
  </r>
  <r>
    <x v="469"/>
    <d v="2023-05-14T00:00:00"/>
    <s v="May-2023"/>
    <s v="Q2"/>
    <d v="2023-05-22T00:00:00"/>
    <n v="8"/>
    <x v="0"/>
    <x v="0"/>
    <s v="Mombasa"/>
    <s v="Africa &gt; Kenya &gt; Mombasa"/>
    <s v="Small Business"/>
    <s v="Distributor"/>
    <s v="F. Müller"/>
    <x v="1"/>
    <s v="PRN-9488"/>
    <n v="432.01"/>
    <n v="913.78"/>
    <s v="Low"/>
    <n v="4.9000000000000002E-2"/>
    <n v="12"/>
    <n v="10428.057360000001"/>
    <n v="343749.90690999996"/>
    <n v="5184.12"/>
    <n v="5243.9373600000008"/>
    <n v="0.50286809699711899"/>
    <n v="202305"/>
    <n v="202301"/>
    <s v="May-2023"/>
    <n v="4"/>
    <s v="Late"/>
    <n v="0"/>
  </r>
  <r>
    <x v="470"/>
    <d v="2023-08-29T00:00:00"/>
    <s v="Aug-2023"/>
    <s v="Q3"/>
    <d v="2023-09-19T00:00:00"/>
    <n v="21"/>
    <x v="3"/>
    <x v="7"/>
    <s v="Lyon"/>
    <s v="Europe &gt; France &gt; Lyon"/>
    <s v="Small Business"/>
    <s v="Direct"/>
    <s v="B. Chen"/>
    <x v="1"/>
    <s v="PRN-7079"/>
    <n v="784.46"/>
    <n v="1843.51"/>
    <s v="Medium"/>
    <n v="0.13800000000000001"/>
    <n v="23"/>
    <n v="36549.429260000004"/>
    <n v="343749.90690999996"/>
    <n v="18042.580000000002"/>
    <n v="18506.849260000003"/>
    <n v="0.50635125184441798"/>
    <n v="202308"/>
    <n v="202301"/>
    <s v="Aug-2023"/>
    <n v="7"/>
    <s v="Late"/>
    <n v="0"/>
  </r>
  <r>
    <x v="471"/>
    <d v="2025-07-03T00:00:00"/>
    <s v="Jul-2025"/>
    <s v="Q3"/>
    <d v="2025-07-23T00:00:00"/>
    <n v="20"/>
    <x v="1"/>
    <x v="9"/>
    <s v="Beijing"/>
    <s v="Asia &gt; China &gt; Beijing"/>
    <s v="Small Business"/>
    <s v="Online"/>
    <s v="M. Rossi"/>
    <x v="0"/>
    <s v="CMP-1220"/>
    <n v="647.36"/>
    <n v="1383.6"/>
    <s v="Medium"/>
    <n v="7.3999999999999996E-2"/>
    <n v="12"/>
    <n v="15374.563199999999"/>
    <n v="343749.90690999996"/>
    <n v="7768.32"/>
    <n v="7606.243199999999"/>
    <n v="0.49472906000997802"/>
    <n v="202507"/>
    <n v="202301"/>
    <s v="Jul-2023"/>
    <n v="30"/>
    <s v="Late"/>
    <n v="0"/>
  </r>
  <r>
    <x v="472"/>
    <d v="2024-02-06T00:00:00"/>
    <s v="Feb-2024"/>
    <s v="Q1"/>
    <d v="2024-02-28T00:00:00"/>
    <n v="22"/>
    <x v="0"/>
    <x v="0"/>
    <s v="Kisumu"/>
    <s v="Africa &gt; Kenya &gt; Kisumu"/>
    <s v="Non-Profit"/>
    <s v="Online"/>
    <s v="K. Singh"/>
    <x v="5"/>
    <s v="MON-2462"/>
    <n v="834.93"/>
    <n v="1588.53"/>
    <s v="Medium"/>
    <n v="0.126"/>
    <n v="6"/>
    <n v="8330.2513199999994"/>
    <n v="328375.34370999999"/>
    <n v="5009.58"/>
    <n v="3320.6713199999995"/>
    <n v="0.39862798761274343"/>
    <n v="202402"/>
    <n v="202301"/>
    <s v="Feb-2023"/>
    <n v="13"/>
    <s v="Late"/>
    <n v="0"/>
  </r>
  <r>
    <x v="473"/>
    <d v="2025-08-13T00:00:00"/>
    <s v="Aug-2025"/>
    <s v="Q3"/>
    <d v="2025-09-03T00:00:00"/>
    <n v="21"/>
    <x v="3"/>
    <x v="7"/>
    <s v="Paris"/>
    <s v="Europe &gt; France &gt; Paris"/>
    <s v="Education"/>
    <s v="Retail"/>
    <s v="I. Johnson"/>
    <x v="3"/>
    <s v="PHN-9465"/>
    <n v="603.47"/>
    <n v="1344.05"/>
    <s v="Medium"/>
    <n v="0.20499999999999999"/>
    <n v="18"/>
    <n v="19233.355499999998"/>
    <n v="328375.34370999999"/>
    <n v="10862.460000000001"/>
    <n v="8370.8954999999969"/>
    <n v="0.43522803392262976"/>
    <n v="202508"/>
    <n v="202301"/>
    <s v="Aug-2023"/>
    <n v="31"/>
    <s v="Late"/>
    <n v="0"/>
  </r>
  <r>
    <x v="474"/>
    <d v="2023-05-23T00:00:00"/>
    <s v="May-2023"/>
    <s v="Q2"/>
    <d v="2023-05-25T00:00:00"/>
    <n v="2"/>
    <x v="2"/>
    <x v="5"/>
    <s v="Rio de Janeiro"/>
    <s v="Americas &gt; Brazil &gt; Rio de Janeiro"/>
    <s v="Enterprise"/>
    <s v="Retail"/>
    <s v="M. Rossi"/>
    <x v="1"/>
    <s v="PRN-1271"/>
    <n v="690.49"/>
    <n v="1290.29"/>
    <s v="Medium"/>
    <n v="4.2000000000000003E-2"/>
    <n v="22"/>
    <n v="27194.152039999997"/>
    <n v="328375.34370999999"/>
    <n v="15190.78"/>
    <n v="12003.372039999997"/>
    <n v="0.44139534199647718"/>
    <n v="202305"/>
    <n v="202301"/>
    <s v="May-2023"/>
    <n v="4"/>
    <s v="On Time"/>
    <n v="1"/>
  </r>
  <r>
    <x v="475"/>
    <d v="2024-05-10T00:00:00"/>
    <s v="May-2024"/>
    <s v="Q2"/>
    <d v="2024-05-16T00:00:00"/>
    <n v="6"/>
    <x v="3"/>
    <x v="8"/>
    <s v="Birmingham"/>
    <s v="Europe &gt; United Kingdom &gt; Birmingham"/>
    <s v="Non-Profit"/>
    <s v="Direct"/>
    <s v="G. Dubois"/>
    <x v="4"/>
    <s v="LAP-1066"/>
    <n v="210.76"/>
    <n v="221.58"/>
    <s v="Low"/>
    <n v="8.8999999999999996E-2"/>
    <n v="5"/>
    <n v="1009.2969000000002"/>
    <n v="328375.34370999999"/>
    <n v="1053.8"/>
    <n v="-44.50309999999979"/>
    <n v="-4.4093170205912434E-2"/>
    <n v="202405"/>
    <n v="202301"/>
    <s v="May-2023"/>
    <n v="16"/>
    <s v="On Time"/>
    <n v="1"/>
  </r>
  <r>
    <x v="476"/>
    <d v="2023-03-14T00:00:00"/>
    <s v="Mar-2023"/>
    <s v="Q1"/>
    <d v="2023-03-18T00:00:00"/>
    <n v="4"/>
    <x v="3"/>
    <x v="6"/>
    <s v="Frankfurt"/>
    <s v="Europe &gt; Germany &gt; Frankfurt"/>
    <s v="Enterprise"/>
    <s v="Direct"/>
    <s v="A. Patel"/>
    <x v="0"/>
    <s v="CMP-8675"/>
    <n v="472.33"/>
    <n v="360.34"/>
    <s v="Low"/>
    <n v="0.16500000000000001"/>
    <n v="14"/>
    <n v="4212.3745999999992"/>
    <n v="328375.34370999999"/>
    <n v="6612.62"/>
    <n v="-2400.2454000000007"/>
    <n v="-0.56980815523861561"/>
    <n v="202303"/>
    <n v="202301"/>
    <s v="Mar-2023"/>
    <n v="2"/>
    <s v="On Time"/>
    <n v="1"/>
  </r>
  <r>
    <x v="477"/>
    <d v="2023-07-16T00:00:00"/>
    <s v="Jul-2023"/>
    <s v="Q3"/>
    <d v="2023-08-13T00:00:00"/>
    <n v="28"/>
    <x v="3"/>
    <x v="8"/>
    <s v="Manchester"/>
    <s v="Europe &gt; United Kingdom &gt; Manchester"/>
    <s v="Non-Profit"/>
    <s v="Online"/>
    <s v="J. Njeri"/>
    <x v="4"/>
    <s v="LAP-1178"/>
    <n v="1039.03"/>
    <n v="2545.81"/>
    <s v="High"/>
    <n v="0.216"/>
    <n v="21"/>
    <n v="41914.215840000004"/>
    <n v="324162.96910999995"/>
    <n v="21819.63"/>
    <n v="20094.585840000003"/>
    <n v="0.47942172929364774"/>
    <n v="202307"/>
    <n v="202301"/>
    <s v="Jul-2023"/>
    <n v="6"/>
    <s v="Late"/>
    <n v="0"/>
  </r>
  <r>
    <x v="478"/>
    <d v="2023-04-16T00:00:00"/>
    <s v="Apr-2023"/>
    <s v="Q2"/>
    <d v="2023-04-19T00:00:00"/>
    <n v="3"/>
    <x v="3"/>
    <x v="6"/>
    <s v="Munich"/>
    <s v="Europe &gt; Germany &gt; Munich"/>
    <s v="Corporate"/>
    <s v="Direct"/>
    <s v="B. Chen"/>
    <x v="6"/>
    <s v="ACC-1731"/>
    <n v="553.61"/>
    <n v="699.47"/>
    <s v="Medium"/>
    <n v="0.02"/>
    <n v="33"/>
    <n v="22620.859800000002"/>
    <n v="324162.96910999995"/>
    <n v="18269.13"/>
    <n v="4351.729800000001"/>
    <n v="0.19237685209472014"/>
    <n v="202304"/>
    <n v="202301"/>
    <s v="Apr-2023"/>
    <n v="3"/>
    <s v="On Time"/>
    <n v="1"/>
  </r>
  <r>
    <x v="479"/>
    <d v="2024-01-02T00:00:00"/>
    <s v="Jan-2024"/>
    <s v="Q1"/>
    <d v="2024-01-15T00:00:00"/>
    <n v="13"/>
    <x v="1"/>
    <x v="2"/>
    <s v="Nagoya"/>
    <s v="Asia &gt; Japan &gt; Nagoya"/>
    <s v="Small Business"/>
    <s v="Marketplace"/>
    <s v="G. Dubois"/>
    <x v="2"/>
    <s v="NET-1893"/>
    <n v="1219.06"/>
    <n v="2738.69"/>
    <s v="High"/>
    <n v="7.5999999999999998E-2"/>
    <n v="16"/>
    <n v="40488.792960000006"/>
    <n v="324162.96910999995"/>
    <n v="19504.96"/>
    <n v="20983.832960000007"/>
    <n v="0.51826274447673737"/>
    <n v="202401"/>
    <n v="202303"/>
    <s v="Jan-2023"/>
    <n v="10"/>
    <s v="Late"/>
    <n v="0"/>
  </r>
  <r>
    <x v="480"/>
    <d v="2024-09-03T00:00:00"/>
    <s v="Sept-2024"/>
    <s v="Q3"/>
    <d v="2024-09-07T00:00:00"/>
    <n v="4"/>
    <x v="1"/>
    <x v="2"/>
    <s v="Tokyo"/>
    <s v="Asia &gt; Japan &gt; Tokyo"/>
    <s v="Small Business"/>
    <s v="Distributor"/>
    <s v="N. Brown"/>
    <x v="1"/>
    <s v="PRN-3917"/>
    <n v="43.23"/>
    <n v="94.78"/>
    <s v="Low"/>
    <n v="9.0999999999999998E-2"/>
    <n v="55"/>
    <n v="4738.5261"/>
    <n v="324162.96910999995"/>
    <n v="2377.6499999999996"/>
    <n v="2360.8761000000004"/>
    <n v="0.49823005090127082"/>
    <n v="202409"/>
    <n v="202303"/>
    <s v="Sept-2023"/>
    <n v="18"/>
    <s v="On Time"/>
    <n v="1"/>
  </r>
  <r>
    <x v="481"/>
    <d v="2025-08-30T00:00:00"/>
    <s v="Aug-2025"/>
    <s v="Q3"/>
    <d v="2025-09-03T00:00:00"/>
    <n v="4"/>
    <x v="3"/>
    <x v="7"/>
    <s v="Marseille"/>
    <s v="Europe &gt; France &gt; Marseille"/>
    <s v="Small Business"/>
    <s v="Marketplace"/>
    <s v="J. Njeri"/>
    <x v="4"/>
    <s v="LAP-3220"/>
    <n v="1286.56"/>
    <n v="2777.35"/>
    <s v="High"/>
    <n v="0.13200000000000001"/>
    <n v="15"/>
    <n v="36161.097000000002"/>
    <n v="324162.96910999995"/>
    <n v="19298.399999999998"/>
    <n v="16862.697000000004"/>
    <n v="0.46632150014696744"/>
    <n v="202508"/>
    <n v="202301"/>
    <s v="Aug-2023"/>
    <n v="31"/>
    <s v="On Time"/>
    <n v="1"/>
  </r>
  <r>
    <x v="482"/>
    <d v="2025-04-28T00:00:00"/>
    <s v="Apr-2025"/>
    <s v="Q2"/>
    <d v="2025-05-19T00:00:00"/>
    <n v="21"/>
    <x v="3"/>
    <x v="6"/>
    <s v="Berlin"/>
    <s v="Europe &gt; Germany &gt; Berlin"/>
    <s v="Corporate"/>
    <s v="Distributor"/>
    <s v="B. Chen"/>
    <x v="3"/>
    <s v="PHN-2462"/>
    <n v="350.76"/>
    <n v="492.18"/>
    <s v="Low"/>
    <n v="5.2999999999999999E-2"/>
    <n v="11"/>
    <n v="5127.0390600000001"/>
    <n v="324162.96910999995"/>
    <n v="3858.3599999999997"/>
    <n v="1268.6790600000004"/>
    <n v="0.24744868239798437"/>
    <n v="202504"/>
    <n v="202301"/>
    <s v="Apr-2023"/>
    <n v="27"/>
    <s v="Late"/>
    <n v="0"/>
  </r>
  <r>
    <x v="483"/>
    <d v="2023-08-10T00:00:00"/>
    <s v="Aug-2023"/>
    <s v="Q3"/>
    <d v="2023-08-15T00:00:00"/>
    <n v="5"/>
    <x v="2"/>
    <x v="5"/>
    <s v="São Paulo"/>
    <s v="Americas &gt; Brazil &gt; São Paulo"/>
    <s v="Education"/>
    <s v="Direct"/>
    <s v="G. Dubois"/>
    <x v="2"/>
    <s v="NET-2894"/>
    <n v="1307.52"/>
    <n v="1921.65"/>
    <s v="High"/>
    <n v="0.123"/>
    <n v="13"/>
    <n v="21908.731650000002"/>
    <n v="324162.96910999995"/>
    <n v="16997.759999999998"/>
    <n v="4910.9716500000031"/>
    <n v="0.22415590863289445"/>
    <n v="202308"/>
    <n v="202301"/>
    <s v="Aug-2023"/>
    <n v="7"/>
    <s v="On Time"/>
    <n v="1"/>
  </r>
  <r>
    <x v="484"/>
    <d v="2024-12-08T00:00:00"/>
    <s v="Dec-2024"/>
    <s v="Q4"/>
    <d v="2024-12-08T00:00:00"/>
    <n v="0"/>
    <x v="3"/>
    <x v="7"/>
    <s v="Lyon"/>
    <s v="Europe &gt; France &gt; Lyon"/>
    <s v="Enterprise"/>
    <s v="Retail"/>
    <s v="H. Kim"/>
    <x v="0"/>
    <s v="CMP-2335"/>
    <n v="257.44"/>
    <n v="290.33"/>
    <s v="Low"/>
    <n v="9.1999999999999998E-2"/>
    <n v="23"/>
    <n v="6063.2517199999993"/>
    <n v="324162.96910999995"/>
    <n v="5921.12"/>
    <n v="142.1317199999994"/>
    <n v="2.3441500792581216E-2"/>
    <n v="202412"/>
    <n v="202301"/>
    <s v="Dec-2023"/>
    <n v="23"/>
    <s v="On Time"/>
    <n v="1"/>
  </r>
  <r>
    <x v="485"/>
    <d v="2023-10-25T00:00:00"/>
    <s v="Oct-2023"/>
    <s v="Q4"/>
    <d v="2023-11-24T00:00:00"/>
    <n v="30"/>
    <x v="3"/>
    <x v="7"/>
    <s v="Paris"/>
    <s v="Europe &gt; France &gt; Paris"/>
    <s v="Enterprise"/>
    <s v="Distributor"/>
    <s v="C. Otieno"/>
    <x v="3"/>
    <s v="PHN-5938"/>
    <n v="287.85000000000002"/>
    <n v="602.91999999999996"/>
    <s v="Low"/>
    <n v="0.222"/>
    <n v="11"/>
    <n v="5159.7893599999998"/>
    <n v="318099.71739000001"/>
    <n v="3166.3500000000004"/>
    <n v="1993.4393599999994"/>
    <n v="0.38634122847216373"/>
    <n v="202310"/>
    <n v="202301"/>
    <s v="Oct-2023"/>
    <n v="9"/>
    <s v="Late"/>
    <n v="0"/>
  </r>
  <r>
    <x v="486"/>
    <d v="2024-11-17T00:00:00"/>
    <s v="Nov-2024"/>
    <s v="Q4"/>
    <d v="2024-11-28T00:00:00"/>
    <n v="11"/>
    <x v="2"/>
    <x v="3"/>
    <s v="Not Provided"/>
    <s v="Americas &gt; Canada &gt; Not Provided"/>
    <s v="Consumer"/>
    <s v="Distributor"/>
    <s v="A. Patel"/>
    <x v="1"/>
    <s v="PRN-1371"/>
    <n v="1008.16"/>
    <n v="2077.5"/>
    <s v="High"/>
    <n v="7.3999999999999996E-2"/>
    <n v="15"/>
    <n v="28856.475000000002"/>
    <n v="318099.71739000001"/>
    <n v="15122.4"/>
    <n v="13734.075000000003"/>
    <n v="0.47594430712691005"/>
    <n v="202411"/>
    <n v="202301"/>
    <s v="Nov-2023"/>
    <n v="22"/>
    <s v="Late"/>
    <n v="0"/>
  </r>
  <r>
    <x v="487"/>
    <d v="2024-05-12T00:00:00"/>
    <s v="May-2024"/>
    <s v="Q2"/>
    <d v="2024-05-24T00:00:00"/>
    <n v="12"/>
    <x v="3"/>
    <x v="8"/>
    <s v="Manchester"/>
    <s v="Europe &gt; United Kingdom &gt; Manchester"/>
    <s v="Education"/>
    <s v="Marketplace"/>
    <s v="K. Singh"/>
    <x v="1"/>
    <s v="PRN-5813"/>
    <n v="111.02"/>
    <n v="172.88"/>
    <s v="Low"/>
    <n v="0.19700000000000001"/>
    <n v="29"/>
    <n v="4025.8565599999993"/>
    <n v="318099.71739000001"/>
    <n v="3219.58"/>
    <n v="806.27655999999934"/>
    <n v="0.20027453735212053"/>
    <n v="202405"/>
    <n v="202301"/>
    <s v="May-2023"/>
    <n v="16"/>
    <s v="Late"/>
    <n v="0"/>
  </r>
  <r>
    <x v="488"/>
    <d v="2025-05-15T00:00:00"/>
    <s v="May-2025"/>
    <s v="Q2"/>
    <d v="2025-06-05T00:00:00"/>
    <n v="21"/>
    <x v="1"/>
    <x v="2"/>
    <s v="Osaka"/>
    <s v="Asia &gt; Japan &gt; Osaka"/>
    <s v="Enterprise"/>
    <s v="Direct"/>
    <s v="H. Kim"/>
    <x v="3"/>
    <s v="PHN-6480"/>
    <n v="1466.5"/>
    <n v="2778.74"/>
    <s v="High"/>
    <n v="0.13500000000000001"/>
    <n v="4"/>
    <n v="9614.4403999999995"/>
    <n v="318099.71739000001"/>
    <n v="5866"/>
    <n v="3748.4403999999995"/>
    <n v="0.38987608680792279"/>
    <n v="202505"/>
    <n v="202303"/>
    <s v="May-2023"/>
    <n v="26"/>
    <s v="Late"/>
    <n v="0"/>
  </r>
  <r>
    <x v="489"/>
    <d v="2024-04-21T00:00:00"/>
    <s v="Apr-2024"/>
    <s v="Q2"/>
    <d v="2024-05-19T00:00:00"/>
    <n v="28"/>
    <x v="0"/>
    <x v="1"/>
    <s v="Lagos"/>
    <s v="Africa &gt; Nigeria &gt; Lagos"/>
    <s v="Corporate"/>
    <s v="Distributor"/>
    <s v="A. Patel"/>
    <x v="6"/>
    <s v="ACC-2990"/>
    <n v="187.22"/>
    <n v="309.47000000000003"/>
    <s v="Low"/>
    <n v="0"/>
    <n v="5"/>
    <n v="1547.3500000000001"/>
    <n v="318099.71739000001"/>
    <n v="936.1"/>
    <n v="611.25000000000011"/>
    <n v="0.39503021294471197"/>
    <n v="202404"/>
    <n v="202301"/>
    <s v="Apr-2023"/>
    <n v="15"/>
    <s v="Late"/>
    <n v="0"/>
  </r>
  <r>
    <x v="490"/>
    <d v="2024-08-19T00:00:00"/>
    <s v="Aug-2024"/>
    <s v="Q3"/>
    <d v="2024-09-07T00:00:00"/>
    <n v="19"/>
    <x v="3"/>
    <x v="7"/>
    <s v="Lyon"/>
    <s v="Europe &gt; France &gt; Lyon"/>
    <s v="Corporate"/>
    <s v="Direct"/>
    <s v="J. Njeri"/>
    <x v="0"/>
    <s v="CMP-5435"/>
    <n v="297.58999999999997"/>
    <n v="666.41"/>
    <s v="Low"/>
    <n v="0"/>
    <n v="10"/>
    <n v="6664.0999999999995"/>
    <n v="318099.71739000001"/>
    <n v="2975.8999999999996"/>
    <n v="3688.2"/>
    <n v="0.55344307558409989"/>
    <n v="202408"/>
    <n v="202301"/>
    <s v="Aug-2023"/>
    <n v="19"/>
    <s v="Late"/>
    <n v="0"/>
  </r>
  <r>
    <x v="491"/>
    <d v="2025-07-23T00:00:00"/>
    <s v="Jul-2025"/>
    <s v="Q3"/>
    <d v="2025-08-19T00:00:00"/>
    <n v="27"/>
    <x v="1"/>
    <x v="2"/>
    <s v="Nagoya"/>
    <s v="Asia &gt; Japan &gt; Nagoya"/>
    <s v="Consumer"/>
    <s v="Marketplace"/>
    <s v="B. Chen"/>
    <x v="6"/>
    <s v="ACC-1596"/>
    <n v="896.09"/>
    <n v="744.27"/>
    <s v="Medium"/>
    <n v="8.3000000000000004E-2"/>
    <n v="11"/>
    <n v="7507.4514899999995"/>
    <n v="311435.61738999997"/>
    <n v="9856.99"/>
    <n v="-2349.5385100000003"/>
    <n v="-0.31296086469950679"/>
    <n v="202507"/>
    <n v="202303"/>
    <s v="Jul-2023"/>
    <n v="28"/>
    <s v="Late"/>
    <n v="0"/>
  </r>
  <r>
    <x v="492"/>
    <d v="2024-03-01T00:00:00"/>
    <s v="Mar-2024"/>
    <s v="Q1"/>
    <d v="2024-03-02T00:00:00"/>
    <n v="1"/>
    <x v="2"/>
    <x v="5"/>
    <s v="São Paulo"/>
    <s v="Americas &gt; Brazil &gt; São Paulo"/>
    <s v="Non-Profit"/>
    <s v="Direct"/>
    <s v="I. Johnson"/>
    <x v="3"/>
    <s v="PHN-7852"/>
    <n v="5.34"/>
    <n v="12.69"/>
    <s v="Low"/>
    <n v="0.13200000000000001"/>
    <n v="10"/>
    <n v="110.14919999999999"/>
    <n v="311435.61738999997"/>
    <n v="53.4"/>
    <n v="56.749199999999995"/>
    <n v="0.51520301554618642"/>
    <n v="202403"/>
    <n v="202301"/>
    <s v="Mar-2023"/>
    <n v="14"/>
    <s v="On Time"/>
    <n v="1"/>
  </r>
  <r>
    <x v="493"/>
    <d v="2024-05-27T00:00:00"/>
    <s v="May-2024"/>
    <s v="Q2"/>
    <d v="2024-06-17T00:00:00"/>
    <n v="21"/>
    <x v="1"/>
    <x v="4"/>
    <s v="Delhi"/>
    <s v="Asia &gt; India &gt; Delhi"/>
    <s v="Small Business"/>
    <s v="Online"/>
    <s v="H. Kim"/>
    <x v="6"/>
    <s v="ACC-7240"/>
    <n v="465.02"/>
    <n v="651.55999999999995"/>
    <s v="Low"/>
    <n v="4.2000000000000003E-2"/>
    <n v="19"/>
    <n v="11859.695119999998"/>
    <n v="311435.61738999997"/>
    <n v="8835.3799999999992"/>
    <n v="3024.3151199999993"/>
    <n v="0.25500783025187918"/>
    <n v="202405"/>
    <n v="202301"/>
    <s v="May-2023"/>
    <n v="16"/>
    <s v="Late"/>
    <n v="0"/>
  </r>
  <r>
    <x v="494"/>
    <d v="2024-08-04T00:00:00"/>
    <s v="Aug-2024"/>
    <s v="Q3"/>
    <d v="2024-08-17T00:00:00"/>
    <n v="13"/>
    <x v="2"/>
    <x v="10"/>
    <s v="Austin"/>
    <s v="Americas &gt; USA &gt; Austin"/>
    <s v="Consumer"/>
    <s v="Retail"/>
    <s v="D. Smith"/>
    <x v="5"/>
    <s v="MON-8867"/>
    <n v="352.79"/>
    <n v="754.22"/>
    <s v="Low"/>
    <n v="0.113"/>
    <n v="7"/>
    <n v="4682.9519799999998"/>
    <n v="311435.61738999997"/>
    <n v="2469.5300000000002"/>
    <n v="2213.4219799999996"/>
    <n v="0.47265528014233443"/>
    <n v="202408"/>
    <n v="202301"/>
    <s v="Aug-2023"/>
    <n v="19"/>
    <s v="Late"/>
    <n v="0"/>
  </r>
  <r>
    <x v="495"/>
    <d v="2023-06-20T00:00:00"/>
    <s v="Jun-2023"/>
    <s v="Q2"/>
    <d v="2023-07-04T00:00:00"/>
    <n v="14"/>
    <x v="2"/>
    <x v="5"/>
    <s v="Brasília"/>
    <s v="Americas &gt; Brazil &gt; Brasília"/>
    <s v="Non-Profit"/>
    <s v="Direct"/>
    <s v="C. Otieno"/>
    <x v="2"/>
    <s v="NET-1228"/>
    <n v="1292.8599999999999"/>
    <n v="2981.01"/>
    <s v="High"/>
    <n v="0.14199999999999999"/>
    <n v="12"/>
    <n v="30692.47896"/>
    <n v="311435.61738999997"/>
    <n v="15514.32"/>
    <n v="15178.158960000001"/>
    <n v="0.49452372288927687"/>
    <n v="202306"/>
    <n v="202301"/>
    <s v="Jun-2023"/>
    <n v="5"/>
    <s v="Late"/>
    <n v="0"/>
  </r>
  <r>
    <x v="496"/>
    <d v="2024-09-09T00:00:00"/>
    <s v="Sept-2024"/>
    <s v="Q3"/>
    <d v="2024-09-13T00:00:00"/>
    <n v="4"/>
    <x v="3"/>
    <x v="8"/>
    <s v="London"/>
    <s v="Europe &gt; United Kingdom &gt; London"/>
    <s v="Consumer"/>
    <s v="Marketplace"/>
    <s v="F. Müller"/>
    <x v="2"/>
    <s v="NET-1145"/>
    <n v="1133.08"/>
    <n v="976.17"/>
    <s v="High"/>
    <n v="4.2000000000000003E-2"/>
    <n v="27"/>
    <n v="25249.613219999999"/>
    <n v="311435.61738999997"/>
    <n v="30593.159999999996"/>
    <n v="-5343.5467799999969"/>
    <n v="-0.21162885678452373"/>
    <n v="202409"/>
    <n v="202301"/>
    <s v="Sept-2023"/>
    <n v="20"/>
    <s v="On Time"/>
    <n v="1"/>
  </r>
  <r>
    <x v="497"/>
    <d v="2023-10-25T00:00:00"/>
    <s v="Oct-2023"/>
    <s v="Q4"/>
    <d v="2023-10-28T00:00:00"/>
    <n v="3"/>
    <x v="2"/>
    <x v="5"/>
    <s v="Brasília"/>
    <s v="Americas &gt; Brazil &gt; Brasília"/>
    <s v="Corporate"/>
    <s v="Distributor"/>
    <s v="L. Okafor"/>
    <x v="6"/>
    <s v="ACC-2867"/>
    <n v="509.31"/>
    <n v="1145.9000000000001"/>
    <s v="Medium"/>
    <n v="5.7000000000000002E-2"/>
    <n v="8"/>
    <n v="8644.6696000000011"/>
    <n v="311435.61738999997"/>
    <n v="4074.48"/>
    <n v="4570.1896000000015"/>
    <n v="0.52867140231709964"/>
    <n v="202310"/>
    <n v="202301"/>
    <s v="Oct-2023"/>
    <n v="9"/>
    <s v="On Time"/>
    <n v="1"/>
  </r>
  <r>
    <x v="498"/>
    <d v="2025-09-08T00:00:00"/>
    <s v="Sept-2025"/>
    <s v="Q3"/>
    <d v="2025-10-05T00:00:00"/>
    <n v="27"/>
    <x v="2"/>
    <x v="5"/>
    <s v="Rio de Janeiro"/>
    <s v="Americas &gt; Brazil &gt; Rio de Janeiro"/>
    <s v="Education"/>
    <s v="Online"/>
    <s v="C. Otieno"/>
    <x v="5"/>
    <s v="MON-9274"/>
    <n v="660.78"/>
    <n v="1630.39"/>
    <s v="Medium"/>
    <n v="0.218"/>
    <n v="13"/>
    <n v="16574.544740000001"/>
    <n v="311435.61738999997"/>
    <n v="8590.14"/>
    <n v="7984.4047400000018"/>
    <n v="0.48172694123724097"/>
    <n v="202509"/>
    <n v="202301"/>
    <s v="Sept-2023"/>
    <n v="32"/>
    <s v="Late"/>
    <n v="0"/>
  </r>
  <r>
    <x v="499"/>
    <d v="2023-05-02T00:00:00"/>
    <s v="May-2023"/>
    <s v="Q2"/>
    <d v="2023-05-16T00:00:00"/>
    <n v="14"/>
    <x v="1"/>
    <x v="4"/>
    <s v="Bengaluru"/>
    <s v="Asia &gt; India &gt; Bengaluru"/>
    <s v="Non-Profit"/>
    <s v="Retail"/>
    <s v="L. Okafor"/>
    <x v="5"/>
    <s v="MON-4830"/>
    <n v="475.37"/>
    <n v="963.73"/>
    <s v="Low"/>
    <n v="4.1000000000000002E-2"/>
    <n v="22"/>
    <n v="20332.775539999999"/>
    <n v="311435.61738999997"/>
    <n v="10458.14"/>
    <n v="9874.6355399999993"/>
    <n v="0.48565113604750881"/>
    <n v="202305"/>
    <n v="202301"/>
    <s v="May-2023"/>
    <n v="4"/>
    <s v="Late"/>
    <n v="0"/>
  </r>
  <r>
    <x v="500"/>
    <d v="2024-04-26T00:00:00"/>
    <s v="Apr-2024"/>
    <s v="Q2"/>
    <d v="2024-04-28T00:00:00"/>
    <n v="2"/>
    <x v="3"/>
    <x v="8"/>
    <s v="London"/>
    <s v="Europe &gt; United Kingdom &gt; London"/>
    <s v="Non-Profit"/>
    <s v="Distributor"/>
    <s v="N. Brown"/>
    <x v="3"/>
    <s v="PHN-9107"/>
    <n v="1232.77"/>
    <n v="891.73"/>
    <s v="High"/>
    <n v="0.16700000000000001"/>
    <n v="10"/>
    <n v="7428.1108999999988"/>
    <n v="311435.61738999997"/>
    <n v="12327.7"/>
    <n v="-4899.589100000002"/>
    <n v="-0.65960096260813805"/>
    <n v="202404"/>
    <n v="202301"/>
    <s v="Apr-2023"/>
    <n v="15"/>
    <s v="On Time"/>
    <n v="1"/>
  </r>
  <r>
    <x v="501"/>
    <d v="2023-02-23T00:00:00"/>
    <s v="Feb-2023"/>
    <s v="Q1"/>
    <d v="2023-03-18T00:00:00"/>
    <n v="23"/>
    <x v="1"/>
    <x v="9"/>
    <s v="Beijing"/>
    <s v="Asia &gt; China &gt; Beijing"/>
    <s v="Education"/>
    <s v="Distributor"/>
    <s v="K. Singh"/>
    <x v="1"/>
    <s v="PRN-1060"/>
    <n v="770.11"/>
    <n v="1667.82"/>
    <s v="Medium"/>
    <n v="6.9000000000000006E-2"/>
    <n v="7"/>
    <n v="10869.182940000001"/>
    <n v="311435.61738999997"/>
    <n v="5390.77"/>
    <n v="5478.4129400000002"/>
    <n v="0.50403171703355287"/>
    <n v="202302"/>
    <n v="202301"/>
    <s v="Feb-2023"/>
    <n v="1"/>
    <s v="Late"/>
    <n v="0"/>
  </r>
  <r>
    <x v="502"/>
    <d v="2025-03-24T00:00:00"/>
    <s v="Mar-2025"/>
    <s v="Q1"/>
    <d v="2025-03-25T00:00:00"/>
    <n v="1"/>
    <x v="1"/>
    <x v="9"/>
    <s v="Beijing"/>
    <s v="Asia &gt; China &gt; Beijing"/>
    <s v="Non-Profit"/>
    <s v="Online"/>
    <s v="G. Dubois"/>
    <x v="2"/>
    <s v="NET-8329"/>
    <n v="1133.03"/>
    <n v="1921.51"/>
    <s v="High"/>
    <n v="0.10100000000000001"/>
    <n v="5"/>
    <n v="8637.1874499999994"/>
    <n v="311435.61738999997"/>
    <n v="5665.15"/>
    <n v="2972.0374499999998"/>
    <n v="0.3440978289755654"/>
    <n v="202503"/>
    <n v="202301"/>
    <s v="Mar-2023"/>
    <n v="26"/>
    <s v="On Time"/>
    <n v="1"/>
  </r>
  <r>
    <x v="503"/>
    <d v="2025-03-10T00:00:00"/>
    <s v="Mar-2025"/>
    <s v="Q1"/>
    <d v="2025-03-27T00:00:00"/>
    <n v="17"/>
    <x v="2"/>
    <x v="5"/>
    <s v="Rio de Janeiro"/>
    <s v="Americas &gt; Brazil &gt; Rio de Janeiro"/>
    <s v="Enterprise"/>
    <s v="Direct"/>
    <s v="F. Müller"/>
    <x v="2"/>
    <s v="NET-6269"/>
    <n v="996.73"/>
    <n v="1217.43"/>
    <s v="Medium"/>
    <n v="7.0000000000000007E-2"/>
    <n v="9"/>
    <n v="10189.8891"/>
    <n v="311435.61738999997"/>
    <n v="8970.57"/>
    <n v="1219.3191000000006"/>
    <n v="0.11965970267527255"/>
    <n v="202503"/>
    <n v="202301"/>
    <s v="Mar-2023"/>
    <n v="26"/>
    <s v="Late"/>
    <n v="0"/>
  </r>
  <r>
    <x v="504"/>
    <d v="2024-04-05T00:00:00"/>
    <s v="Apr-2024"/>
    <s v="Q2"/>
    <d v="2024-04-09T00:00:00"/>
    <n v="4"/>
    <x v="0"/>
    <x v="1"/>
    <s v="Lagos"/>
    <s v="Africa &gt; Nigeria &gt; Lagos"/>
    <s v="Non-Profit"/>
    <s v="Direct"/>
    <s v="K. Singh"/>
    <x v="0"/>
    <s v="CMP-6529"/>
    <n v="395.07"/>
    <n v="970.27"/>
    <s v="Low"/>
    <n v="0.123"/>
    <n v="38"/>
    <n v="32335.21802"/>
    <n v="311435.61738999997"/>
    <n v="15012.66"/>
    <n v="17322.55802"/>
    <n v="0.53571799049833657"/>
    <n v="202404"/>
    <n v="202301"/>
    <s v="Apr-2023"/>
    <n v="15"/>
    <s v="On Time"/>
    <n v="1"/>
  </r>
  <r>
    <x v="505"/>
    <d v="2025-04-27T00:00:00"/>
    <s v="Apr-2025"/>
    <s v="Q2"/>
    <d v="2025-05-17T00:00:00"/>
    <n v="20"/>
    <x v="2"/>
    <x v="10"/>
    <s v="Austin"/>
    <s v="Americas &gt; USA &gt; Austin"/>
    <s v="Corporate"/>
    <s v="Direct"/>
    <s v="N. Brown"/>
    <x v="3"/>
    <s v="PHN-8776"/>
    <n v="932.26"/>
    <n v="1624.67"/>
    <s v="Medium"/>
    <n v="0.23499999999999999"/>
    <n v="28"/>
    <n v="34800.431400000001"/>
    <n v="279100.39937"/>
    <n v="26103.279999999999"/>
    <n v="8697.1514000000025"/>
    <n v="0.24991504559337163"/>
    <n v="202504"/>
    <n v="202301"/>
    <s v="Apr-2023"/>
    <n v="27"/>
    <s v="Late"/>
    <n v="0"/>
  </r>
  <r>
    <x v="506"/>
    <d v="2024-10-24T00:00:00"/>
    <s v="Oct-2024"/>
    <s v="Q4"/>
    <d v="2024-10-28T00:00:00"/>
    <n v="4"/>
    <x v="1"/>
    <x v="9"/>
    <s v="Shanghai"/>
    <s v="Asia &gt; China &gt; Shanghai"/>
    <s v="Small Business"/>
    <s v="Distributor"/>
    <s v="I. Johnson"/>
    <x v="2"/>
    <s v="NET-3728"/>
    <n v="1331.77"/>
    <n v="2606.11"/>
    <s v="High"/>
    <n v="0.02"/>
    <n v="6"/>
    <n v="15323.926799999999"/>
    <n v="279100.39937"/>
    <n v="7990.62"/>
    <n v="7333.3067999999994"/>
    <n v="0.47855271665745619"/>
    <n v="202410"/>
    <n v="202301"/>
    <s v="Oct-2023"/>
    <n v="21"/>
    <s v="On Time"/>
    <n v="1"/>
  </r>
  <r>
    <x v="507"/>
    <d v="2023-04-13T00:00:00"/>
    <s v="Apr-2023"/>
    <s v="Q2"/>
    <d v="2023-04-20T00:00:00"/>
    <n v="7"/>
    <x v="3"/>
    <x v="7"/>
    <s v="Lyon"/>
    <s v="Europe &gt; France &gt; Lyon"/>
    <s v="Small Business"/>
    <s v="Online"/>
    <s v="A. Patel"/>
    <x v="4"/>
    <s v="LAP-3565"/>
    <n v="227.02"/>
    <n v="434.72"/>
    <s v="Low"/>
    <n v="9.8000000000000004E-2"/>
    <n v="10"/>
    <n v="3921.1744000000008"/>
    <n v="279100.39937"/>
    <n v="2270.2000000000003"/>
    <n v="1650.9744000000005"/>
    <n v="0.42104079838938052"/>
    <n v="202304"/>
    <n v="202301"/>
    <s v="Apr-2023"/>
    <n v="3"/>
    <s v="On Time"/>
    <n v="1"/>
  </r>
  <r>
    <x v="508"/>
    <d v="2024-11-12T00:00:00"/>
    <s v="Nov-2024"/>
    <s v="Q4"/>
    <d v="2024-11-21T00:00:00"/>
    <n v="9"/>
    <x v="1"/>
    <x v="4"/>
    <s v="Mumbai"/>
    <s v="Asia &gt; India &gt; Mumbai"/>
    <s v="Corporate"/>
    <s v="Direct"/>
    <s v="H. Kim"/>
    <x v="4"/>
    <s v="LAP-5078"/>
    <n v="903.41"/>
    <n v="1860.41"/>
    <s v="Medium"/>
    <n v="0.108"/>
    <n v="5"/>
    <n v="8297.4286000000011"/>
    <n v="279100.39937"/>
    <n v="4517.05"/>
    <n v="3780.3786000000009"/>
    <n v="0.455608451996803"/>
    <n v="202411"/>
    <n v="202301"/>
    <s v="Nov-2023"/>
    <n v="22"/>
    <s v="Late"/>
    <n v="0"/>
  </r>
  <r>
    <x v="509"/>
    <d v="2023-05-10T00:00:00"/>
    <s v="May-2023"/>
    <s v="Q2"/>
    <d v="2023-05-14T00:00:00"/>
    <n v="4"/>
    <x v="1"/>
    <x v="4"/>
    <s v="Delhi"/>
    <s v="Asia &gt; India &gt; Delhi"/>
    <s v="Non-Profit"/>
    <s v="Distributor"/>
    <s v="C. Otieno"/>
    <x v="5"/>
    <s v="MON-2465"/>
    <n v="622.6"/>
    <n v="833.69"/>
    <s v="Medium"/>
    <n v="0.20899999999999999"/>
    <n v="14"/>
    <n v="9232.2830599999998"/>
    <n v="279100.39937"/>
    <n v="8716.4"/>
    <n v="515.88306000000011"/>
    <n v="5.5878167582959715E-2"/>
    <n v="202305"/>
    <n v="202301"/>
    <s v="May-2023"/>
    <n v="4"/>
    <s v="On Time"/>
    <n v="1"/>
  </r>
  <r>
    <x v="510"/>
    <d v="2024-03-02T00:00:00"/>
    <s v="Mar-2024"/>
    <s v="Q1"/>
    <d v="2024-03-23T00:00:00"/>
    <n v="21"/>
    <x v="2"/>
    <x v="10"/>
    <s v="Chicago"/>
    <s v="Americas &gt; USA &gt; Chicago"/>
    <s v="Small Business"/>
    <s v="Online"/>
    <s v="F. Müller"/>
    <x v="0"/>
    <s v="CMP-3223"/>
    <n v="225.01"/>
    <n v="333.48"/>
    <s v="Low"/>
    <n v="0.11899999999999999"/>
    <n v="12"/>
    <n v="3525.5505600000001"/>
    <n v="279100.39937"/>
    <n v="2700.12"/>
    <n v="825.43056000000024"/>
    <n v="0.23412813004729685"/>
    <n v="202403"/>
    <n v="202301"/>
    <s v="Mar-2023"/>
    <n v="14"/>
    <s v="Late"/>
    <n v="0"/>
  </r>
  <r>
    <x v="511"/>
    <d v="2024-10-10T00:00:00"/>
    <s v="Oct-2024"/>
    <s v="Q4"/>
    <d v="2024-10-11T00:00:00"/>
    <n v="1"/>
    <x v="3"/>
    <x v="8"/>
    <s v="Manchester"/>
    <s v="Europe &gt; United Kingdom &gt; Manchester"/>
    <s v="Non-Profit"/>
    <s v="Distributor"/>
    <s v="L. Okafor"/>
    <x v="0"/>
    <s v="CMP-8127"/>
    <n v="1389.46"/>
    <n v="1784.7"/>
    <s v="High"/>
    <n v="0.14599999999999999"/>
    <n v="33"/>
    <n v="50296.415399999998"/>
    <n v="275574.84881"/>
    <n v="45852.18"/>
    <n v="4444.2353999999978"/>
    <n v="8.8360877503011831E-2"/>
    <n v="202410"/>
    <n v="202301"/>
    <s v="Oct-2023"/>
    <n v="21"/>
    <s v="On Time"/>
    <n v="1"/>
  </r>
  <r>
    <x v="512"/>
    <d v="2023-06-01T00:00:00"/>
    <s v="Jun-2023"/>
    <s v="Q2"/>
    <d v="2023-06-08T00:00:00"/>
    <n v="7"/>
    <x v="3"/>
    <x v="6"/>
    <s v="Frankfurt"/>
    <s v="Europe &gt; Germany &gt; Frankfurt"/>
    <s v="Consumer"/>
    <s v="Online"/>
    <s v="A. Patel"/>
    <x v="3"/>
    <s v="PHN-1924"/>
    <n v="804.17"/>
    <n v="1072.29"/>
    <s v="Medium"/>
    <n v="3.2000000000000001E-2"/>
    <n v="5"/>
    <n v="5189.8836000000001"/>
    <n v="225278.43341"/>
    <n v="4020.85"/>
    <n v="1169.0336000000002"/>
    <n v="0.2252523736755869"/>
    <n v="202306"/>
    <n v="202301"/>
    <s v="Jun-2023"/>
    <n v="5"/>
    <s v="On Time"/>
    <n v="1"/>
  </r>
  <r>
    <x v="513"/>
    <d v="2025-01-04T00:00:00"/>
    <s v="Jan-2025"/>
    <s v="Q1"/>
    <d v="2025-01-05T00:00:00"/>
    <n v="1"/>
    <x v="1"/>
    <x v="4"/>
    <s v="Delhi"/>
    <s v="Asia &gt; India &gt; Delhi"/>
    <s v="Education"/>
    <s v="Retail"/>
    <s v="I. Johnson"/>
    <x v="0"/>
    <s v="CMP-1156"/>
    <n v="1428.33"/>
    <n v="3028.05"/>
    <s v="High"/>
    <n v="0"/>
    <n v="11"/>
    <n v="33308.550000000003"/>
    <n v="225278.43341"/>
    <n v="15711.63"/>
    <n v="17596.920000000006"/>
    <n v="0.52830039134096207"/>
    <n v="202501"/>
    <n v="202301"/>
    <s v="Jan-2023"/>
    <n v="24"/>
    <s v="On Time"/>
    <n v="1"/>
  </r>
  <r>
    <x v="514"/>
    <d v="2025-08-05T00:00:00"/>
    <s v="Aug-2025"/>
    <s v="Q3"/>
    <d v="2025-08-28T00:00:00"/>
    <n v="23"/>
    <x v="1"/>
    <x v="4"/>
    <s v="Mumbai"/>
    <s v="Asia &gt; India &gt; Mumbai"/>
    <s v="Non-Profit"/>
    <s v="Distributor"/>
    <s v="N. Brown"/>
    <x v="4"/>
    <s v="LAP-3905"/>
    <n v="638.54"/>
    <n v="987.24"/>
    <s v="Medium"/>
    <n v="0"/>
    <n v="11"/>
    <n v="10859.64"/>
    <n v="191969.88341000001"/>
    <n v="7023.94"/>
    <n v="3835.7"/>
    <n v="0.35320692030306716"/>
    <n v="202508"/>
    <n v="202301"/>
    <s v="Aug-2023"/>
    <n v="31"/>
    <s v="Late"/>
    <n v="0"/>
  </r>
  <r>
    <x v="515"/>
    <d v="2023-09-30T00:00:00"/>
    <s v="Sept-2023"/>
    <s v="Q3"/>
    <d v="2023-10-30T00:00:00"/>
    <n v="30"/>
    <x v="1"/>
    <x v="2"/>
    <s v="Tokyo"/>
    <s v="Asia &gt; Japan &gt; Tokyo"/>
    <s v="Enterprise"/>
    <s v="Online"/>
    <s v="D. Smith"/>
    <x v="1"/>
    <s v="PRN-1786"/>
    <n v="649.13"/>
    <n v="975.43"/>
    <s v="Medium"/>
    <n v="0.157"/>
    <n v="27"/>
    <n v="22201.762229999997"/>
    <n v="191969.88341000001"/>
    <n v="17526.509999999998"/>
    <n v="4675.2522299999982"/>
    <n v="0.21058023149543473"/>
    <n v="202309"/>
    <n v="202303"/>
    <s v="Sept-2023"/>
    <n v="6"/>
    <s v="Late"/>
    <n v="0"/>
  </r>
  <r>
    <x v="516"/>
    <d v="2025-05-17T00:00:00"/>
    <s v="May-2025"/>
    <s v="Q2"/>
    <d v="2025-05-30T00:00:00"/>
    <n v="13"/>
    <x v="0"/>
    <x v="1"/>
    <s v="Lagos"/>
    <s v="Africa &gt; Nigeria &gt; Lagos"/>
    <s v="Consumer"/>
    <s v="Distributor"/>
    <s v="F. Müller"/>
    <x v="6"/>
    <s v="ACC-3349"/>
    <n v="66.400000000000006"/>
    <n v="141.43"/>
    <s v="Low"/>
    <n v="0.107"/>
    <n v="8"/>
    <n v="1010.3759200000001"/>
    <n v="191969.88341000001"/>
    <n v="531.20000000000005"/>
    <n v="479.17592000000002"/>
    <n v="0.47425508715607551"/>
    <n v="202505"/>
    <n v="202301"/>
    <s v="May-2023"/>
    <n v="28"/>
    <s v="Late"/>
    <n v="0"/>
  </r>
  <r>
    <x v="517"/>
    <d v="2024-05-01T00:00:00"/>
    <s v="May-2024"/>
    <s v="Q2"/>
    <d v="2024-05-26T00:00:00"/>
    <n v="25"/>
    <x v="3"/>
    <x v="6"/>
    <s v="Berlin"/>
    <s v="Europe &gt; Germany &gt; Berlin"/>
    <s v="Non-Profit"/>
    <s v="Retail"/>
    <s v="B. Chen"/>
    <x v="2"/>
    <s v="NET-4228"/>
    <n v="930.71"/>
    <n v="1625.42"/>
    <s v="Medium"/>
    <n v="0.13800000000000001"/>
    <n v="7"/>
    <n v="9807.7842799999999"/>
    <n v="191969.88341000001"/>
    <n v="6514.97"/>
    <n v="3292.8142799999996"/>
    <n v="0.33573477821231196"/>
    <n v="202405"/>
    <n v="202301"/>
    <s v="May-2023"/>
    <n v="16"/>
    <s v="Late"/>
    <n v="0"/>
  </r>
  <r>
    <x v="518"/>
    <d v="2023-05-01T00:00:00"/>
    <s v="May-2023"/>
    <s v="Q2"/>
    <d v="2023-05-18T00:00:00"/>
    <n v="17"/>
    <x v="0"/>
    <x v="1"/>
    <s v="Port Harcourt"/>
    <s v="Africa &gt; Nigeria &gt; Port Harcourt"/>
    <s v="Corporate"/>
    <s v="Direct"/>
    <s v="F. Müller"/>
    <x v="0"/>
    <s v="CMP-5633"/>
    <n v="327.97"/>
    <n v="299.94"/>
    <s v="Low"/>
    <n v="4.9000000000000002E-2"/>
    <n v="3"/>
    <n v="855.72881999999993"/>
    <n v="191969.88341000001"/>
    <n v="983.91000000000008"/>
    <n v="-128.18118000000015"/>
    <n v="-0.14979182306843442"/>
    <n v="202305"/>
    <n v="202301"/>
    <s v="May-2023"/>
    <n v="4"/>
    <s v="Late"/>
    <n v="0"/>
  </r>
  <r>
    <x v="519"/>
    <d v="2024-07-09T00:00:00"/>
    <s v="Jul-2024"/>
    <s v="Q3"/>
    <d v="2024-08-08T00:00:00"/>
    <n v="30"/>
    <x v="3"/>
    <x v="7"/>
    <s v="Marseille"/>
    <s v="Europe &gt; France &gt; Marseille"/>
    <s v="Corporate"/>
    <s v="Direct"/>
    <s v="J. Njeri"/>
    <x v="0"/>
    <s v="CMP-5825"/>
    <n v="1062.3800000000001"/>
    <n v="1503.96"/>
    <s v="High"/>
    <n v="0.18"/>
    <n v="6"/>
    <n v="7399.4832000000006"/>
    <n v="191114.15458999999"/>
    <n v="6374.2800000000007"/>
    <n v="1025.2031999999999"/>
    <n v="0.13855064905073369"/>
    <n v="202407"/>
    <n v="202301"/>
    <s v="Jul-2023"/>
    <n v="18"/>
    <s v="Late"/>
    <n v="0"/>
  </r>
  <r>
    <x v="520"/>
    <d v="2023-05-10T00:00:00"/>
    <s v="May-2023"/>
    <s v="Q2"/>
    <d v="2023-05-27T00:00:00"/>
    <n v="17"/>
    <x v="1"/>
    <x v="4"/>
    <s v="Mumbai"/>
    <s v="Asia &gt; India &gt; Mumbai"/>
    <s v="Consumer"/>
    <s v="Retail"/>
    <s v="M. Rossi"/>
    <x v="4"/>
    <s v="LAP-6499"/>
    <n v="1286.1600000000001"/>
    <n v="3101.11"/>
    <s v="High"/>
    <n v="0.1"/>
    <n v="23"/>
    <n v="64192.976999999999"/>
    <n v="183714.67138999997"/>
    <n v="29581.68"/>
    <n v="34611.296999999999"/>
    <n v="0.53917575749758417"/>
    <n v="202305"/>
    <n v="202301"/>
    <s v="May-2023"/>
    <n v="4"/>
    <s v="Late"/>
    <n v="0"/>
  </r>
  <r>
    <x v="521"/>
    <d v="2024-07-09T00:00:00"/>
    <s v="Jul-2024"/>
    <s v="Q3"/>
    <d v="2024-07-12T00:00:00"/>
    <n v="3"/>
    <x v="1"/>
    <x v="9"/>
    <s v="Shanghai"/>
    <s v="Asia &gt; China &gt; Shanghai"/>
    <s v="Small Business"/>
    <s v="Retail"/>
    <s v="D. Smith"/>
    <x v="6"/>
    <s v="ACC-3721"/>
    <n v="748.39"/>
    <n v="979.42"/>
    <s v="Medium"/>
    <n v="0"/>
    <n v="23"/>
    <n v="22526.66"/>
    <n v="183714.67138999997"/>
    <n v="17212.97"/>
    <n v="5313.6899999999987"/>
    <n v="0.23588450307324738"/>
    <n v="202407"/>
    <n v="202301"/>
    <s v="Jul-2023"/>
    <n v="18"/>
    <s v="On Time"/>
    <n v="1"/>
  </r>
  <r>
    <x v="522"/>
    <d v="2024-04-24T00:00:00"/>
    <s v="Apr-2024"/>
    <s v="Q2"/>
    <d v="2024-05-10T00:00:00"/>
    <n v="16"/>
    <x v="0"/>
    <x v="0"/>
    <s v="Kisumu"/>
    <s v="Africa &gt; Kenya &gt; Kisumu"/>
    <s v="Non-Profit"/>
    <s v="Online"/>
    <s v="N. Brown"/>
    <x v="5"/>
    <s v="MON-6190"/>
    <n v="513.30999999999995"/>
    <n v="1186.26"/>
    <s v="Medium"/>
    <n v="9.4E-2"/>
    <n v="15"/>
    <n v="16121.273400000002"/>
    <n v="183714.67138999997"/>
    <n v="7699.65"/>
    <n v="8421.6234000000022"/>
    <n v="0.52239194702820446"/>
    <n v="202404"/>
    <n v="202301"/>
    <s v="Apr-2023"/>
    <n v="15"/>
    <s v="Late"/>
    <n v="0"/>
  </r>
  <r>
    <x v="523"/>
    <d v="2024-01-13T00:00:00"/>
    <s v="Jan-2024"/>
    <s v="Q1"/>
    <d v="2024-01-15T00:00:00"/>
    <n v="2"/>
    <x v="2"/>
    <x v="10"/>
    <s v="San Francisco"/>
    <s v="Americas &gt; USA &gt; San Francisco"/>
    <s v="Non-Profit"/>
    <s v="Direct"/>
    <s v="E. Garcia"/>
    <x v="0"/>
    <s v="CMP-2410"/>
    <n v="1061.3699999999999"/>
    <n v="1938.33"/>
    <s v="High"/>
    <n v="0.17"/>
    <n v="4"/>
    <n v="6435.2555999999995"/>
    <n v="183714.67138999997"/>
    <n v="4245.4799999999996"/>
    <n v="2189.7755999999999"/>
    <n v="0.34027795259600879"/>
    <n v="202401"/>
    <n v="202301"/>
    <s v="Jan-2023"/>
    <n v="12"/>
    <s v="On Time"/>
    <n v="1"/>
  </r>
  <r>
    <x v="524"/>
    <d v="2024-04-16T00:00:00"/>
    <s v="Apr-2024"/>
    <s v="Q2"/>
    <d v="2024-04-27T00:00:00"/>
    <n v="11"/>
    <x v="0"/>
    <x v="0"/>
    <s v="Nakuru"/>
    <s v="Africa &gt; Kenya &gt; Nakuru"/>
    <s v="Enterprise"/>
    <s v="Online"/>
    <s v="D. Smith"/>
    <x v="1"/>
    <s v="PRN-2641"/>
    <n v="401.3"/>
    <n v="826.47"/>
    <s v="Low"/>
    <n v="0.22500000000000001"/>
    <n v="13"/>
    <n v="8326.6852500000005"/>
    <n v="177279.41579"/>
    <n v="5216.9000000000005"/>
    <n v="3109.7852499999999"/>
    <n v="0.37347217489696755"/>
    <n v="202404"/>
    <n v="202301"/>
    <s v="Apr-2023"/>
    <n v="15"/>
    <s v="Late"/>
    <n v="0"/>
  </r>
  <r>
    <x v="525"/>
    <d v="2025-02-07T00:00:00"/>
    <s v="Feb-2025"/>
    <s v="Q1"/>
    <d v="2025-02-16T00:00:00"/>
    <n v="9"/>
    <x v="0"/>
    <x v="1"/>
    <s v="Lagos"/>
    <s v="Africa &gt; Nigeria &gt; Lagos"/>
    <s v="Small Business"/>
    <s v="Distributor"/>
    <s v="C. Otieno"/>
    <x v="1"/>
    <s v="PRN-1882"/>
    <n v="90.68"/>
    <n v="118.17"/>
    <s v="Low"/>
    <n v="0.13500000000000001"/>
    <n v="21"/>
    <n v="2146.5580500000001"/>
    <n v="177279.41579"/>
    <n v="1904.2800000000002"/>
    <n v="242.27804999999989"/>
    <n v="0.11286815653552899"/>
    <n v="202502"/>
    <n v="202301"/>
    <s v="Feb-2023"/>
    <n v="25"/>
    <s v="Late"/>
    <n v="0"/>
  </r>
  <r>
    <x v="526"/>
    <d v="2023-01-12T00:00:00"/>
    <s v="Jan-2023"/>
    <s v="Q1"/>
    <d v="2023-01-26T00:00:00"/>
    <n v="14"/>
    <x v="1"/>
    <x v="9"/>
    <s v="Shenzhen"/>
    <s v="Asia &gt; China &gt; Shenzhen"/>
    <s v="Non-Profit"/>
    <s v="Retail"/>
    <s v="M. Rossi"/>
    <x v="1"/>
    <s v="PRN-1641"/>
    <n v="1083.0899999999999"/>
    <n v="1425.87"/>
    <s v="High"/>
    <n v="0"/>
    <n v="8"/>
    <n v="11406.96"/>
    <n v="177279.41579"/>
    <n v="8664.7199999999993"/>
    <n v="2742.24"/>
    <n v="0.24040059752992909"/>
    <n v="202301"/>
    <n v="202301"/>
    <s v="Jan-2023"/>
    <n v="0"/>
    <s v="Late"/>
    <n v="0"/>
  </r>
  <r>
    <x v="527"/>
    <d v="2024-06-05T00:00:00"/>
    <s v="Jun-2024"/>
    <s v="Q2"/>
    <d v="2024-06-23T00:00:00"/>
    <n v="18"/>
    <x v="0"/>
    <x v="0"/>
    <s v="Nairobi"/>
    <s v="Africa &gt; Kenya &gt; Nairobi"/>
    <s v="Consumer"/>
    <s v="Distributor"/>
    <s v="D. Smith"/>
    <x v="4"/>
    <s v="LAP-1739"/>
    <n v="1208.74"/>
    <n v="1594.78"/>
    <s v="High"/>
    <n v="5.8999999999999997E-2"/>
    <n v="39"/>
    <n v="58526.83122"/>
    <n v="177279.41579"/>
    <n v="47140.86"/>
    <n v="11385.971219999999"/>
    <n v="0.1945427589817838"/>
    <n v="202406"/>
    <n v="202301"/>
    <s v="Jun-2023"/>
    <n v="17"/>
    <s v="Late"/>
    <n v="0"/>
  </r>
  <r>
    <x v="528"/>
    <d v="2023-08-24T00:00:00"/>
    <s v="Aug-2023"/>
    <s v="Q3"/>
    <d v="2023-09-20T00:00:00"/>
    <n v="27"/>
    <x v="0"/>
    <x v="11"/>
    <s v="Durban"/>
    <s v="Africa &gt; South Africa &gt; Durban"/>
    <s v="Small Business"/>
    <s v="Marketplace"/>
    <s v="M. Rossi"/>
    <x v="1"/>
    <s v="PRN-4732"/>
    <n v="1399.64"/>
    <n v="3342.11"/>
    <s v="High"/>
    <n v="0"/>
    <n v="10"/>
    <n v="33421.1"/>
    <n v="177279.41579"/>
    <n v="13996.400000000001"/>
    <n v="19424.699999999997"/>
    <n v="0.58121067229983447"/>
    <n v="202308"/>
    <n v="202301"/>
    <s v="Aug-2023"/>
    <n v="7"/>
    <s v="Late"/>
    <n v="0"/>
  </r>
  <r>
    <x v="529"/>
    <d v="2024-01-25T00:00:00"/>
    <s v="Jan-2024"/>
    <s v="Q1"/>
    <d v="2024-02-08T00:00:00"/>
    <n v="14"/>
    <x v="1"/>
    <x v="2"/>
    <s v="Osaka"/>
    <s v="Asia &gt; Japan &gt; Osaka"/>
    <s v="Consumer"/>
    <s v="Marketplace"/>
    <s v="I. Johnson"/>
    <x v="2"/>
    <s v="NET-9569"/>
    <n v="937.16"/>
    <n v="1069.77"/>
    <s v="Medium"/>
    <n v="3.7999999999999999E-2"/>
    <n v="9"/>
    <n v="9262.0686600000008"/>
    <n v="177279.41579"/>
    <n v="8434.44"/>
    <n v="827.62866000000031"/>
    <n v="8.9356783066645962E-2"/>
    <n v="202401"/>
    <n v="202303"/>
    <s v="Jan-2023"/>
    <n v="10"/>
    <s v="Late"/>
    <n v="0"/>
  </r>
  <r>
    <x v="530"/>
    <d v="2025-03-11T00:00:00"/>
    <s v="Mar-2025"/>
    <s v="Q1"/>
    <d v="2025-03-26T00:00:00"/>
    <n v="15"/>
    <x v="3"/>
    <x v="6"/>
    <s v="Berlin"/>
    <s v="Europe &gt; Germany &gt; Berlin"/>
    <s v="Small Business"/>
    <s v="Online"/>
    <s v="I. Johnson"/>
    <x v="3"/>
    <s v="PHN-3007"/>
    <n v="116.97"/>
    <n v="140.82"/>
    <s v="Low"/>
    <n v="0.122"/>
    <n v="5"/>
    <n v="618.19979999999987"/>
    <n v="177279.41579"/>
    <n v="584.85"/>
    <n v="33.349799999999846"/>
    <n v="5.3946636669891926E-2"/>
    <n v="202503"/>
    <n v="202301"/>
    <s v="Mar-2023"/>
    <n v="26"/>
    <s v="Late"/>
    <n v="0"/>
  </r>
  <r>
    <x v="531"/>
    <d v="2025-04-22T00:00:00"/>
    <s v="Apr-2025"/>
    <s v="Q2"/>
    <d v="2025-05-12T00:00:00"/>
    <n v="20"/>
    <x v="3"/>
    <x v="7"/>
    <s v="Lyon"/>
    <s v="Europe &gt; France &gt; Lyon"/>
    <s v="Enterprise"/>
    <s v="Marketplace"/>
    <s v="K. Singh"/>
    <x v="5"/>
    <s v="MON-9216"/>
    <n v="59.51"/>
    <n v="67.040000000000006"/>
    <s v="Low"/>
    <n v="0.114"/>
    <n v="9"/>
    <n v="534.57695999999999"/>
    <n v="177279.41579"/>
    <n v="535.59"/>
    <n v="-1.0130400000000463"/>
    <n v="-1.8950311663264469E-3"/>
    <n v="202504"/>
    <n v="202301"/>
    <s v="Apr-2023"/>
    <n v="27"/>
    <s v="Late"/>
    <n v="0"/>
  </r>
  <r>
    <x v="532"/>
    <d v="2023-08-17T00:00:00"/>
    <s v="Aug-2023"/>
    <s v="Q3"/>
    <d v="2023-09-03T00:00:00"/>
    <n v="17"/>
    <x v="0"/>
    <x v="11"/>
    <s v="Durban"/>
    <s v="Africa &gt; South Africa &gt; Durban"/>
    <s v="Enterprise"/>
    <s v="Retail"/>
    <s v="A. Patel"/>
    <x v="3"/>
    <s v="PHN-8072"/>
    <n v="676.37"/>
    <n v="1276.67"/>
    <s v="Medium"/>
    <n v="6.6000000000000003E-2"/>
    <n v="10"/>
    <n v="11924.0978"/>
    <n v="177279.41579"/>
    <n v="6763.7"/>
    <n v="5160.3977999999997"/>
    <n v="0.4327705027712872"/>
    <n v="202308"/>
    <n v="202301"/>
    <s v="Aug-2023"/>
    <n v="7"/>
    <s v="Late"/>
    <n v="0"/>
  </r>
  <r>
    <x v="533"/>
    <d v="2025-06-24T00:00:00"/>
    <s v="Jun-2025"/>
    <s v="Q2"/>
    <d v="2025-07-14T00:00:00"/>
    <n v="20"/>
    <x v="0"/>
    <x v="11"/>
    <s v="Johannesburg"/>
    <s v="Africa &gt; South Africa &gt; Johannesburg"/>
    <s v="Enterprise"/>
    <s v="Marketplace"/>
    <s v="J. Njeri"/>
    <x v="4"/>
    <s v="LAP-1308"/>
    <n v="1151.06"/>
    <n v="2821.36"/>
    <s v="High"/>
    <n v="0.248"/>
    <n v="20"/>
    <n v="42433.254400000005"/>
    <n v="177279.41579"/>
    <n v="23021.199999999997"/>
    <n v="19412.054400000008"/>
    <n v="0.45747267501594235"/>
    <n v="202506"/>
    <n v="202301"/>
    <s v="Jun-2023"/>
    <n v="29"/>
    <s v="Late"/>
    <n v="0"/>
  </r>
  <r>
    <x v="534"/>
    <d v="2025-01-10T00:00:00"/>
    <s v="Jan-2025"/>
    <s v="Q1"/>
    <d v="2025-02-06T00:00:00"/>
    <n v="27"/>
    <x v="2"/>
    <x v="5"/>
    <s v="Brasília"/>
    <s v="Americas &gt; Brazil &gt; Brasília"/>
    <s v="Non-Profit"/>
    <s v="Retail"/>
    <s v="B. Chen"/>
    <x v="4"/>
    <s v="LAP-7353"/>
    <n v="725.62"/>
    <n v="1559.19"/>
    <s v="Medium"/>
    <n v="0.19"/>
    <n v="12"/>
    <n v="15155.326800000001"/>
    <n v="177279.41579"/>
    <n v="8707.44"/>
    <n v="6447.8868000000002"/>
    <n v="0.42545349797405885"/>
    <n v="202501"/>
    <n v="202301"/>
    <s v="Jan-2023"/>
    <n v="24"/>
    <s v="Late"/>
    <n v="0"/>
  </r>
  <r>
    <x v="535"/>
    <d v="2023-07-01T00:00:00"/>
    <s v="Jul-2023"/>
    <s v="Q3"/>
    <d v="2023-07-11T00:00:00"/>
    <n v="10"/>
    <x v="3"/>
    <x v="7"/>
    <s v="Paris"/>
    <s v="Europe &gt; France &gt; Paris"/>
    <s v="Corporate"/>
    <s v="Direct"/>
    <s v="F. Müller"/>
    <x v="2"/>
    <s v="NET-6533"/>
    <n v="479.5"/>
    <n v="656.66"/>
    <s v="Low"/>
    <n v="0.14899999999999999"/>
    <n v="14"/>
    <n v="7823.4472399999995"/>
    <n v="177279.41579"/>
    <n v="6713"/>
    <n v="1110.4472399999995"/>
    <n v="0.14193835606412289"/>
    <n v="202307"/>
    <n v="202301"/>
    <s v="Jul-2023"/>
    <n v="6"/>
    <s v="Late"/>
    <n v="0"/>
  </r>
  <r>
    <x v="536"/>
    <d v="2024-08-16T00:00:00"/>
    <s v="Aug-2024"/>
    <s v="Q3"/>
    <d v="2024-08-26T00:00:00"/>
    <n v="10"/>
    <x v="2"/>
    <x v="10"/>
    <s v="Chicago"/>
    <s v="Americas &gt; USA &gt; Chicago"/>
    <s v="Corporate"/>
    <s v="Distributor"/>
    <s v="L. Okafor"/>
    <x v="4"/>
    <s v="LAP-5763"/>
    <n v="1291.7"/>
    <n v="2657.84"/>
    <s v="High"/>
    <n v="8.6999999999999994E-2"/>
    <n v="21"/>
    <n v="50958.766320000002"/>
    <n v="177279.41579"/>
    <n v="27125.7"/>
    <n v="23833.066320000002"/>
    <n v="0.46769315745083367"/>
    <n v="202408"/>
    <n v="202301"/>
    <s v="Aug-2023"/>
    <n v="19"/>
    <s v="Late"/>
    <n v="0"/>
  </r>
  <r>
    <x v="537"/>
    <d v="2023-07-07T00:00:00"/>
    <s v="Jul-2023"/>
    <s v="Q3"/>
    <d v="2023-07-13T00:00:00"/>
    <n v="6"/>
    <x v="0"/>
    <x v="11"/>
    <s v="Cape Town"/>
    <s v="Africa &gt; South Africa &gt; Cape Town"/>
    <s v="Small Business"/>
    <s v="Marketplace"/>
    <s v="B. Chen"/>
    <x v="6"/>
    <s v="ACC-9445"/>
    <n v="612.59"/>
    <n v="1424.74"/>
    <s v="Medium"/>
    <n v="4.3999999999999997E-2"/>
    <n v="15"/>
    <n v="20430.771599999996"/>
    <n v="177279.41579"/>
    <n v="9188.85"/>
    <n v="11241.921599999996"/>
    <n v="0.55024459281802152"/>
    <n v="202307"/>
    <n v="202301"/>
    <s v="Jul-2023"/>
    <n v="6"/>
    <s v="On Time"/>
    <n v="1"/>
  </r>
  <r>
    <x v="538"/>
    <d v="2023-12-28T00:00:00"/>
    <s v="Dec-2023"/>
    <s v="Q4"/>
    <d v="2024-01-01T00:00:00"/>
    <n v="4"/>
    <x v="0"/>
    <x v="11"/>
    <s v="Cape Town"/>
    <s v="Africa &gt; South Africa &gt; Cape Town"/>
    <s v="Education"/>
    <s v="Distributor"/>
    <s v="A. Patel"/>
    <x v="1"/>
    <s v="PRN-1654"/>
    <n v="1141.8"/>
    <n v="2318.7399999999998"/>
    <s v="High"/>
    <n v="0.107"/>
    <n v="32"/>
    <n v="66260.314239999992"/>
    <n v="177279.41579"/>
    <n v="36537.599999999999"/>
    <n v="29722.714239999994"/>
    <n v="0.44857490612468304"/>
    <n v="202312"/>
    <n v="202301"/>
    <s v="Dec-2023"/>
    <n v="11"/>
    <s v="On Time"/>
    <n v="1"/>
  </r>
  <r>
    <x v="539"/>
    <d v="2023-01-26T00:00:00"/>
    <s v="Jan-2023"/>
    <s v="Q1"/>
    <d v="2023-02-15T00:00:00"/>
    <n v="20"/>
    <x v="3"/>
    <x v="6"/>
    <s v="Berlin"/>
    <s v="Europe &gt; Germany &gt; Berlin"/>
    <s v="Small Business"/>
    <s v="Online"/>
    <s v="O. Wang"/>
    <x v="2"/>
    <s v="NET-8787"/>
    <n v="492.62"/>
    <n v="366.7"/>
    <s v="Low"/>
    <n v="8.8999999999999996E-2"/>
    <n v="10"/>
    <n v="3340.6370000000002"/>
    <n v="177279.41579"/>
    <n v="4926.2"/>
    <n v="-1585.5629999999996"/>
    <n v="-0.47462894052840809"/>
    <n v="202301"/>
    <n v="202301"/>
    <s v="Jan-2023"/>
    <n v="0"/>
    <s v="Late"/>
    <n v="0"/>
  </r>
  <r>
    <x v="540"/>
    <d v="2023-07-08T00:00:00"/>
    <s v="Jul-2023"/>
    <s v="Q3"/>
    <d v="2023-07-09T00:00:00"/>
    <n v="1"/>
    <x v="0"/>
    <x v="0"/>
    <s v="Nairobi"/>
    <s v="Africa &gt; Kenya &gt; Nairobi"/>
    <s v="Consumer"/>
    <s v="Online"/>
    <s v="D. Smith"/>
    <x v="4"/>
    <s v="LAP-1989"/>
    <n v="1258.72"/>
    <n v="2797.41"/>
    <s v="High"/>
    <n v="0"/>
    <n v="7"/>
    <n v="19581.87"/>
    <n v="177279.41579"/>
    <n v="8811.0400000000009"/>
    <n v="10770.829999999998"/>
    <n v="0.55004093071805704"/>
    <n v="202307"/>
    <n v="202301"/>
    <s v="Jul-2023"/>
    <n v="6"/>
    <s v="On Time"/>
    <n v="1"/>
  </r>
  <r>
    <x v="541"/>
    <d v="2024-06-07T00:00:00"/>
    <s v="Jun-2024"/>
    <s v="Q2"/>
    <d v="2024-06-09T00:00:00"/>
    <n v="2"/>
    <x v="1"/>
    <x v="9"/>
    <s v="Shanghai"/>
    <s v="Asia &gt; China &gt; Shanghai"/>
    <s v="Corporate"/>
    <s v="Retail"/>
    <s v="O. Wang"/>
    <x v="5"/>
    <s v="MON-8688"/>
    <n v="1370.28"/>
    <n v="2209.66"/>
    <s v="High"/>
    <n v="0.13300000000000001"/>
    <n v="16"/>
    <n v="30652.403519999996"/>
    <n v="177279.41579"/>
    <n v="21924.48"/>
    <n v="8727.9235199999966"/>
    <n v="0.28473863442079589"/>
    <n v="202406"/>
    <n v="202301"/>
    <s v="Jun-2023"/>
    <n v="17"/>
    <s v="On Time"/>
    <n v="1"/>
  </r>
  <r>
    <x v="542"/>
    <d v="2023-02-11T00:00:00"/>
    <s v="Feb-2023"/>
    <s v="Q1"/>
    <d v="2023-02-12T00:00:00"/>
    <n v="1"/>
    <x v="0"/>
    <x v="1"/>
    <s v="Port Harcourt"/>
    <s v="Africa &gt; Nigeria &gt; Port Harcourt"/>
    <s v="Non-Profit"/>
    <s v="Direct"/>
    <s v="D. Smith"/>
    <x v="6"/>
    <s v="ACC-8242"/>
    <n v="944.61"/>
    <n v="839.04"/>
    <s v="Medium"/>
    <n v="5.8999999999999997E-2"/>
    <n v="6"/>
    <n v="4737.2198399999997"/>
    <n v="177279.41579"/>
    <n v="5667.66"/>
    <n v="-930.44016000000011"/>
    <n v="-0.19641059343363726"/>
    <n v="202302"/>
    <n v="202301"/>
    <s v="Feb-2023"/>
    <n v="1"/>
    <s v="On Time"/>
    <n v="1"/>
  </r>
  <r>
    <x v="543"/>
    <d v="2023-07-01T00:00:00"/>
    <s v="Jul-2023"/>
    <s v="Q3"/>
    <d v="2023-07-08T00:00:00"/>
    <n v="7"/>
    <x v="3"/>
    <x v="6"/>
    <s v="Frankfurt"/>
    <s v="Europe &gt; Germany &gt; Frankfurt"/>
    <s v="Small Business"/>
    <s v="Distributor"/>
    <s v="N. Brown"/>
    <x v="4"/>
    <s v="LAP-4666"/>
    <n v="460.21"/>
    <n v="1139.1500000000001"/>
    <s v="Low"/>
    <n v="0.115"/>
    <n v="14"/>
    <n v="14114.068500000001"/>
    <n v="177279.41579"/>
    <n v="6442.94"/>
    <n v="7671.1285000000016"/>
    <n v="0.54350937151821255"/>
    <n v="202307"/>
    <n v="202301"/>
    <s v="Jul-2023"/>
    <n v="6"/>
    <s v="On Time"/>
    <n v="1"/>
  </r>
  <r>
    <x v="544"/>
    <d v="2025-08-20T00:00:00"/>
    <s v="Aug-2025"/>
    <s v="Q3"/>
    <d v="2025-08-26T00:00:00"/>
    <n v="6"/>
    <x v="2"/>
    <x v="10"/>
    <s v="New York"/>
    <s v="Americas &gt; USA &gt; New York"/>
    <s v="Corporate"/>
    <s v="Retail"/>
    <s v="M. Rossi"/>
    <x v="2"/>
    <s v="NET-5196"/>
    <n v="1304.95"/>
    <n v="1712.03"/>
    <s v="High"/>
    <n v="0.21199999999999999"/>
    <n v="8"/>
    <n v="10792.637119999999"/>
    <n v="177279.41579"/>
    <n v="10439.6"/>
    <n v="353.03711999999905"/>
    <n v="3.2710922833287949E-2"/>
    <n v="202508"/>
    <n v="202301"/>
    <s v="Aug-2023"/>
    <n v="31"/>
    <s v="On Time"/>
    <n v="1"/>
  </r>
  <r>
    <x v="545"/>
    <d v="2024-03-04T00:00:00"/>
    <s v="Mar-2024"/>
    <s v="Q1"/>
    <d v="2024-03-16T00:00:00"/>
    <n v="12"/>
    <x v="0"/>
    <x v="11"/>
    <s v="Johannesburg"/>
    <s v="Africa &gt; South Africa &gt; Johannesburg"/>
    <s v="Enterprise"/>
    <s v="Distributor"/>
    <s v="M. Rossi"/>
    <x v="5"/>
    <s v="MON-8422"/>
    <n v="441.08"/>
    <n v="1054.29"/>
    <s v="Low"/>
    <n v="0.23699999999999999"/>
    <n v="6"/>
    <n v="4826.5396199999996"/>
    <n v="177279.41579"/>
    <n v="2646.48"/>
    <n v="2180.0596199999995"/>
    <n v="0.45168169985932899"/>
    <n v="202403"/>
    <n v="202301"/>
    <s v="Mar-2023"/>
    <n v="14"/>
    <s v="Late"/>
    <n v="0"/>
  </r>
  <r>
    <x v="546"/>
    <d v="2023-09-08T00:00:00"/>
    <s v="Sept-2023"/>
    <s v="Q3"/>
    <d v="2023-10-02T00:00:00"/>
    <n v="24"/>
    <x v="2"/>
    <x v="3"/>
    <s v="Toronto"/>
    <s v="Americas &gt; Canada &gt; Toronto"/>
    <s v="Education"/>
    <s v="Direct"/>
    <s v="A. Patel"/>
    <x v="6"/>
    <s v="ACC-3415"/>
    <n v="1299.03"/>
    <n v="2451.2199999999998"/>
    <s v="High"/>
    <n v="0.20799999999999999"/>
    <n v="8"/>
    <n v="15530.929919999999"/>
    <n v="177279.41579"/>
    <n v="10392.24"/>
    <n v="5138.6899199999989"/>
    <n v="0.3308681416032041"/>
    <n v="202309"/>
    <n v="202301"/>
    <s v="Sept-2023"/>
    <n v="8"/>
    <s v="Late"/>
    <n v="0"/>
  </r>
  <r>
    <x v="547"/>
    <d v="2023-02-28T00:00:00"/>
    <s v="Feb-2023"/>
    <s v="Q1"/>
    <d v="2023-03-06T00:00:00"/>
    <n v="6"/>
    <x v="3"/>
    <x v="6"/>
    <s v="Frankfurt"/>
    <s v="Europe &gt; Germany &gt; Frankfurt"/>
    <s v="Small Business"/>
    <s v="Marketplace"/>
    <s v="D. Smith"/>
    <x v="1"/>
    <s v="PRN-9624"/>
    <n v="880.02"/>
    <n v="1251.21"/>
    <s v="Medium"/>
    <n v="0.123"/>
    <n v="29"/>
    <n v="31822.023930000003"/>
    <n v="177279.41579"/>
    <n v="25520.579999999998"/>
    <n v="6301.4439300000049"/>
    <n v="0.19802146915172672"/>
    <n v="202302"/>
    <n v="202301"/>
    <s v="Feb-2023"/>
    <n v="1"/>
    <s v="On Time"/>
    <n v="1"/>
  </r>
  <r>
    <x v="548"/>
    <d v="2024-07-13T00:00:00"/>
    <s v="Jul-2024"/>
    <s v="Q3"/>
    <d v="2024-08-03T00:00:00"/>
    <n v="21"/>
    <x v="2"/>
    <x v="5"/>
    <s v="Rio de Janeiro"/>
    <s v="Americas &gt; Brazil &gt; Rio de Janeiro"/>
    <s v="Corporate"/>
    <s v="Marketplace"/>
    <s v="M. Rossi"/>
    <x v="5"/>
    <s v="MON-6287"/>
    <n v="702.98"/>
    <n v="1104.8"/>
    <s v="Medium"/>
    <n v="0.17499999999999999"/>
    <n v="12"/>
    <n v="10937.519999999999"/>
    <n v="177279.41579"/>
    <n v="8435.76"/>
    <n v="2501.7599999999984"/>
    <n v="0.22873192460448061"/>
    <n v="202407"/>
    <n v="202301"/>
    <s v="Jul-2023"/>
    <n v="18"/>
    <s v="Late"/>
    <n v="0"/>
  </r>
  <r>
    <x v="549"/>
    <d v="2024-12-07T00:00:00"/>
    <s v="Dec-2024"/>
    <s v="Q4"/>
    <d v="2024-12-26T00:00:00"/>
    <n v="19"/>
    <x v="3"/>
    <x v="8"/>
    <s v="London"/>
    <s v="Europe &gt; United Kingdom &gt; London"/>
    <s v="Enterprise"/>
    <s v="Online"/>
    <s v="D. Smith"/>
    <x v="2"/>
    <s v="NET-4491"/>
    <n v="1035.24"/>
    <n v="2383.41"/>
    <s v="High"/>
    <n v="0.17"/>
    <n v="15"/>
    <n v="29673.454499999993"/>
    <n v="177279.41579"/>
    <n v="15528.6"/>
    <n v="14144.854499999992"/>
    <n v="0.47668378145860962"/>
    <n v="202412"/>
    <n v="202301"/>
    <s v="Dec-2023"/>
    <n v="23"/>
    <s v="Late"/>
    <n v="0"/>
  </r>
  <r>
    <x v="550"/>
    <d v="2025-08-06T00:00:00"/>
    <s v="Aug-2025"/>
    <s v="Q3"/>
    <d v="2025-08-23T00:00:00"/>
    <n v="17"/>
    <x v="2"/>
    <x v="5"/>
    <s v="Brasília"/>
    <s v="Americas &gt; Brazil &gt; Brasília"/>
    <s v="Consumer"/>
    <s v="Distributor"/>
    <s v="A. Patel"/>
    <x v="5"/>
    <s v="MON-4317"/>
    <n v="86.64"/>
    <n v="213.06"/>
    <s v="Low"/>
    <n v="0.21199999999999999"/>
    <n v="11"/>
    <n v="1846.8040799999999"/>
    <n v="177279.41579"/>
    <n v="953.04"/>
    <n v="893.76407999999992"/>
    <n v="0.48395175735154322"/>
    <n v="202508"/>
    <n v="202301"/>
    <s v="Aug-2023"/>
    <n v="31"/>
    <s v="Late"/>
    <n v="0"/>
  </r>
  <r>
    <x v="551"/>
    <d v="2023-03-03T00:00:00"/>
    <s v="Mar-2023"/>
    <s v="Q1"/>
    <d v="2023-03-20T00:00:00"/>
    <n v="17"/>
    <x v="1"/>
    <x v="2"/>
    <s v="Nagoya"/>
    <s v="Asia &gt; Japan &gt; Nagoya"/>
    <s v="Small Business"/>
    <s v="Online"/>
    <s v="D. Smith"/>
    <x v="2"/>
    <s v="NET-7349"/>
    <n v="1171.17"/>
    <n v="2030.64"/>
    <s v="High"/>
    <n v="0.157"/>
    <n v="11"/>
    <n v="18830.12472"/>
    <n v="177279.41579"/>
    <n v="12882.87"/>
    <n v="5947.254719999999"/>
    <n v="0.31583724528830415"/>
    <n v="202303"/>
    <n v="202303"/>
    <s v="Mar-2023"/>
    <n v="0"/>
    <s v="Late"/>
    <n v="0"/>
  </r>
  <r>
    <x v="552"/>
    <d v="2025-02-16T00:00:00"/>
    <s v="Feb-2025"/>
    <s v="Q1"/>
    <d v="2025-03-17T00:00:00"/>
    <n v="29"/>
    <x v="3"/>
    <x v="6"/>
    <s v="Munich"/>
    <s v="Europe &gt; Germany &gt; Munich"/>
    <s v="Consumer"/>
    <s v="Retail"/>
    <s v="L. Okafor"/>
    <x v="6"/>
    <s v="ACC-5150"/>
    <n v="730.42"/>
    <n v="956.7"/>
    <s v="Medium"/>
    <n v="4.2000000000000003E-2"/>
    <n v="22"/>
    <n v="20163.409200000002"/>
    <n v="177279.41579"/>
    <n v="16069.24"/>
    <n v="4094.1692000000021"/>
    <n v="0.20304945256975698"/>
    <n v="202502"/>
    <n v="202301"/>
    <s v="Feb-2023"/>
    <n v="25"/>
    <s v="Late"/>
    <n v="0"/>
  </r>
  <r>
    <x v="553"/>
    <d v="2025-02-15T00:00:00"/>
    <s v="Feb-2025"/>
    <s v="Q1"/>
    <d v="2025-03-01T00:00:00"/>
    <n v="14"/>
    <x v="0"/>
    <x v="0"/>
    <s v="Mombasa"/>
    <s v="Africa &gt; Kenya &gt; Mombasa"/>
    <s v="Education"/>
    <s v="Direct"/>
    <s v="L. Okafor"/>
    <x v="6"/>
    <s v="ACC-5144"/>
    <n v="1162.8599999999999"/>
    <n v="1447.68"/>
    <s v="High"/>
    <n v="8.6999999999999994E-2"/>
    <n v="12"/>
    <n v="15860.782080000001"/>
    <n v="177279.41579"/>
    <n v="13954.32"/>
    <n v="1906.4620800000012"/>
    <n v="0.12019975247021369"/>
    <n v="202502"/>
    <n v="202301"/>
    <s v="Feb-2023"/>
    <n v="25"/>
    <s v="Late"/>
    <n v="0"/>
  </r>
  <r>
    <x v="554"/>
    <d v="2024-08-31T00:00:00"/>
    <s v="Aug-2024"/>
    <s v="Q3"/>
    <d v="2024-09-26T00:00:00"/>
    <n v="26"/>
    <x v="1"/>
    <x v="2"/>
    <s v="Tokyo"/>
    <s v="Asia &gt; Japan &gt; Tokyo"/>
    <s v="Education"/>
    <s v="Online"/>
    <s v="I. Johnson"/>
    <x v="3"/>
    <s v="PHN-6111"/>
    <n v="1189.03"/>
    <n v="2949.62"/>
    <s v="High"/>
    <n v="0.125"/>
    <n v="13"/>
    <n v="33551.927499999998"/>
    <n v="177279.41579"/>
    <n v="15457.39"/>
    <n v="18094.537499999999"/>
    <n v="0.53929949330034765"/>
    <n v="202408"/>
    <n v="202303"/>
    <s v="Aug-2023"/>
    <n v="17"/>
    <s v="Late"/>
    <n v="0"/>
  </r>
  <r>
    <x v="555"/>
    <d v="2023-05-07T00:00:00"/>
    <s v="May-2023"/>
    <s v="Q2"/>
    <d v="2023-05-20T00:00:00"/>
    <n v="13"/>
    <x v="1"/>
    <x v="4"/>
    <s v="Mumbai"/>
    <s v="Asia &gt; India &gt; Mumbai"/>
    <s v="Enterprise"/>
    <s v="Retail"/>
    <s v="D. Smith"/>
    <x v="6"/>
    <s v="ACC-9283"/>
    <n v="1443.28"/>
    <n v="2580.5700000000002"/>
    <s v="High"/>
    <n v="0"/>
    <n v="18"/>
    <n v="46450.26"/>
    <n v="177279.41579"/>
    <n v="25979.040000000001"/>
    <n v="20471.22"/>
    <n v="0.4407127107577008"/>
    <n v="202305"/>
    <n v="202301"/>
    <s v="May-2023"/>
    <n v="4"/>
    <s v="Late"/>
    <n v="0"/>
  </r>
  <r>
    <x v="556"/>
    <d v="2025-05-14T00:00:00"/>
    <s v="May-2025"/>
    <s v="Q2"/>
    <d v="2025-05-16T00:00:00"/>
    <n v="2"/>
    <x v="2"/>
    <x v="3"/>
    <s v="Vancouver"/>
    <s v="Americas &gt; Canada &gt; Vancouver"/>
    <s v="Non-Profit"/>
    <s v="Distributor"/>
    <s v="F. Müller"/>
    <x v="1"/>
    <s v="PRN-2407"/>
    <n v="883.5"/>
    <n v="1978.91"/>
    <s v="Medium"/>
    <n v="5.3999999999999999E-2"/>
    <n v="27"/>
    <n v="50545.319219999998"/>
    <n v="177279.41579"/>
    <n v="23854.5"/>
    <n v="26690.819219999998"/>
    <n v="0.52805718970390547"/>
    <n v="202505"/>
    <n v="202301"/>
    <s v="May-2023"/>
    <n v="28"/>
    <s v="On Time"/>
    <n v="1"/>
  </r>
  <r>
    <x v="557"/>
    <d v="2024-03-11T00:00:00"/>
    <s v="Mar-2024"/>
    <s v="Q1"/>
    <d v="2024-03-29T00:00:00"/>
    <n v="18"/>
    <x v="2"/>
    <x v="10"/>
    <s v="New York"/>
    <s v="Americas &gt; USA &gt; New York"/>
    <s v="Corporate"/>
    <s v="Retail"/>
    <s v="M. Rossi"/>
    <x v="5"/>
    <s v="MON-7099"/>
    <n v="710.98"/>
    <n v="1481.45"/>
    <s v="Medium"/>
    <n v="0.21099999999999999"/>
    <n v="9"/>
    <n v="10519.776450000001"/>
    <n v="177279.41579"/>
    <n v="6398.82"/>
    <n v="4120.9564500000015"/>
    <n v="0.39173422264120461"/>
    <n v="202403"/>
    <n v="202301"/>
    <s v="Mar-2023"/>
    <n v="14"/>
    <s v="Late"/>
    <n v="0"/>
  </r>
  <r>
    <x v="558"/>
    <d v="2024-05-18T00:00:00"/>
    <s v="May-2024"/>
    <s v="Q2"/>
    <d v="2024-05-22T00:00:00"/>
    <n v="4"/>
    <x v="0"/>
    <x v="0"/>
    <s v="Nairobi"/>
    <s v="Africa &gt; Kenya &gt; Nairobi"/>
    <s v="Corporate"/>
    <s v="Direct"/>
    <s v="H. Kim"/>
    <x v="6"/>
    <s v="ACC-7354"/>
    <n v="857.42"/>
    <n v="1658.92"/>
    <s v="Medium"/>
    <n v="0.122"/>
    <n v="9"/>
    <n v="13108.78584"/>
    <n v="177279.41579"/>
    <n v="7716.78"/>
    <n v="5392.0058400000007"/>
    <n v="0.41132763215544305"/>
    <n v="202405"/>
    <n v="202301"/>
    <s v="May-2023"/>
    <n v="16"/>
    <s v="On Time"/>
    <n v="1"/>
  </r>
  <r>
    <x v="559"/>
    <d v="2024-01-08T00:00:00"/>
    <s v="Jan-2024"/>
    <s v="Q1"/>
    <d v="2024-01-12T00:00:00"/>
    <n v="4"/>
    <x v="1"/>
    <x v="4"/>
    <s v="Bengaluru"/>
    <s v="Asia &gt; India &gt; Bengaluru"/>
    <s v="Corporate"/>
    <s v="Direct"/>
    <s v="E. Garcia"/>
    <x v="1"/>
    <s v="PRN-6585"/>
    <n v="802.32"/>
    <n v="602.34"/>
    <s v="Medium"/>
    <n v="0.12"/>
    <n v="25"/>
    <n v="13251.48"/>
    <n v="177279.41579"/>
    <n v="20058"/>
    <n v="-6806.52"/>
    <n v="-0.51364224977134632"/>
    <n v="202401"/>
    <n v="202301"/>
    <s v="Jan-2023"/>
    <n v="12"/>
    <s v="On Time"/>
    <n v="1"/>
  </r>
  <r>
    <x v="560"/>
    <d v="2024-10-25T00:00:00"/>
    <s v="Oct-2024"/>
    <s v="Q4"/>
    <d v="2024-11-05T00:00:00"/>
    <n v="11"/>
    <x v="2"/>
    <x v="10"/>
    <s v="New York"/>
    <s v="Americas &gt; USA &gt; New York"/>
    <s v="Corporate"/>
    <s v="Distributor"/>
    <s v="N. Brown"/>
    <x v="0"/>
    <s v="CMP-9498"/>
    <n v="446.66"/>
    <n v="527.64"/>
    <s v="Low"/>
    <n v="0.14499999999999999"/>
    <n v="15"/>
    <n v="6766.9829999999993"/>
    <n v="177279.41579"/>
    <n v="6699.9000000000005"/>
    <n v="67.082999999998719"/>
    <n v="9.9132804087137105E-3"/>
    <n v="202410"/>
    <n v="202301"/>
    <s v="Oct-2023"/>
    <n v="21"/>
    <s v="Late"/>
    <n v="0"/>
  </r>
  <r>
    <x v="561"/>
    <d v="2024-11-30T00:00:00"/>
    <s v="Nov-2024"/>
    <s v="Q4"/>
    <d v="2024-12-19T00:00:00"/>
    <n v="19"/>
    <x v="0"/>
    <x v="0"/>
    <s v="Kisumu"/>
    <s v="Africa &gt; Kenya &gt; Kisumu"/>
    <s v="Corporate"/>
    <s v="Online"/>
    <s v="L. Okafor"/>
    <x v="3"/>
    <s v="PHN-1919"/>
    <n v="1195.98"/>
    <n v="1841.9"/>
    <s v="High"/>
    <n v="5.5E-2"/>
    <n v="19"/>
    <n v="33071.3145"/>
    <n v="170512.43278999999"/>
    <n v="22723.62"/>
    <n v="10347.694500000001"/>
    <n v="0.31289032977506842"/>
    <n v="202411"/>
    <n v="202301"/>
    <s v="Nov-2023"/>
    <n v="22"/>
    <s v="Late"/>
    <n v="0"/>
  </r>
  <r>
    <x v="562"/>
    <d v="2023-04-13T00:00:00"/>
    <s v="Apr-2023"/>
    <s v="Q2"/>
    <d v="2023-05-02T00:00:00"/>
    <n v="19"/>
    <x v="2"/>
    <x v="3"/>
    <s v="Montreal"/>
    <s v="Americas &gt; Canada &gt; Montreal"/>
    <s v="Consumer"/>
    <s v="Distributor"/>
    <s v="E. Garcia"/>
    <x v="5"/>
    <s v="MON-6053"/>
    <n v="671.05"/>
    <n v="1645.48"/>
    <s v="Medium"/>
    <n v="0.13700000000000001"/>
    <n v="6"/>
    <n v="8520.2954399999999"/>
    <n v="170512.43278999999"/>
    <n v="4026.2999999999997"/>
    <n v="4493.9954400000006"/>
    <n v="0.52744596377517172"/>
    <n v="202304"/>
    <n v="202301"/>
    <s v="Apr-2023"/>
    <n v="3"/>
    <s v="Late"/>
    <n v="0"/>
  </r>
  <r>
    <x v="563"/>
    <d v="2025-02-04T00:00:00"/>
    <s v="Feb-2025"/>
    <s v="Q1"/>
    <d v="2025-02-08T00:00:00"/>
    <n v="4"/>
    <x v="3"/>
    <x v="8"/>
    <s v="Manchester"/>
    <s v="Europe &gt; United Kingdom &gt; Manchester"/>
    <s v="Enterprise"/>
    <s v="Marketplace"/>
    <s v="L. Okafor"/>
    <x v="2"/>
    <s v="NET-2502"/>
    <n v="586.21"/>
    <n v="727.22"/>
    <s v="Medium"/>
    <n v="6.8000000000000005E-2"/>
    <n v="15"/>
    <n v="10166.535600000001"/>
    <n v="170512.43278999999"/>
    <n v="8793.1500000000015"/>
    <n v="1373.3855999999996"/>
    <n v="0.13508884973559721"/>
    <n v="202502"/>
    <n v="202301"/>
    <s v="Feb-2023"/>
    <n v="25"/>
    <s v="On Time"/>
    <n v="1"/>
  </r>
  <r>
    <x v="564"/>
    <d v="2024-01-24T00:00:00"/>
    <s v="Jan-2024"/>
    <s v="Q1"/>
    <d v="2024-02-04T00:00:00"/>
    <n v="11"/>
    <x v="3"/>
    <x v="8"/>
    <s v="Manchester"/>
    <s v="Europe &gt; United Kingdom &gt; Manchester"/>
    <s v="Consumer"/>
    <s v="Retail"/>
    <s v="B. Chen"/>
    <x v="4"/>
    <s v="LAP-5689"/>
    <n v="525.34"/>
    <n v="1233.79"/>
    <s v="Medium"/>
    <n v="0.14299999999999999"/>
    <n v="4"/>
    <n v="4229.4321199999995"/>
    <n v="170512.43278999999"/>
    <n v="2101.36"/>
    <n v="2128.0721199999994"/>
    <n v="0.50315788494082736"/>
    <n v="202401"/>
    <n v="202301"/>
    <s v="Jan-2023"/>
    <n v="12"/>
    <s v="Late"/>
    <n v="0"/>
  </r>
  <r>
    <x v="565"/>
    <d v="2024-02-08T00:00:00"/>
    <s v="Feb-2024"/>
    <s v="Q1"/>
    <d v="2024-02-09T00:00:00"/>
    <n v="1"/>
    <x v="0"/>
    <x v="0"/>
    <s v="Mombasa"/>
    <s v="Africa &gt; Kenya &gt; Mombasa"/>
    <s v="Corporate"/>
    <s v="Direct"/>
    <s v="F. Müller"/>
    <x v="0"/>
    <s v="CMP-5911"/>
    <n v="1233.52"/>
    <n v="1543.76"/>
    <s v="High"/>
    <n v="0.126"/>
    <n v="13"/>
    <n v="17540.201120000002"/>
    <n v="170512.43278999999"/>
    <n v="16035.76"/>
    <n v="1504.4411200000013"/>
    <n v="8.5771030201277493E-2"/>
    <n v="202402"/>
    <n v="202301"/>
    <s v="Feb-2023"/>
    <n v="13"/>
    <s v="On Time"/>
    <n v="1"/>
  </r>
  <r>
    <x v="566"/>
    <d v="2025-06-26T00:00:00"/>
    <s v="Jun-2025"/>
    <s v="Q2"/>
    <d v="2025-07-11T00:00:00"/>
    <n v="15"/>
    <x v="0"/>
    <x v="1"/>
    <s v="Port Harcourt"/>
    <s v="Africa &gt; Nigeria &gt; Port Harcourt"/>
    <s v="Small Business"/>
    <s v="Online"/>
    <s v="A. Patel"/>
    <x v="4"/>
    <s v="LAP-7523"/>
    <n v="1170.1500000000001"/>
    <n v="2115.19"/>
    <s v="High"/>
    <n v="9.1999999999999998E-2"/>
    <n v="23"/>
    <n v="44173.627960000005"/>
    <n v="152972.23167000001"/>
    <n v="26913.45"/>
    <n v="17260.177960000005"/>
    <n v="0.39073489674946776"/>
    <n v="202506"/>
    <n v="202301"/>
    <s v="Jun-2023"/>
    <n v="29"/>
    <s v="Late"/>
    <n v="0"/>
  </r>
  <r>
    <x v="567"/>
    <d v="2024-11-04T00:00:00"/>
    <s v="Nov-2024"/>
    <s v="Q4"/>
    <d v="2024-11-07T00:00:00"/>
    <n v="3"/>
    <x v="3"/>
    <x v="7"/>
    <s v="Lyon"/>
    <s v="Europe &gt; France &gt; Lyon"/>
    <s v="Corporate"/>
    <s v="Online"/>
    <s v="O. Wang"/>
    <x v="5"/>
    <s v="MON-1118"/>
    <n v="740.68"/>
    <n v="1837.19"/>
    <s v="Medium"/>
    <n v="0.19700000000000001"/>
    <n v="17"/>
    <n v="25079.480689999997"/>
    <n v="152972.23167000001"/>
    <n v="12591.56"/>
    <n v="12487.920689999997"/>
    <n v="0.4979337827748298"/>
    <n v="202411"/>
    <n v="202301"/>
    <s v="Nov-2023"/>
    <n v="22"/>
    <s v="On Time"/>
    <n v="1"/>
  </r>
  <r>
    <x v="568"/>
    <d v="2024-02-20T00:00:00"/>
    <s v="Feb-2024"/>
    <s v="Q1"/>
    <d v="2024-02-20T00:00:00"/>
    <n v="0"/>
    <x v="2"/>
    <x v="10"/>
    <s v="New York"/>
    <s v="Americas &gt; USA &gt; New York"/>
    <s v="Enterprise"/>
    <s v="Online"/>
    <s v="C. Otieno"/>
    <x v="2"/>
    <s v="NET-9177"/>
    <n v="1407.05"/>
    <n v="2858.93"/>
    <s v="High"/>
    <n v="0"/>
    <n v="12"/>
    <n v="34307.159999999996"/>
    <n v="152972.23167000001"/>
    <n v="16884.599999999999"/>
    <n v="17422.559999999998"/>
    <n v="0.50784034586366222"/>
    <n v="202402"/>
    <n v="202301"/>
    <s v="Feb-2023"/>
    <n v="13"/>
    <s v="On Time"/>
    <n v="1"/>
  </r>
  <r>
    <x v="569"/>
    <d v="2025-04-13T00:00:00"/>
    <s v="Apr-2025"/>
    <s v="Q2"/>
    <d v="2025-04-14T00:00:00"/>
    <n v="1"/>
    <x v="1"/>
    <x v="2"/>
    <s v="Osaka"/>
    <s v="Asia &gt; Japan &gt; Osaka"/>
    <s v="Enterprise"/>
    <s v="Online"/>
    <s v="G. Dubois"/>
    <x v="0"/>
    <s v="CMP-6495"/>
    <n v="138.9"/>
    <n v="289.92"/>
    <s v="Low"/>
    <n v="2.9000000000000001E-2"/>
    <n v="12"/>
    <n v="3378.1478400000001"/>
    <n v="152972.23167000001"/>
    <n v="1666.8000000000002"/>
    <n v="1711.3478399999999"/>
    <n v="0.50659353025828491"/>
    <n v="202504"/>
    <n v="202303"/>
    <s v="Apr-2023"/>
    <n v="25"/>
    <s v="On Time"/>
    <n v="1"/>
  </r>
  <r>
    <x v="570"/>
    <d v="2023-06-01T00:00:00"/>
    <s v="Jun-2023"/>
    <s v="Q2"/>
    <d v="2023-06-01T00:00:00"/>
    <n v="0"/>
    <x v="1"/>
    <x v="4"/>
    <s v="Bengaluru"/>
    <s v="Asia &gt; India &gt; Bengaluru"/>
    <s v="Corporate"/>
    <s v="Retail"/>
    <s v="E. Garcia"/>
    <x v="6"/>
    <s v="ACC-4587"/>
    <n v="669.37"/>
    <n v="997.2"/>
    <s v="Medium"/>
    <n v="8.2000000000000003E-2"/>
    <n v="5"/>
    <n v="4577.1480000000001"/>
    <n v="149594.08382999999"/>
    <n v="3346.85"/>
    <n v="1230.2980000000002"/>
    <n v="0.26879139586484863"/>
    <n v="202306"/>
    <n v="202301"/>
    <s v="Jun-2023"/>
    <n v="5"/>
    <s v="On Time"/>
    <n v="1"/>
  </r>
  <r>
    <x v="571"/>
    <d v="2025-03-24T00:00:00"/>
    <s v="Mar-2025"/>
    <s v="Q1"/>
    <d v="2025-04-04T00:00:00"/>
    <n v="11"/>
    <x v="1"/>
    <x v="4"/>
    <s v="Mumbai"/>
    <s v="Asia &gt; India &gt; Mumbai"/>
    <s v="Education"/>
    <s v="Marketplace"/>
    <s v="J. Njeri"/>
    <x v="3"/>
    <s v="PHN-4395"/>
    <n v="23.83"/>
    <n v="47.29"/>
    <s v="Low"/>
    <n v="6.4000000000000001E-2"/>
    <n v="19"/>
    <n v="841.00536"/>
    <n v="149594.08382999999"/>
    <n v="452.77"/>
    <n v="388.23536000000001"/>
    <n v="0.46163244429262618"/>
    <n v="202503"/>
    <n v="202301"/>
    <s v="Mar-2023"/>
    <n v="26"/>
    <s v="Late"/>
    <n v="0"/>
  </r>
  <r>
    <x v="572"/>
    <d v="2024-01-02T00:00:00"/>
    <s v="Jan-2024"/>
    <s v="Q1"/>
    <d v="2024-01-02T00:00:00"/>
    <n v="0"/>
    <x v="2"/>
    <x v="3"/>
    <s v="Vancouver"/>
    <s v="Americas &gt; Canada &gt; Vancouver"/>
    <s v="Education"/>
    <s v="Direct"/>
    <s v="A. Patel"/>
    <x v="4"/>
    <s v="LAP-3581"/>
    <n v="444.41"/>
    <n v="754.24"/>
    <s v="Low"/>
    <n v="0.20699999999999999"/>
    <n v="32"/>
    <n v="19139.594240000002"/>
    <n v="149594.08382999999"/>
    <n v="14221.12"/>
    <n v="4918.4742400000014"/>
    <n v="0.25697902360546598"/>
    <n v="202401"/>
    <n v="202301"/>
    <s v="Jan-2023"/>
    <n v="12"/>
    <s v="On Time"/>
    <n v="1"/>
  </r>
  <r>
    <x v="573"/>
    <d v="2023-12-19T00:00:00"/>
    <s v="Dec-2023"/>
    <s v="Q4"/>
    <d v="2024-01-01T00:00:00"/>
    <n v="13"/>
    <x v="2"/>
    <x v="3"/>
    <s v="Toronto"/>
    <s v="Americas &gt; Canada &gt; Toronto"/>
    <s v="Enterprise"/>
    <s v="Retail"/>
    <s v="K. Singh"/>
    <x v="5"/>
    <s v="MON-6065"/>
    <n v="856.1"/>
    <n v="901.48"/>
    <s v="Medium"/>
    <n v="5.6000000000000001E-2"/>
    <n v="17"/>
    <n v="14466.95104"/>
    <n v="149594.08382999999"/>
    <n v="14553.7"/>
    <n v="-86.748960000000807"/>
    <n v="-5.9963540182134192E-3"/>
    <n v="202312"/>
    <n v="202301"/>
    <s v="Dec-2023"/>
    <n v="11"/>
    <s v="Late"/>
    <n v="0"/>
  </r>
  <r>
    <x v="574"/>
    <d v="2023-04-26T00:00:00"/>
    <s v="Apr-2023"/>
    <s v="Q2"/>
    <d v="2023-04-26T00:00:00"/>
    <n v="0"/>
    <x v="3"/>
    <x v="7"/>
    <s v="Marseille"/>
    <s v="Europe &gt; France &gt; Marseille"/>
    <s v="Consumer"/>
    <s v="Direct"/>
    <s v="M. Rossi"/>
    <x v="0"/>
    <s v="CMP-4945"/>
    <n v="81.489999999999995"/>
    <n v="113.08"/>
    <s v="Low"/>
    <n v="0.121"/>
    <n v="5"/>
    <n v="496.98660000000001"/>
    <n v="149594.08382999999"/>
    <n v="407.45"/>
    <n v="89.536600000000021"/>
    <n v="0.18015898215364362"/>
    <n v="202304"/>
    <n v="202301"/>
    <s v="Apr-2023"/>
    <n v="3"/>
    <s v="On Time"/>
    <n v="1"/>
  </r>
  <r>
    <x v="575"/>
    <d v="2025-08-03T00:00:00"/>
    <s v="Aug-2025"/>
    <s v="Q3"/>
    <d v="2025-08-16T00:00:00"/>
    <n v="13"/>
    <x v="2"/>
    <x v="3"/>
    <s v="Montreal"/>
    <s v="Americas &gt; Canada &gt; Montreal"/>
    <s v="Enterprise"/>
    <s v="Distributor"/>
    <s v="O. Wang"/>
    <x v="2"/>
    <s v="NET-3785"/>
    <n v="698.66"/>
    <n v="868.62"/>
    <s v="Medium"/>
    <n v="7.1999999999999995E-2"/>
    <n v="15"/>
    <n v="12091.190399999999"/>
    <n v="149097.09722999998"/>
    <n v="10479.9"/>
    <n v="1611.2903999999999"/>
    <n v="0.13326151906432637"/>
    <n v="202508"/>
    <n v="202301"/>
    <s v="Aug-2023"/>
    <n v="31"/>
    <s v="Late"/>
    <n v="0"/>
  </r>
  <r>
    <x v="576"/>
    <d v="2023-08-02T00:00:00"/>
    <s v="Aug-2023"/>
    <s v="Q3"/>
    <d v="2023-08-19T00:00:00"/>
    <n v="17"/>
    <x v="2"/>
    <x v="3"/>
    <s v="Vancouver"/>
    <s v="Americas &gt; Canada &gt; Vancouver"/>
    <s v="Corporate"/>
    <s v="Online"/>
    <s v="F. Müller"/>
    <x v="2"/>
    <s v="NET-3689"/>
    <n v="175.38"/>
    <n v="347.9"/>
    <s v="Low"/>
    <n v="7.1999999999999995E-2"/>
    <n v="43"/>
    <n v="13882.6016"/>
    <n v="149097.09722999998"/>
    <n v="7541.34"/>
    <n v="6341.2615999999998"/>
    <n v="0.45677761148169804"/>
    <n v="202308"/>
    <n v="202301"/>
    <s v="Aug-2023"/>
    <n v="7"/>
    <s v="Late"/>
    <n v="0"/>
  </r>
  <r>
    <x v="577"/>
    <d v="2023-06-15T00:00:00"/>
    <s v="Jun-2023"/>
    <s v="Q2"/>
    <d v="2023-07-12T00:00:00"/>
    <n v="27"/>
    <x v="3"/>
    <x v="8"/>
    <s v="Manchester"/>
    <s v="Europe &gt; United Kingdom &gt; Manchester"/>
    <s v="Consumer"/>
    <s v="Direct"/>
    <s v="I. Johnson"/>
    <x v="6"/>
    <s v="ACC-3833"/>
    <n v="751.28"/>
    <n v="1111.8800000000001"/>
    <s v="Medium"/>
    <n v="0.13500000000000001"/>
    <n v="7"/>
    <n v="6732.4334000000008"/>
    <n v="149097.09722999998"/>
    <n v="5258.96"/>
    <n v="1473.4734000000008"/>
    <n v="0.21886193482433863"/>
    <n v="202306"/>
    <n v="202301"/>
    <s v="Jun-2023"/>
    <n v="5"/>
    <s v="Late"/>
    <n v="0"/>
  </r>
  <r>
    <x v="578"/>
    <d v="2024-11-11T00:00:00"/>
    <s v="Nov-2024"/>
    <s v="Q4"/>
    <d v="2024-11-24T00:00:00"/>
    <n v="13"/>
    <x v="3"/>
    <x v="8"/>
    <s v="London"/>
    <s v="Europe &gt; United Kingdom &gt; London"/>
    <s v="Corporate"/>
    <s v="Retail"/>
    <s v="E. Garcia"/>
    <x v="2"/>
    <s v="NET-2932"/>
    <n v="164.53"/>
    <n v="327.72"/>
    <s v="Low"/>
    <n v="6.7000000000000004E-2"/>
    <n v="14"/>
    <n v="4280.6786400000001"/>
    <n v="149097.09722999998"/>
    <n v="2303.42"/>
    <n v="1977.25864"/>
    <n v="0.46190307805960412"/>
    <n v="202411"/>
    <n v="202301"/>
    <s v="Nov-2023"/>
    <n v="22"/>
    <s v="Late"/>
    <n v="0"/>
  </r>
  <r>
    <x v="579"/>
    <d v="2025-07-11T00:00:00"/>
    <s v="Jul-2025"/>
    <s v="Q3"/>
    <d v="2025-08-03T00:00:00"/>
    <n v="23"/>
    <x v="0"/>
    <x v="0"/>
    <s v="Nakuru"/>
    <s v="Africa &gt; Kenya &gt; Nakuru"/>
    <s v="Small Business"/>
    <s v="Retail"/>
    <s v="C. Otieno"/>
    <x v="3"/>
    <s v="PHN-7636"/>
    <n v="389.93"/>
    <n v="486.13"/>
    <s v="Low"/>
    <n v="0.13200000000000001"/>
    <n v="17"/>
    <n v="7173.3342799999991"/>
    <n v="149097.09722999998"/>
    <n v="6628.81"/>
    <n v="544.52427999999873"/>
    <n v="7.5909508569562828E-2"/>
    <n v="202507"/>
    <n v="202301"/>
    <s v="Jul-2023"/>
    <n v="30"/>
    <s v="Late"/>
    <n v="0"/>
  </r>
  <r>
    <x v="580"/>
    <d v="2023-06-03T00:00:00"/>
    <s v="Jun-2023"/>
    <s v="Q2"/>
    <d v="2023-07-01T00:00:00"/>
    <n v="28"/>
    <x v="2"/>
    <x v="5"/>
    <s v="Brasília"/>
    <s v="Americas &gt; Brazil &gt; Brasília"/>
    <s v="Small Business"/>
    <s v="Marketplace"/>
    <s v="A. Patel"/>
    <x v="0"/>
    <s v="CMP-1223"/>
    <n v="860.4"/>
    <n v="2066.6"/>
    <s v="Medium"/>
    <n v="0.01"/>
    <n v="3"/>
    <n v="6137.8019999999988"/>
    <n v="149097.09722999998"/>
    <n v="2581.1999999999998"/>
    <n v="3556.601999999999"/>
    <n v="0.57945857491004105"/>
    <n v="202306"/>
    <n v="202301"/>
    <s v="Jun-2023"/>
    <n v="5"/>
    <s v="Late"/>
    <n v="0"/>
  </r>
  <r>
    <x v="581"/>
    <d v="2023-01-29T00:00:00"/>
    <s v="Jan-2023"/>
    <s v="Q1"/>
    <d v="2023-02-06T00:00:00"/>
    <n v="8"/>
    <x v="2"/>
    <x v="5"/>
    <s v="Brasília"/>
    <s v="Americas &gt; Brazil &gt; Brasília"/>
    <s v="Corporate"/>
    <s v="Marketplace"/>
    <s v="D. Smith"/>
    <x v="5"/>
    <s v="MON-7207"/>
    <n v="41.84"/>
    <n v="86.2"/>
    <s v="Low"/>
    <n v="0.22600000000000001"/>
    <n v="27"/>
    <n v="1801.4076000000002"/>
    <n v="142959.29522999999"/>
    <n v="1129.68"/>
    <n v="671.72760000000017"/>
    <n v="0.37289039970742882"/>
    <n v="202301"/>
    <n v="202301"/>
    <s v="Jan-2023"/>
    <n v="0"/>
    <s v="Late"/>
    <n v="0"/>
  </r>
  <r>
    <x v="582"/>
    <d v="2024-09-06T00:00:00"/>
    <s v="Sept-2024"/>
    <s v="Q3"/>
    <d v="2024-09-08T00:00:00"/>
    <n v="2"/>
    <x v="1"/>
    <x v="2"/>
    <s v="Osaka"/>
    <s v="Asia &gt; Japan &gt; Osaka"/>
    <s v="Corporate"/>
    <s v="Direct"/>
    <s v="A. Patel"/>
    <x v="4"/>
    <s v="LAP-4483"/>
    <n v="1368.17"/>
    <n v="2307.75"/>
    <s v="High"/>
    <n v="0.16300000000000001"/>
    <n v="21"/>
    <n v="40563.321749999996"/>
    <n v="142959.29522999999"/>
    <n v="28731.57"/>
    <n v="11831.751749999996"/>
    <n v="0.29168596750831921"/>
    <n v="202409"/>
    <n v="202303"/>
    <s v="Sept-2023"/>
    <n v="18"/>
    <s v="On Time"/>
    <n v="1"/>
  </r>
  <r>
    <x v="583"/>
    <d v="2024-08-03T00:00:00"/>
    <s v="Aug-2024"/>
    <s v="Q3"/>
    <d v="2024-08-09T00:00:00"/>
    <n v="6"/>
    <x v="0"/>
    <x v="0"/>
    <s v="Mombasa"/>
    <s v="Africa &gt; Kenya &gt; Mombasa"/>
    <s v="Consumer"/>
    <s v="Marketplace"/>
    <s v="H. Kim"/>
    <x v="4"/>
    <s v="LAP-1969"/>
    <n v="643.21"/>
    <n v="1112.81"/>
    <s v="Medium"/>
    <n v="0.14099999999999999"/>
    <n v="4"/>
    <n v="3823.6151599999998"/>
    <n v="142959.29522999999"/>
    <n v="2572.84"/>
    <n v="1250.7751599999997"/>
    <n v="0.32711847496702562"/>
    <n v="202408"/>
    <n v="202301"/>
    <s v="Aug-2023"/>
    <n v="19"/>
    <s v="On Time"/>
    <n v="1"/>
  </r>
  <r>
    <x v="584"/>
    <d v="2025-04-17T00:00:00"/>
    <s v="Apr-2025"/>
    <s v="Q2"/>
    <d v="2025-04-17T00:00:00"/>
    <n v="0"/>
    <x v="2"/>
    <x v="5"/>
    <s v="São Paulo"/>
    <s v="Americas &gt; Brazil &gt; São Paulo"/>
    <s v="Corporate"/>
    <s v="Distributor"/>
    <s v="L. Okafor"/>
    <x v="3"/>
    <s v="PHN-4566"/>
    <n v="719.41"/>
    <n v="1125.99"/>
    <s v="Medium"/>
    <n v="4.1000000000000002E-2"/>
    <n v="21"/>
    <n v="22676.312610000001"/>
    <n v="142959.29522999999"/>
    <n v="15107.609999999999"/>
    <n v="7568.7026100000021"/>
    <n v="0.33377131194876403"/>
    <n v="202504"/>
    <n v="202301"/>
    <s v="Apr-2023"/>
    <n v="27"/>
    <s v="On Time"/>
    <n v="1"/>
  </r>
  <r>
    <x v="585"/>
    <d v="2023-05-03T00:00:00"/>
    <s v="May-2023"/>
    <s v="Q2"/>
    <d v="2023-05-16T00:00:00"/>
    <n v="13"/>
    <x v="2"/>
    <x v="10"/>
    <s v="New York"/>
    <s v="Americas &gt; USA &gt; New York"/>
    <s v="Corporate"/>
    <s v="Marketplace"/>
    <s v="L. Okafor"/>
    <x v="3"/>
    <s v="PHN-5366"/>
    <n v="64.5"/>
    <n v="123.62"/>
    <s v="Low"/>
    <n v="0"/>
    <n v="3"/>
    <n v="370.86"/>
    <n v="142959.29522999999"/>
    <n v="193.5"/>
    <n v="177.36"/>
    <n v="0.47823976702798904"/>
    <n v="202305"/>
    <n v="202301"/>
    <s v="May-2023"/>
    <n v="4"/>
    <s v="Late"/>
    <n v="0"/>
  </r>
  <r>
    <x v="586"/>
    <d v="2024-03-13T00:00:00"/>
    <s v="Mar-2024"/>
    <s v="Q1"/>
    <d v="2024-04-06T00:00:00"/>
    <n v="24"/>
    <x v="0"/>
    <x v="1"/>
    <s v="Abuja"/>
    <s v="Africa &gt; Nigeria &gt; Abuja"/>
    <s v="Consumer"/>
    <s v="Distributor"/>
    <s v="L. Okafor"/>
    <x v="0"/>
    <s v="CMP-9001"/>
    <n v="1232.78"/>
    <n v="1731.75"/>
    <s v="High"/>
    <n v="9.2999999999999999E-2"/>
    <n v="16"/>
    <n v="25131.155999999999"/>
    <n v="142959.29522999999"/>
    <n v="19724.48"/>
    <n v="5406.6759999999995"/>
    <n v="0.21513837246484005"/>
    <n v="202403"/>
    <n v="202301"/>
    <s v="Mar-2023"/>
    <n v="14"/>
    <s v="Late"/>
    <n v="0"/>
  </r>
  <r>
    <x v="587"/>
    <d v="2024-06-16T00:00:00"/>
    <s v="Jun-2024"/>
    <s v="Q2"/>
    <d v="2024-06-21T00:00:00"/>
    <n v="5"/>
    <x v="1"/>
    <x v="2"/>
    <s v="Tokyo"/>
    <s v="Asia &gt; Japan &gt; Tokyo"/>
    <s v="Small Business"/>
    <s v="Distributor"/>
    <s v="F. Müller"/>
    <x v="3"/>
    <s v="PHN-9677"/>
    <n v="1367.13"/>
    <n v="3062.01"/>
    <s v="High"/>
    <n v="0.10299999999999999"/>
    <n v="25"/>
    <n v="68665.574250000005"/>
    <n v="117828.13922999999"/>
    <n v="34178.25"/>
    <n v="34487.324250000005"/>
    <n v="0.50225057645971705"/>
    <n v="202406"/>
    <n v="202303"/>
    <s v="Jun-2023"/>
    <n v="15"/>
    <s v="On Time"/>
    <n v="1"/>
  </r>
  <r>
    <x v="588"/>
    <d v="2025-02-15T00:00:00"/>
    <s v="Feb-2025"/>
    <s v="Q1"/>
    <d v="2025-02-27T00:00:00"/>
    <n v="12"/>
    <x v="3"/>
    <x v="7"/>
    <s v="Lyon"/>
    <s v="Europe &gt; France &gt; Lyon"/>
    <s v="Non-Profit"/>
    <s v="Direct"/>
    <s v="K. Singh"/>
    <x v="6"/>
    <s v="ACC-1604"/>
    <n v="1027.26"/>
    <n v="2200.41"/>
    <s v="High"/>
    <n v="8.7999999999999995E-2"/>
    <n v="6"/>
    <n v="12040.64352"/>
    <n v="117828.13922999999"/>
    <n v="6163.5599999999995"/>
    <n v="5877.0835200000001"/>
    <n v="0.48810377204822358"/>
    <n v="202502"/>
    <n v="202301"/>
    <s v="Feb-2023"/>
    <n v="25"/>
    <s v="Late"/>
    <n v="0"/>
  </r>
  <r>
    <x v="589"/>
    <d v="2023-04-03T00:00:00"/>
    <s v="Apr-2023"/>
    <s v="Q2"/>
    <d v="2023-04-16T00:00:00"/>
    <n v="13"/>
    <x v="3"/>
    <x v="7"/>
    <s v="Marseille"/>
    <s v="Europe &gt; France &gt; Marseille"/>
    <s v="Non-Profit"/>
    <s v="Marketplace"/>
    <s v="M. Rossi"/>
    <x v="6"/>
    <s v="ACC-4815"/>
    <n v="790.54"/>
    <n v="601.49"/>
    <s v="Medium"/>
    <n v="0"/>
    <n v="15"/>
    <n v="9022.35"/>
    <n v="117828.13922999999"/>
    <n v="11858.099999999999"/>
    <n v="-2835.7499999999982"/>
    <n v="-0.31430281467688553"/>
    <n v="202304"/>
    <n v="202301"/>
    <s v="Apr-2023"/>
    <n v="3"/>
    <s v="Late"/>
    <n v="0"/>
  </r>
  <r>
    <x v="590"/>
    <d v="2025-08-30T00:00:00"/>
    <s v="Aug-2025"/>
    <s v="Q3"/>
    <d v="2025-09-22T00:00:00"/>
    <n v="23"/>
    <x v="3"/>
    <x v="7"/>
    <s v="Marseille"/>
    <s v="Europe &gt; France &gt; Marseille"/>
    <s v="Corporate"/>
    <s v="Direct"/>
    <s v="E. Garcia"/>
    <x v="0"/>
    <s v="CMP-5311"/>
    <n v="663.9"/>
    <n v="947.77"/>
    <s v="Medium"/>
    <n v="0.17399999999999999"/>
    <n v="15"/>
    <n v="11742.8703"/>
    <n v="117828.13922999999"/>
    <n v="9958.5"/>
    <n v="1784.3703000000005"/>
    <n v="0.1519535049280073"/>
    <n v="202508"/>
    <n v="202301"/>
    <s v="Aug-2023"/>
    <n v="31"/>
    <s v="Late"/>
    <n v="0"/>
  </r>
  <r>
    <x v="591"/>
    <d v="2023-02-27T00:00:00"/>
    <s v="Feb-2023"/>
    <s v="Q1"/>
    <d v="2023-02-28T00:00:00"/>
    <n v="1"/>
    <x v="2"/>
    <x v="10"/>
    <s v="San Francisco"/>
    <s v="Americas &gt; USA &gt; San Francisco"/>
    <s v="Non-Profit"/>
    <s v="Online"/>
    <s v="L. Okafor"/>
    <x v="2"/>
    <s v="NET-1282"/>
    <n v="1015.91"/>
    <n v="2331.48"/>
    <s v="High"/>
    <n v="0.14599999999999999"/>
    <n v="26"/>
    <n v="51768.181920000003"/>
    <n v="106085.26892999999"/>
    <n v="26413.66"/>
    <n v="25354.521920000003"/>
    <n v="0.48977037592669626"/>
    <n v="202302"/>
    <n v="202301"/>
    <s v="Feb-2023"/>
    <n v="1"/>
    <s v="On Time"/>
    <n v="1"/>
  </r>
  <r>
    <x v="592"/>
    <d v="2024-07-31T00:00:00"/>
    <s v="Jul-2024"/>
    <s v="Q3"/>
    <d v="2024-08-15T00:00:00"/>
    <n v="15"/>
    <x v="1"/>
    <x v="2"/>
    <s v="Tokyo"/>
    <s v="Asia &gt; Japan &gt; Tokyo"/>
    <s v="Corporate"/>
    <s v="Marketplace"/>
    <s v="F. Müller"/>
    <x v="5"/>
    <s v="MON-1564"/>
    <n v="1252.52"/>
    <n v="1417.24"/>
    <s v="High"/>
    <n v="0.192"/>
    <n v="5"/>
    <n v="5725.6496000000006"/>
    <n v="106085.26892999999"/>
    <n v="6262.6"/>
    <n v="-536.95039999999972"/>
    <n v="-9.3779821943696953E-2"/>
    <n v="202407"/>
    <n v="202303"/>
    <s v="Jul-2023"/>
    <n v="16"/>
    <s v="Late"/>
    <n v="0"/>
  </r>
  <r>
    <x v="593"/>
    <d v="2025-06-15T00:00:00"/>
    <s v="Jun-2025"/>
    <s v="Q2"/>
    <d v="2025-07-12T00:00:00"/>
    <n v="27"/>
    <x v="3"/>
    <x v="7"/>
    <s v="Marseille"/>
    <s v="Europe &gt; France &gt; Marseille"/>
    <s v="Consumer"/>
    <s v="Direct"/>
    <s v="C. Otieno"/>
    <x v="6"/>
    <s v="ACC-7906"/>
    <n v="318.83"/>
    <n v="699.5"/>
    <s v="Low"/>
    <n v="0.08"/>
    <n v="13"/>
    <n v="8366.02"/>
    <n v="106085.26892999999"/>
    <n v="4144.79"/>
    <n v="4221.2300000000005"/>
    <n v="0.50456848059172699"/>
    <n v="202506"/>
    <n v="202301"/>
    <s v="Jun-2023"/>
    <n v="29"/>
    <s v="Late"/>
    <n v="0"/>
  </r>
  <r>
    <x v="594"/>
    <d v="2024-06-30T00:00:00"/>
    <s v="Jun-2024"/>
    <s v="Q2"/>
    <d v="2024-07-21T00:00:00"/>
    <n v="21"/>
    <x v="0"/>
    <x v="0"/>
    <s v="Kisumu"/>
    <s v="Africa &gt; Kenya &gt; Kisumu"/>
    <s v="Small Business"/>
    <s v="Retail"/>
    <s v="K. Singh"/>
    <x v="4"/>
    <s v="LAP-6577"/>
    <n v="753.43"/>
    <n v="1787.2"/>
    <s v="Medium"/>
    <n v="7.2999999999999995E-2"/>
    <n v="9"/>
    <n v="14910.609600000002"/>
    <n v="106085.26892999999"/>
    <n v="6780.87"/>
    <n v="8129.7396000000017"/>
    <n v="0.54523187301476939"/>
    <n v="202406"/>
    <n v="202301"/>
    <s v="Jun-2023"/>
    <n v="17"/>
    <s v="Late"/>
    <n v="0"/>
  </r>
  <r>
    <x v="595"/>
    <d v="2025-02-17T00:00:00"/>
    <s v="Feb-2025"/>
    <s v="Q1"/>
    <d v="2025-02-19T00:00:00"/>
    <n v="2"/>
    <x v="2"/>
    <x v="3"/>
    <s v="Toronto"/>
    <s v="Americas &gt; Canada &gt; Toronto"/>
    <s v="Small Business"/>
    <s v="Retail"/>
    <s v="D. Smith"/>
    <x v="0"/>
    <s v="CMP-5065"/>
    <n v="1133.47"/>
    <n v="1698.75"/>
    <s v="High"/>
    <n v="4.2999999999999997E-2"/>
    <n v="5"/>
    <n v="8128.5187499999993"/>
    <n v="106085.26892999999"/>
    <n v="5667.35"/>
    <n v="2461.1687499999989"/>
    <n v="0.30278194904821976"/>
    <n v="202502"/>
    <n v="202301"/>
    <s v="Feb-2023"/>
    <n v="25"/>
    <s v="On Time"/>
    <n v="1"/>
  </r>
  <r>
    <x v="596"/>
    <d v="2023-01-07T00:00:00"/>
    <s v="Jan-2023"/>
    <s v="Q1"/>
    <d v="2023-01-30T00:00:00"/>
    <n v="23"/>
    <x v="0"/>
    <x v="11"/>
    <s v="Cape Town"/>
    <s v="Africa &gt; South Africa &gt; Cape Town"/>
    <s v="Consumer"/>
    <s v="Online"/>
    <s v="A. Patel"/>
    <x v="1"/>
    <s v="PRN-4787"/>
    <n v="299.02"/>
    <n v="724.7"/>
    <s v="Low"/>
    <n v="0.14000000000000001"/>
    <n v="5"/>
    <n v="3116.21"/>
    <n v="97956.750180000003"/>
    <n v="1495.1"/>
    <n v="1621.1100000000001"/>
    <n v="0.52021847051386139"/>
    <n v="202301"/>
    <n v="202301"/>
    <s v="Jan-2023"/>
    <n v="0"/>
    <s v="Late"/>
    <n v="0"/>
  </r>
  <r>
    <x v="597"/>
    <d v="2025-03-10T00:00:00"/>
    <s v="Mar-2025"/>
    <s v="Q1"/>
    <d v="2025-04-04T00:00:00"/>
    <n v="25"/>
    <x v="1"/>
    <x v="2"/>
    <s v="Osaka"/>
    <s v="Asia &gt; Japan &gt; Osaka"/>
    <s v="Corporate"/>
    <s v="Direct"/>
    <s v="H. Kim"/>
    <x v="1"/>
    <s v="PRN-9867"/>
    <n v="783.72"/>
    <n v="1355.94"/>
    <s v="Medium"/>
    <n v="0.187"/>
    <n v="4"/>
    <n v="4409.5168800000001"/>
    <n v="97956.750180000003"/>
    <n v="3134.88"/>
    <n v="1274.63688"/>
    <n v="0.28906497348525856"/>
    <n v="202503"/>
    <n v="202303"/>
    <s v="Mar-2023"/>
    <n v="24"/>
    <s v="Late"/>
    <n v="0"/>
  </r>
  <r>
    <x v="598"/>
    <d v="2024-08-17T00:00:00"/>
    <s v="Aug-2024"/>
    <s v="Q3"/>
    <d v="2024-08-19T00:00:00"/>
    <n v="2"/>
    <x v="2"/>
    <x v="5"/>
    <s v="Rio de Janeiro"/>
    <s v="Americas &gt; Brazil &gt; Rio de Janeiro"/>
    <s v="Consumer"/>
    <s v="Direct"/>
    <s v="M. Rossi"/>
    <x v="5"/>
    <s v="MON-2849"/>
    <n v="165.3"/>
    <n v="275.07"/>
    <s v="Low"/>
    <n v="0.13300000000000001"/>
    <n v="25"/>
    <n v="5962.1422499999999"/>
    <n v="97956.750180000003"/>
    <n v="4132.5"/>
    <n v="1829.6422499999999"/>
    <n v="0.30687665159280625"/>
    <n v="202408"/>
    <n v="202301"/>
    <s v="Aug-2023"/>
    <n v="19"/>
    <s v="On Time"/>
    <n v="1"/>
  </r>
  <r>
    <x v="599"/>
    <d v="2024-03-09T00:00:00"/>
    <s v="Mar-2024"/>
    <s v="Q1"/>
    <d v="2024-03-22T00:00:00"/>
    <n v="13"/>
    <x v="3"/>
    <x v="8"/>
    <s v="Manchester"/>
    <s v="Europe &gt; United Kingdom &gt; Manchester"/>
    <s v="Consumer"/>
    <s v="Online"/>
    <s v="E. Garcia"/>
    <x v="4"/>
    <s v="LAP-8633"/>
    <n v="985.45"/>
    <n v="1802.44"/>
    <s v="Medium"/>
    <n v="8.9999999999999993E-3"/>
    <n v="19"/>
    <n v="33938.142760000002"/>
    <n v="97956.750180000003"/>
    <n v="18723.55"/>
    <n v="15214.592760000003"/>
    <n v="0.44830363486867486"/>
    <n v="202403"/>
    <n v="202301"/>
    <s v="Mar-2023"/>
    <n v="14"/>
    <s v="Late"/>
    <n v="0"/>
  </r>
  <r>
    <x v="600"/>
    <d v="2024-08-19T00:00:00"/>
    <s v="Aug-2024"/>
    <s v="Q3"/>
    <d v="2024-09-02T00:00:00"/>
    <n v="14"/>
    <x v="2"/>
    <x v="3"/>
    <s v="Toronto"/>
    <s v="Americas &gt; Canada &gt; Toronto"/>
    <s v="Consumer"/>
    <s v="Distributor"/>
    <s v="C. Otieno"/>
    <x v="1"/>
    <s v="PRN-9793"/>
    <n v="1337.01"/>
    <n v="1269.78"/>
    <s v="High"/>
    <n v="0.16"/>
    <n v="7"/>
    <n v="7466.3063999999986"/>
    <n v="97956.750180000003"/>
    <n v="9359.07"/>
    <n v="-1892.7636000000011"/>
    <n v="-0.25350735672996244"/>
    <n v="202408"/>
    <n v="202301"/>
    <s v="Aug-2023"/>
    <n v="19"/>
    <s v="Late"/>
    <n v="0"/>
  </r>
  <r>
    <x v="601"/>
    <d v="2025-08-11T00:00:00"/>
    <s v="Aug-2025"/>
    <s v="Q3"/>
    <d v="2025-08-28T00:00:00"/>
    <n v="17"/>
    <x v="3"/>
    <x v="7"/>
    <s v="Paris"/>
    <s v="Europe &gt; France &gt; Paris"/>
    <s v="Education"/>
    <s v="Online"/>
    <s v="F. Müller"/>
    <x v="2"/>
    <s v="NET-6218"/>
    <n v="416.16"/>
    <n v="571.9"/>
    <s v="Low"/>
    <n v="7.0999999999999994E-2"/>
    <n v="2"/>
    <n v="1062.5902000000001"/>
    <n v="97956.750180000003"/>
    <n v="832.32"/>
    <n v="230.27020000000005"/>
    <n v="0.21670649701079497"/>
    <n v="202508"/>
    <n v="202301"/>
    <s v="Aug-2023"/>
    <n v="31"/>
    <s v="Late"/>
    <n v="0"/>
  </r>
  <r>
    <x v="602"/>
    <d v="2025-05-16T00:00:00"/>
    <s v="May-2025"/>
    <s v="Q2"/>
    <d v="2025-05-18T00:00:00"/>
    <n v="2"/>
    <x v="1"/>
    <x v="2"/>
    <s v="Tokyo"/>
    <s v="Asia &gt; Japan &gt; Tokyo"/>
    <s v="Enterprise"/>
    <s v="Retail"/>
    <s v="J. Njeri"/>
    <x v="1"/>
    <s v="PRN-6131"/>
    <n v="1144.3800000000001"/>
    <n v="2755.04"/>
    <s v="High"/>
    <n v="0.15"/>
    <n v="17"/>
    <n v="39810.328000000001"/>
    <n v="97956.750180000003"/>
    <n v="19454.460000000003"/>
    <n v="20355.867999999999"/>
    <n v="0.51132128326096682"/>
    <n v="202505"/>
    <n v="202303"/>
    <s v="May-2023"/>
    <n v="26"/>
    <s v="On Time"/>
    <n v="1"/>
  </r>
  <r>
    <x v="603"/>
    <d v="2023-04-10T00:00:00"/>
    <s v="Apr-2023"/>
    <s v="Q2"/>
    <d v="2023-04-25T00:00:00"/>
    <n v="15"/>
    <x v="3"/>
    <x v="8"/>
    <s v="London"/>
    <s v="Europe &gt; United Kingdom &gt; London"/>
    <s v="Small Business"/>
    <s v="Retail"/>
    <s v="D. Smith"/>
    <x v="1"/>
    <s v="PRN-5067"/>
    <n v="405.66"/>
    <n v="962.51"/>
    <s v="Low"/>
    <n v="0.19"/>
    <n v="7"/>
    <n v="5457.4317000000001"/>
    <n v="97956.750180000003"/>
    <n v="2839.6200000000003"/>
    <n v="2617.8116999999997"/>
    <n v="0.47967832561239376"/>
    <n v="202304"/>
    <n v="202301"/>
    <s v="Apr-2023"/>
    <n v="3"/>
    <s v="Late"/>
    <n v="0"/>
  </r>
  <r>
    <x v="604"/>
    <d v="2023-09-17T00:00:00"/>
    <s v="Sept-2023"/>
    <s v="Q3"/>
    <d v="2023-10-02T00:00:00"/>
    <n v="15"/>
    <x v="2"/>
    <x v="5"/>
    <s v="Rio de Janeiro"/>
    <s v="Americas &gt; Brazil &gt; Rio de Janeiro"/>
    <s v="Small Business"/>
    <s v="Retail"/>
    <s v="B. Chen"/>
    <x v="4"/>
    <s v="LAP-4932"/>
    <n v="689.33"/>
    <n v="668.27"/>
    <s v="Medium"/>
    <n v="0.186"/>
    <n v="13"/>
    <n v="7071.6331400000008"/>
    <n v="97956.750180000003"/>
    <n v="8961.2900000000009"/>
    <n v="-1889.6568600000001"/>
    <n v="-0.26721647214861033"/>
    <n v="202309"/>
    <n v="202301"/>
    <s v="Sept-2023"/>
    <n v="8"/>
    <s v="Late"/>
    <n v="0"/>
  </r>
  <r>
    <x v="605"/>
    <d v="2023-04-22T00:00:00"/>
    <s v="Apr-2023"/>
    <s v="Q2"/>
    <d v="2023-05-14T00:00:00"/>
    <n v="22"/>
    <x v="1"/>
    <x v="2"/>
    <s v="Nagoya"/>
    <s v="Asia &gt; Japan &gt; Nagoya"/>
    <s v="Enterprise"/>
    <s v="Retail"/>
    <s v="A. Patel"/>
    <x v="6"/>
    <s v="ACC-7713"/>
    <n v="1209.22"/>
    <n v="1404.33"/>
    <s v="High"/>
    <n v="0.10299999999999999"/>
    <n v="11"/>
    <n v="13856.52411"/>
    <n v="97956.750180000003"/>
    <n v="13301.42"/>
    <n v="555.10411000000022"/>
    <n v="4.0060848275751328E-2"/>
    <n v="202304"/>
    <n v="202303"/>
    <s v="Apr-2023"/>
    <n v="1"/>
    <s v="Late"/>
    <n v="0"/>
  </r>
  <r>
    <x v="606"/>
    <d v="2025-06-19T00:00:00"/>
    <s v="Jun-2025"/>
    <s v="Q2"/>
    <d v="2025-06-21T00:00:00"/>
    <n v="2"/>
    <x v="0"/>
    <x v="11"/>
    <s v="Johannesburg"/>
    <s v="Africa &gt; South Africa &gt; Johannesburg"/>
    <s v="Small Business"/>
    <s v="Not Provided"/>
    <s v="H. Kim"/>
    <x v="3"/>
    <s v="PHN-7379"/>
    <n v="1466.27"/>
    <n v="3589.89"/>
    <s v="High"/>
    <n v="9.7000000000000003E-2"/>
    <n v="9"/>
    <n v="29175.036029999999"/>
    <n v="97956.750180000003"/>
    <n v="13196.43"/>
    <n v="15978.606029999999"/>
    <n v="0.54768076425234147"/>
    <n v="202506"/>
    <n v="202301"/>
    <s v="Jun-2023"/>
    <n v="29"/>
    <s v="On Time"/>
    <n v="1"/>
  </r>
  <r>
    <x v="607"/>
    <d v="2024-11-27T00:00:00"/>
    <s v="Nov-2024"/>
    <s v="Q4"/>
    <d v="2024-12-24T00:00:00"/>
    <n v="27"/>
    <x v="0"/>
    <x v="0"/>
    <s v="Mombasa"/>
    <s v="Africa &gt; Kenya &gt; Mombasa"/>
    <s v="Corporate"/>
    <s v="Distributor"/>
    <s v="B. Chen"/>
    <x v="1"/>
    <s v="PRN-5569"/>
    <n v="143.33000000000001"/>
    <n v="233.51"/>
    <s v="Low"/>
    <n v="0.16300000000000001"/>
    <n v="14"/>
    <n v="2736.27018"/>
    <n v="97956.750180000003"/>
    <n v="2006.6200000000001"/>
    <n v="729.65017999999986"/>
    <n v="0.26665867476580835"/>
    <n v="202411"/>
    <n v="202301"/>
    <s v="Nov-2023"/>
    <n v="22"/>
    <s v="Late"/>
    <n v="0"/>
  </r>
  <r>
    <x v="608"/>
    <d v="2024-01-28T00:00:00"/>
    <s v="Jan-2024"/>
    <s v="Q1"/>
    <d v="2024-01-29T00:00:00"/>
    <n v="1"/>
    <x v="0"/>
    <x v="11"/>
    <s v="Cape Town"/>
    <s v="Africa &gt; South Africa &gt; Cape Town"/>
    <s v="Enterprise"/>
    <s v="Direct"/>
    <s v="O. Wang"/>
    <x v="0"/>
    <s v="CMP-1470"/>
    <n v="109.75"/>
    <n v="124.25"/>
    <s v="Low"/>
    <n v="0.12"/>
    <n v="19"/>
    <n v="2077.46"/>
    <n v="97956.750180000003"/>
    <n v="2085.25"/>
    <n v="-7.7899999999999636"/>
    <n v="-3.7497713554051405E-3"/>
    <n v="202401"/>
    <n v="202301"/>
    <s v="Jan-2023"/>
    <n v="12"/>
    <s v="On Time"/>
    <n v="1"/>
  </r>
  <r>
    <x v="609"/>
    <d v="2023-04-16T00:00:00"/>
    <s v="Apr-2023"/>
    <s v="Q2"/>
    <d v="2023-04-23T00:00:00"/>
    <n v="7"/>
    <x v="2"/>
    <x v="10"/>
    <s v="Austin"/>
    <s v="Americas &gt; USA &gt; Austin"/>
    <s v="Corporate"/>
    <s v="Distributor"/>
    <s v="O. Wang"/>
    <x v="1"/>
    <s v="PRN-9249"/>
    <n v="1099.1500000000001"/>
    <n v="1431.37"/>
    <s v="High"/>
    <n v="0.104"/>
    <n v="8"/>
    <n v="10260.060159999999"/>
    <n v="95879.290179999996"/>
    <n v="8793.2000000000007"/>
    <n v="1466.8601599999984"/>
    <n v="0.14296798821109433"/>
    <n v="202304"/>
    <n v="202301"/>
    <s v="Apr-2023"/>
    <n v="3"/>
    <s v="On Time"/>
    <n v="1"/>
  </r>
  <r>
    <x v="610"/>
    <d v="2024-02-01T00:00:00"/>
    <s v="Feb-2024"/>
    <s v="Q1"/>
    <d v="2024-02-01T00:00:00"/>
    <n v="0"/>
    <x v="2"/>
    <x v="10"/>
    <s v="Austin"/>
    <s v="Americas &gt; USA &gt; Austin"/>
    <s v="Consumer"/>
    <s v="Distributor"/>
    <s v="H. Kim"/>
    <x v="1"/>
    <s v="PRN-4906"/>
    <n v="714.43"/>
    <n v="1595.52"/>
    <s v="Medium"/>
    <n v="0.19400000000000001"/>
    <n v="14"/>
    <n v="18003.847679999999"/>
    <n v="95879.290179999996"/>
    <n v="10002.019999999999"/>
    <n v="8001.8276800000003"/>
    <n v="0.44445097638151093"/>
    <n v="202402"/>
    <n v="202301"/>
    <s v="Feb-2023"/>
    <n v="13"/>
    <s v="On Time"/>
    <n v="1"/>
  </r>
  <r>
    <x v="611"/>
    <d v="2024-10-19T00:00:00"/>
    <s v="Oct-2024"/>
    <s v="Q4"/>
    <d v="2024-11-06T00:00:00"/>
    <n v="18"/>
    <x v="2"/>
    <x v="10"/>
    <s v="Chicago"/>
    <s v="Americas &gt; USA &gt; Chicago"/>
    <s v="Education"/>
    <s v="Not Provided"/>
    <s v="C. Otieno"/>
    <x v="5"/>
    <s v="MON-8129"/>
    <n v="942.02"/>
    <n v="1028.46"/>
    <s v="Medium"/>
    <n v="0"/>
    <n v="9"/>
    <n v="9256.14"/>
    <n v="95879.290179999996"/>
    <n v="8478.18"/>
    <n v="777.95999999999913"/>
    <n v="8.4047994088248354E-2"/>
    <n v="202410"/>
    <n v="202301"/>
    <s v="Oct-2023"/>
    <n v="21"/>
    <s v="Late"/>
    <n v="0"/>
  </r>
  <r>
    <x v="612"/>
    <d v="2024-06-25T00:00:00"/>
    <s v="Jun-2024"/>
    <s v="Q2"/>
    <d v="2024-06-30T00:00:00"/>
    <n v="5"/>
    <x v="0"/>
    <x v="0"/>
    <s v="Kisumu"/>
    <s v="Africa &gt; Kenya &gt; Kisumu"/>
    <s v="Education"/>
    <s v="Direct"/>
    <s v="M. Rossi"/>
    <x v="2"/>
    <s v="NET-5987"/>
    <n v="1323.55"/>
    <n v="3230.35"/>
    <s v="High"/>
    <n v="2.1999999999999999E-2"/>
    <n v="26"/>
    <n v="82141.339799999987"/>
    <n v="95879.290179999996"/>
    <n v="34412.299999999996"/>
    <n v="47729.039799999991"/>
    <n v="0.58105991351263542"/>
    <n v="202406"/>
    <n v="202301"/>
    <s v="Jun-2023"/>
    <n v="17"/>
    <s v="On Time"/>
    <n v="1"/>
  </r>
  <r>
    <x v="613"/>
    <d v="2023-07-30T00:00:00"/>
    <s v="Jul-2023"/>
    <s v="Q3"/>
    <d v="2023-08-19T00:00:00"/>
    <n v="20"/>
    <x v="3"/>
    <x v="7"/>
    <s v="Paris"/>
    <s v="Europe &gt; France &gt; Paris"/>
    <s v="Enterprise"/>
    <s v="Marketplace"/>
    <s v="G. Dubois"/>
    <x v="2"/>
    <s v="NET-5423"/>
    <n v="1418.51"/>
    <n v="2789.61"/>
    <s v="High"/>
    <n v="0.17100000000000001"/>
    <n v="8"/>
    <n v="18500.693520000001"/>
    <n v="95879.290179999996"/>
    <n v="11348.08"/>
    <n v="7152.6135200000008"/>
    <n v="0.38661326464695689"/>
    <n v="202307"/>
    <n v="202301"/>
    <s v="Jul-2023"/>
    <n v="6"/>
    <s v="Late"/>
    <n v="0"/>
  </r>
  <r>
    <x v="614"/>
    <d v="2025-03-11T00:00:00"/>
    <s v="Mar-2025"/>
    <s v="Q1"/>
    <d v="2025-03-27T00:00:00"/>
    <n v="16"/>
    <x v="1"/>
    <x v="2"/>
    <s v="Tokyo"/>
    <s v="Asia &gt; Japan &gt; Tokyo"/>
    <s v="Enterprise"/>
    <s v="Distributor"/>
    <s v="B. Chen"/>
    <x v="1"/>
    <s v="PRN-5264"/>
    <n v="1317.58"/>
    <n v="1897.74"/>
    <s v="High"/>
    <n v="8.1000000000000003E-2"/>
    <n v="6"/>
    <n v="10464.138360000001"/>
    <n v="95879.290179999996"/>
    <n v="7905.48"/>
    <n v="2558.6583600000013"/>
    <n v="0.24451687009230266"/>
    <n v="202503"/>
    <n v="202303"/>
    <s v="Mar-2023"/>
    <n v="24"/>
    <s v="Late"/>
    <n v="0"/>
  </r>
  <r>
    <x v="615"/>
    <d v="2023-10-09T00:00:00"/>
    <s v="Oct-2023"/>
    <s v="Q4"/>
    <d v="2023-10-11T00:00:00"/>
    <n v="2"/>
    <x v="0"/>
    <x v="1"/>
    <s v="Port Harcourt"/>
    <s v="Africa &gt; Nigeria &gt; Port Harcourt"/>
    <s v="Education"/>
    <s v="Marketplace"/>
    <s v="K. Singh"/>
    <x v="2"/>
    <s v="NET-8856"/>
    <n v="391.16"/>
    <n v="902.47"/>
    <s v="Low"/>
    <n v="4.0000000000000001E-3"/>
    <n v="12"/>
    <n v="10786.32144"/>
    <n v="95879.290179999996"/>
    <n v="4693.92"/>
    <n v="6092.4014399999996"/>
    <n v="0.56482661618139207"/>
    <n v="202310"/>
    <n v="202301"/>
    <s v="Oct-2023"/>
    <n v="9"/>
    <s v="On Time"/>
    <n v="1"/>
  </r>
  <r>
    <x v="616"/>
    <d v="2024-12-17T00:00:00"/>
    <s v="Dec-2024"/>
    <s v="Q4"/>
    <d v="2025-01-16T00:00:00"/>
    <n v="30"/>
    <x v="3"/>
    <x v="8"/>
    <s v="Manchester"/>
    <s v="Europe &gt; United Kingdom &gt; Manchester"/>
    <s v="Corporate"/>
    <s v="Retail"/>
    <s v="D. Smith"/>
    <x v="5"/>
    <s v="MON-4215"/>
    <n v="722.87"/>
    <n v="33.659999999999997"/>
    <s v="Medium"/>
    <n v="0.10199999999999999"/>
    <n v="28"/>
    <n v="846.34703999999988"/>
    <n v="95879.290179999996"/>
    <n v="20240.36"/>
    <n v="-19394.01296"/>
    <n v="-22.914965189693348"/>
    <n v="202412"/>
    <n v="202301"/>
    <s v="Dec-2023"/>
    <n v="23"/>
    <s v="Late"/>
    <n v="0"/>
  </r>
  <r>
    <x v="617"/>
    <d v="2025-07-11T00:00:00"/>
    <s v="Jul-2025"/>
    <s v="Q3"/>
    <d v="2025-07-16T00:00:00"/>
    <n v="5"/>
    <x v="3"/>
    <x v="8"/>
    <s v="London"/>
    <s v="Europe &gt; United Kingdom &gt; London"/>
    <s v="Enterprise"/>
    <s v="Online"/>
    <s v="K. Singh"/>
    <x v="1"/>
    <s v="PRN-5753"/>
    <n v="930.03"/>
    <n v="1086.68"/>
    <s v="Medium"/>
    <n v="0.109"/>
    <n v="26"/>
    <n v="25174.028880000002"/>
    <n v="95879.290179999996"/>
    <n v="24180.78"/>
    <n v="993.24888000000283"/>
    <n v="3.9455300728168656E-2"/>
    <n v="202507"/>
    <n v="202301"/>
    <s v="Jul-2023"/>
    <n v="30"/>
    <s v="On Time"/>
    <n v="1"/>
  </r>
  <r>
    <x v="618"/>
    <d v="2024-10-13T00:00:00"/>
    <s v="Oct-2024"/>
    <s v="Q4"/>
    <d v="2024-10-24T00:00:00"/>
    <n v="11"/>
    <x v="3"/>
    <x v="7"/>
    <s v="Paris"/>
    <s v="Europe &gt; France &gt; Paris"/>
    <s v="Education"/>
    <s v="Distributor"/>
    <s v="F. Müller"/>
    <x v="0"/>
    <s v="CMP-5006"/>
    <n v="816.7"/>
    <n v="1010.75"/>
    <s v="Medium"/>
    <n v="4.7E-2"/>
    <n v="43"/>
    <n v="41419.524249999995"/>
    <n v="95879.290179999996"/>
    <n v="35118.1"/>
    <n v="6301.4242499999964"/>
    <n v="0.15213656757537472"/>
    <n v="202410"/>
    <n v="202301"/>
    <s v="Oct-2023"/>
    <n v="21"/>
    <s v="Late"/>
    <n v="0"/>
  </r>
  <r>
    <x v="619"/>
    <d v="2023-09-08T00:00:00"/>
    <s v="Sept-2023"/>
    <s v="Q3"/>
    <d v="2023-09-14T00:00:00"/>
    <n v="6"/>
    <x v="0"/>
    <x v="0"/>
    <s v="Nakuru"/>
    <s v="Africa &gt; Kenya &gt; Nakuru"/>
    <s v="Education"/>
    <s v="Direct"/>
    <s v="I. Johnson"/>
    <x v="6"/>
    <s v="ACC-4766"/>
    <n v="251.03"/>
    <n v="411.48"/>
    <s v="Low"/>
    <n v="0.16500000000000001"/>
    <n v="3"/>
    <n v="1030.7574"/>
    <n v="54459.765930000001"/>
    <n v="753.09"/>
    <n v="277.66739999999993"/>
    <n v="0.26938191275658069"/>
    <n v="202309"/>
    <n v="202301"/>
    <s v="Sept-2023"/>
    <n v="8"/>
    <s v="On Time"/>
    <n v="1"/>
  </r>
  <r>
    <x v="620"/>
    <d v="2025-04-17T00:00:00"/>
    <s v="Apr-2025"/>
    <s v="Q2"/>
    <d v="2025-05-03T00:00:00"/>
    <n v="16"/>
    <x v="2"/>
    <x v="5"/>
    <s v="Rio de Janeiro"/>
    <s v="Americas &gt; Brazil &gt; Rio de Janeiro"/>
    <s v="Consumer"/>
    <s v="Marketplace"/>
    <s v="J. Njeri"/>
    <x v="2"/>
    <s v="NET-8610"/>
    <n v="168.68"/>
    <n v="413.34"/>
    <s v="Low"/>
    <n v="0.186"/>
    <n v="7"/>
    <n v="2355.2113199999999"/>
    <n v="54459.765930000001"/>
    <n v="1180.76"/>
    <n v="1174.4513199999999"/>
    <n v="0.49866069767361682"/>
    <n v="202504"/>
    <n v="202301"/>
    <s v="Apr-2023"/>
    <n v="27"/>
    <s v="Late"/>
    <n v="0"/>
  </r>
  <r>
    <x v="621"/>
    <d v="2024-07-28T00:00:00"/>
    <s v="Jul-2024"/>
    <s v="Q3"/>
    <d v="2024-08-23T00:00:00"/>
    <n v="26"/>
    <x v="1"/>
    <x v="4"/>
    <s v="Hyderabad"/>
    <s v="Asia &gt; India &gt; Hyderabad"/>
    <s v="Corporate"/>
    <s v="Retail"/>
    <s v="J. Njeri"/>
    <x v="2"/>
    <s v="NET-4675"/>
    <n v="1339.24"/>
    <n v="1558.89"/>
    <s v="High"/>
    <n v="0.192"/>
    <n v="24"/>
    <n v="30229.994880000002"/>
    <n v="54459.765930000001"/>
    <n v="32141.760000000002"/>
    <n v="-1911.76512"/>
    <n v="-6.3240669659021781E-2"/>
    <n v="202407"/>
    <n v="202301"/>
    <s v="Jul-2023"/>
    <n v="18"/>
    <s v="Late"/>
    <n v="0"/>
  </r>
  <r>
    <x v="622"/>
    <d v="2025-07-19T00:00:00"/>
    <s v="Jul-2025"/>
    <s v="Q3"/>
    <d v="2025-07-31T00:00:00"/>
    <n v="12"/>
    <x v="0"/>
    <x v="0"/>
    <s v="Nairobi"/>
    <s v="Africa &gt; Kenya &gt; Nairobi"/>
    <s v="Small Business"/>
    <s v="Marketplace"/>
    <s v="O. Wang"/>
    <x v="6"/>
    <s v="ACC-1028"/>
    <n v="619.64"/>
    <n v="861.16"/>
    <s v="Medium"/>
    <n v="0.113"/>
    <n v="14"/>
    <n v="10693.88488"/>
    <n v="54459.765930000001"/>
    <n v="8674.9599999999991"/>
    <n v="2018.9248800000005"/>
    <n v="0.18879246435276761"/>
    <n v="202507"/>
    <n v="202301"/>
    <s v="Jul-2023"/>
    <n v="30"/>
    <s v="Late"/>
    <n v="0"/>
  </r>
  <r>
    <x v="623"/>
    <d v="2023-08-03T00:00:00"/>
    <s v="Aug-2023"/>
    <s v="Q3"/>
    <d v="2023-08-04T00:00:00"/>
    <n v="1"/>
    <x v="1"/>
    <x v="9"/>
    <s v="Shanghai"/>
    <s v="Asia &gt; China &gt; Shanghai"/>
    <s v="Non-Profit"/>
    <s v="Direct"/>
    <s v="J. Njeri"/>
    <x v="2"/>
    <s v="NET-4735"/>
    <n v="1021.97"/>
    <n v="2296.25"/>
    <s v="High"/>
    <n v="0.161"/>
    <n v="26"/>
    <n v="50090.397499999999"/>
    <n v="54459.765930000001"/>
    <n v="26571.22"/>
    <n v="23519.177499999998"/>
    <n v="0.46953465482081669"/>
    <n v="202308"/>
    <n v="202301"/>
    <s v="Aug-2023"/>
    <n v="7"/>
    <s v="On Time"/>
    <n v="1"/>
  </r>
  <r>
    <x v="624"/>
    <d v="2023-11-19T00:00:00"/>
    <s v="Nov-2023"/>
    <s v="Q4"/>
    <d v="2023-12-12T00:00:00"/>
    <n v="23"/>
    <x v="1"/>
    <x v="4"/>
    <s v="Delhi"/>
    <s v="Asia &gt; India &gt; Delhi"/>
    <s v="Small Business"/>
    <s v="Direct"/>
    <s v="C. Otieno"/>
    <x v="2"/>
    <s v="NET-2460"/>
    <n v="1349.04"/>
    <n v="2636.6"/>
    <s v="High"/>
    <n v="0.114"/>
    <n v="14"/>
    <n v="32704.386400000003"/>
    <n v="54459.765930000001"/>
    <n v="18886.559999999998"/>
    <n v="13817.826400000005"/>
    <n v="0.42250682312143928"/>
    <n v="202311"/>
    <n v="202301"/>
    <s v="Nov-2023"/>
    <n v="10"/>
    <s v="Late"/>
    <n v="0"/>
  </r>
  <r>
    <x v="625"/>
    <d v="2023-12-22T00:00:00"/>
    <s v="Dec-2023"/>
    <s v="Q4"/>
    <d v="2024-01-16T00:00:00"/>
    <n v="25"/>
    <x v="1"/>
    <x v="4"/>
    <s v="Hyderabad"/>
    <s v="Asia &gt; India &gt; Hyderabad"/>
    <s v="Small Business"/>
    <s v="Retail"/>
    <s v="A. Patel"/>
    <x v="0"/>
    <s v="CMP-1555"/>
    <n v="1346.81"/>
    <n v="978.09"/>
    <s v="High"/>
    <n v="0.159"/>
    <n v="17"/>
    <n v="13983.752729999998"/>
    <n v="54459.765930000001"/>
    <n v="22895.77"/>
    <n v="-8912.0172700000021"/>
    <n v="-0.6373122753293996"/>
    <n v="202312"/>
    <n v="202301"/>
    <s v="Dec-2023"/>
    <n v="11"/>
    <s v="Late"/>
    <n v="0"/>
  </r>
  <r>
    <x v="626"/>
    <d v="2023-08-03T00:00:00"/>
    <s v="Aug-2023"/>
    <s v="Q3"/>
    <d v="2023-08-30T00:00:00"/>
    <n v="27"/>
    <x v="1"/>
    <x v="9"/>
    <s v="Shanghai"/>
    <s v="Asia &gt; China &gt; Shanghai"/>
    <s v="Consumer"/>
    <s v="Distributor"/>
    <s v="N. Brown"/>
    <x v="5"/>
    <s v="MON-3773"/>
    <n v="226.04"/>
    <n v="545.72"/>
    <s v="Low"/>
    <n v="0.151"/>
    <n v="11"/>
    <n v="5096.4790800000001"/>
    <n v="40476.013200000001"/>
    <n v="2486.44"/>
    <n v="2610.03908"/>
    <n v="0.51212592831834014"/>
    <n v="202308"/>
    <n v="202301"/>
    <s v="Aug-2023"/>
    <n v="7"/>
    <s v="Late"/>
    <n v="0"/>
  </r>
  <r>
    <x v="627"/>
    <d v="2023-06-23T00:00:00"/>
    <s v="Jun-2023"/>
    <s v="Q2"/>
    <d v="2023-07-18T00:00:00"/>
    <n v="25"/>
    <x v="2"/>
    <x v="3"/>
    <s v="Vancouver"/>
    <s v="Americas &gt; Canada &gt; Vancouver"/>
    <s v="Enterprise"/>
    <s v="Online"/>
    <s v="N. Brown"/>
    <x v="3"/>
    <s v="PHN-4677"/>
    <n v="807.02"/>
    <n v="1435.54"/>
    <s v="Medium"/>
    <n v="0"/>
    <n v="23"/>
    <n v="33017.42"/>
    <n v="40476.013200000001"/>
    <n v="18561.46"/>
    <n v="14455.96"/>
    <n v="0.43782827368098415"/>
    <n v="202306"/>
    <n v="202301"/>
    <s v="Jun-2023"/>
    <n v="5"/>
    <s v="Late"/>
    <n v="0"/>
  </r>
  <r>
    <x v="628"/>
    <d v="2023-12-07T00:00:00"/>
    <s v="Dec-2023"/>
    <s v="Q4"/>
    <d v="2024-01-02T00:00:00"/>
    <n v="26"/>
    <x v="3"/>
    <x v="6"/>
    <s v="Frankfurt"/>
    <s v="Europe &gt; Germany &gt; Frankfurt"/>
    <s v="Enterprise"/>
    <s v="Distributor"/>
    <s v="E. Garcia"/>
    <x v="0"/>
    <s v="CMP-1940"/>
    <n v="1071.99"/>
    <n v="2397.3000000000002"/>
    <s v="High"/>
    <n v="6.2E-2"/>
    <n v="18"/>
    <n v="40476.013200000001"/>
    <n v="40476.013200000001"/>
    <n v="19295.82"/>
    <n v="21180.193200000002"/>
    <n v="0.52327765324476183"/>
    <n v="202312"/>
    <n v="202301"/>
    <s v="Dec-2023"/>
    <n v="11"/>
    <s v="Late"/>
    <n v="0"/>
  </r>
  <r>
    <x v="629"/>
    <d v="2023-11-19T00:00:00"/>
    <s v="Nov-2023"/>
    <s v="Q4"/>
    <d v="2023-12-19T00:00:00"/>
    <n v="30"/>
    <x v="1"/>
    <x v="2"/>
    <s v="Nagoya"/>
    <s v="Asia &gt; Japan &gt; Nagoya"/>
    <s v="Consumer"/>
    <s v="Retail"/>
    <s v="Not Provided"/>
    <x v="3"/>
    <s v="PHN-9184"/>
    <n v="807.11"/>
    <n v="1853.86"/>
    <s v="Medium"/>
    <n v="0.13900000000000001"/>
    <n v="8"/>
    <n v="12769.38768"/>
    <n v="0"/>
    <n v="6456.88"/>
    <n v="6312.5076799999997"/>
    <n v="0.49434693645388639"/>
    <n v="202311"/>
    <n v="202303"/>
    <s v="Nov-2023"/>
    <n v="8"/>
    <s v="Late"/>
    <n v="0"/>
  </r>
  <r>
    <x v="630"/>
    <d v="2025-02-28T00:00:00"/>
    <s v="Feb-2025"/>
    <s v="Q1"/>
    <d v="2025-03-10T00:00:00"/>
    <n v="10"/>
    <x v="1"/>
    <x v="2"/>
    <s v="Osaka"/>
    <s v="Asia &gt; Japan &gt; Osaka"/>
    <s v="Education"/>
    <s v="Distributor"/>
    <s v="N. Brown"/>
    <x v="4"/>
    <s v="LAP-3017"/>
    <n v="51.86"/>
    <n v="45.98"/>
    <s v="Low"/>
    <n v="0.17299999999999999"/>
    <n v="7"/>
    <n v="266.17821999999995"/>
    <n v="0"/>
    <n v="363.02"/>
    <n v="-96.841780000000028"/>
    <n v="-0.3638230806412337"/>
    <n v="202502"/>
    <n v="202303"/>
    <s v="Feb-2023"/>
    <n v="23"/>
    <s v="Late"/>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d v="2024-03-11T00:00:00"/>
    <s v="Mar-2024"/>
    <x v="0"/>
    <d v="2024-04-06T00:00:00"/>
    <n v="26"/>
    <x v="0"/>
    <x v="0"/>
    <s v="Kisumu"/>
    <s v="Africa &gt; Kenya &gt; Kisumu"/>
    <s v="Corporate"/>
    <x v="0"/>
    <x v="0"/>
    <x v="0"/>
    <s v="CMP-8270"/>
    <n v="279.24"/>
    <n v="608.9"/>
    <s v="Low"/>
    <n v="0.112"/>
    <n v="9"/>
    <n v="4866.3287999999993"/>
    <n v="1545646.9975800004"/>
    <n v="2513.16"/>
    <n v="2353.1687999999995"/>
    <n v="0.48356140670149533"/>
    <n v="202403"/>
    <n v="202301"/>
    <s v="Mar-2023"/>
    <n v="14"/>
    <s v="Late"/>
    <n v="0"/>
    <n v="0"/>
  </r>
  <r>
    <x v="1"/>
    <d v="2024-10-23T00:00:00"/>
    <s v="Oct-2024"/>
    <x v="1"/>
    <d v="2024-10-24T00:00:00"/>
    <n v="1"/>
    <x v="0"/>
    <x v="1"/>
    <s v="Port Harcourt"/>
    <s v="Africa &gt; Nigeria &gt; Port Harcourt"/>
    <s v="Education"/>
    <x v="1"/>
    <x v="1"/>
    <x v="1"/>
    <s v="PRN-9322"/>
    <n v="1084.3900000000001"/>
    <n v="759.33"/>
    <s v="High"/>
    <n v="0.23699999999999999"/>
    <n v="31"/>
    <n v="17960.432489999999"/>
    <n v="1540780.6687800002"/>
    <n v="33616.090000000004"/>
    <n v="-15655.657510000005"/>
    <n v="-0.87167486187856302"/>
    <n v="202410"/>
    <n v="202301"/>
    <s v="Oct-2023"/>
    <n v="21"/>
    <s v="On Time"/>
    <n v="1"/>
    <n v="1"/>
  </r>
  <r>
    <x v="2"/>
    <d v="2023-02-28T00:00:00"/>
    <s v="Feb-2023"/>
    <x v="0"/>
    <d v="2023-03-25T00:00:00"/>
    <n v="25"/>
    <x v="0"/>
    <x v="0"/>
    <s v="Nairobi"/>
    <s v="Africa &gt; Kenya &gt; Nairobi"/>
    <s v="Corporate"/>
    <x v="0"/>
    <x v="2"/>
    <x v="2"/>
    <s v="NET-9666"/>
    <n v="1460.76"/>
    <n v="30.66"/>
    <s v="High"/>
    <n v="0.13100000000000001"/>
    <n v="12"/>
    <n v="319.72248000000002"/>
    <n v="1540780.6687800002"/>
    <n v="17529.12"/>
    <n v="-17209.397519999999"/>
    <n v="-53.826047890032626"/>
    <n v="202302"/>
    <n v="202301"/>
    <s v="Feb-2023"/>
    <n v="1"/>
    <s v="Late"/>
    <n v="0"/>
    <n v="0"/>
  </r>
  <r>
    <x v="3"/>
    <d v="2025-03-29T00:00:00"/>
    <s v="Mar-2025"/>
    <x v="0"/>
    <d v="2025-04-02T00:00:00"/>
    <n v="4"/>
    <x v="0"/>
    <x v="1"/>
    <s v="Lagos"/>
    <s v="Africa &gt; Nigeria &gt; Lagos"/>
    <s v="Non-Profit"/>
    <x v="2"/>
    <x v="3"/>
    <x v="3"/>
    <s v="PHN-4556"/>
    <n v="259.93"/>
    <n v="255.94"/>
    <s v="Low"/>
    <n v="7.1999999999999995E-2"/>
    <n v="22"/>
    <n v="5225.2710400000005"/>
    <n v="1540780.6687800002"/>
    <n v="5718.46"/>
    <n v="-493.1889599999995"/>
    <n v="-9.4385335463861311E-2"/>
    <n v="202503"/>
    <n v="202301"/>
    <s v="Mar-2023"/>
    <n v="26"/>
    <s v="On Time"/>
    <n v="1"/>
    <n v="0"/>
  </r>
  <r>
    <x v="4"/>
    <d v="2023-12-06T00:00:00"/>
    <s v="Dec-2023"/>
    <x v="1"/>
    <d v="2023-12-31T00:00:00"/>
    <n v="25"/>
    <x v="1"/>
    <x v="2"/>
    <s v="Osaka"/>
    <s v="Asia &gt; Japan &gt; Osaka"/>
    <s v="Consumer"/>
    <x v="0"/>
    <x v="4"/>
    <x v="1"/>
    <s v="PRN-8041"/>
    <n v="663.03"/>
    <n v="813.51"/>
    <s v="Medium"/>
    <n v="0.10199999999999999"/>
    <n v="15"/>
    <n v="10957.9797"/>
    <n v="1540780.6687800002"/>
    <n v="9945.4499999999989"/>
    <n v="1012.529700000001"/>
    <n v="9.2401129379715952E-2"/>
    <n v="202312"/>
    <n v="202303"/>
    <s v="Dec-2023"/>
    <n v="9"/>
    <s v="Late"/>
    <n v="0"/>
    <n v="0"/>
  </r>
  <r>
    <x v="5"/>
    <d v="2023-01-02T00:00:00"/>
    <s v="Jan-2023"/>
    <x v="0"/>
    <d v="2023-01-05T00:00:00"/>
    <n v="3"/>
    <x v="2"/>
    <x v="3"/>
    <s v="Toronto"/>
    <s v="Americas &gt; Canada &gt; Toronto"/>
    <s v="Corporate"/>
    <x v="3"/>
    <x v="5"/>
    <x v="4"/>
    <s v="LAP-8555"/>
    <n v="315.87"/>
    <n v="591.67999999999995"/>
    <s v="Low"/>
    <n v="0"/>
    <n v="7"/>
    <n v="4141.7599999999993"/>
    <n v="1540780.6687800002"/>
    <n v="2211.09"/>
    <n v="1930.6699999999992"/>
    <n v="0.46614724175229844"/>
    <n v="202301"/>
    <n v="202301"/>
    <s v="Jan-2023"/>
    <n v="0"/>
    <s v="On Time"/>
    <n v="1"/>
    <n v="0"/>
  </r>
  <r>
    <x v="6"/>
    <d v="2024-12-27T00:00:00"/>
    <s v="Dec-2024"/>
    <x v="1"/>
    <d v="2025-01-14T00:00:00"/>
    <n v="18"/>
    <x v="1"/>
    <x v="4"/>
    <s v="Bengaluru"/>
    <s v="Asia &gt; India &gt; Bengaluru"/>
    <s v="Small Business"/>
    <x v="2"/>
    <x v="6"/>
    <x v="5"/>
    <s v="MON-8629"/>
    <n v="586.07000000000005"/>
    <n v="845.97"/>
    <s v="Medium"/>
    <n v="0.14699999999999999"/>
    <n v="4"/>
    <n v="2886.4496399999998"/>
    <n v="1540780.6687800002"/>
    <n v="2344.2800000000002"/>
    <n v="542.16963999999962"/>
    <n v="0.18783270370862928"/>
    <n v="202412"/>
    <n v="202301"/>
    <s v="Dec-2023"/>
    <n v="23"/>
    <s v="Late"/>
    <n v="0"/>
    <n v="0"/>
  </r>
  <r>
    <x v="7"/>
    <d v="2023-01-15T00:00:00"/>
    <s v="Jan-2023"/>
    <x v="0"/>
    <d v="2023-01-17T00:00:00"/>
    <n v="2"/>
    <x v="0"/>
    <x v="1"/>
    <s v="Abuja"/>
    <s v="Africa &gt; Nigeria &gt; Abuja"/>
    <s v="Education"/>
    <x v="1"/>
    <x v="7"/>
    <x v="1"/>
    <s v="PRN-6276"/>
    <n v="28.38"/>
    <n v="47.22"/>
    <s v="Low"/>
    <n v="0.19400000000000001"/>
    <n v="18"/>
    <n v="685.06776000000002"/>
    <n v="1540780.6687800002"/>
    <n v="510.84"/>
    <n v="174.22776000000005"/>
    <n v="0.25432193743871417"/>
    <n v="202301"/>
    <n v="202301"/>
    <s v="Jan-2023"/>
    <n v="0"/>
    <s v="On Time"/>
    <n v="1"/>
    <n v="0"/>
  </r>
  <r>
    <x v="8"/>
    <d v="2024-05-04T00:00:00"/>
    <s v="May-2024"/>
    <x v="2"/>
    <d v="2024-05-29T00:00:00"/>
    <n v="25"/>
    <x v="0"/>
    <x v="1"/>
    <s v="Abuja"/>
    <s v="Africa &gt; Nigeria &gt; Abuja"/>
    <s v="Non-Profit"/>
    <x v="2"/>
    <x v="7"/>
    <x v="5"/>
    <s v="MON-6892"/>
    <n v="1295.3399999999999"/>
    <n v="2530.81"/>
    <s v="High"/>
    <n v="3.1E-2"/>
    <n v="6"/>
    <n v="14714.12934"/>
    <n v="1540780.6687800002"/>
    <n v="7772.0399999999991"/>
    <n v="6942.0893400000004"/>
    <n v="0.4717974933880798"/>
    <n v="202405"/>
    <n v="202301"/>
    <s v="May-2023"/>
    <n v="16"/>
    <s v="Late"/>
    <n v="0"/>
    <n v="0"/>
  </r>
  <r>
    <x v="9"/>
    <d v="2025-05-21T00:00:00"/>
    <s v="May-2025"/>
    <x v="2"/>
    <d v="2025-06-09T00:00:00"/>
    <n v="19"/>
    <x v="2"/>
    <x v="5"/>
    <s v="São Paulo"/>
    <s v="Americas &gt; Brazil &gt; São Paulo"/>
    <s v="Non-Profit"/>
    <x v="1"/>
    <x v="8"/>
    <x v="0"/>
    <s v="CMP-3731"/>
    <n v="1331.38"/>
    <n v="2309.56"/>
    <s v="High"/>
    <n v="0.14899999999999999"/>
    <n v="31"/>
    <n v="60928.502359999999"/>
    <n v="1540780.6687800002"/>
    <n v="41272.780000000006"/>
    <n v="19655.722359999992"/>
    <n v="0.32260307735553528"/>
    <n v="202505"/>
    <n v="202301"/>
    <s v="May-2023"/>
    <n v="28"/>
    <s v="Late"/>
    <n v="0"/>
    <n v="0"/>
  </r>
  <r>
    <x v="10"/>
    <d v="2024-01-28T00:00:00"/>
    <s v="Jan-2024"/>
    <x v="0"/>
    <d v="2024-02-09T00:00:00"/>
    <n v="12"/>
    <x v="3"/>
    <x v="6"/>
    <s v="Berlin"/>
    <s v="Europe &gt; Germany &gt; Berlin"/>
    <s v="Corporate"/>
    <x v="1"/>
    <x v="3"/>
    <x v="6"/>
    <s v="ACC-7938"/>
    <n v="644.16999999999996"/>
    <n v="700.12"/>
    <s v="Medium"/>
    <n v="6.0000000000000001E-3"/>
    <n v="23"/>
    <n v="16006.14344"/>
    <n v="1479852.1664200001"/>
    <n v="14815.91"/>
    <n v="1190.23344"/>
    <n v="7.436103796405813E-2"/>
    <n v="202401"/>
    <n v="202301"/>
    <s v="Jan-2023"/>
    <n v="12"/>
    <s v="Late"/>
    <n v="0"/>
    <n v="0"/>
  </r>
  <r>
    <x v="11"/>
    <d v="2025-01-03T00:00:00"/>
    <s v="Jan-2025"/>
    <x v="0"/>
    <d v="2025-01-23T00:00:00"/>
    <n v="20"/>
    <x v="1"/>
    <x v="2"/>
    <s v="Osaka"/>
    <s v="Asia &gt; Japan &gt; Osaka"/>
    <s v="Corporate"/>
    <x v="3"/>
    <x v="9"/>
    <x v="3"/>
    <s v="PHN-7019"/>
    <n v="908.6"/>
    <n v="691.37"/>
    <s v="Medium"/>
    <n v="0.25"/>
    <n v="20"/>
    <n v="10370.549999999999"/>
    <n v="1479852.1664200001"/>
    <n v="18172"/>
    <n v="-7801.4500000000007"/>
    <n v="-0.75226964818645115"/>
    <n v="202501"/>
    <n v="202303"/>
    <s v="Jan-2023"/>
    <n v="22"/>
    <s v="Late"/>
    <n v="0"/>
    <n v="1"/>
  </r>
  <r>
    <x v="12"/>
    <d v="2025-03-06T00:00:00"/>
    <s v="Mar-2025"/>
    <x v="0"/>
    <d v="2025-03-31T00:00:00"/>
    <n v="25"/>
    <x v="2"/>
    <x v="5"/>
    <s v="Brasília"/>
    <s v="Americas &gt; Brazil &gt; Brasília"/>
    <s v="Non-Profit"/>
    <x v="1"/>
    <x v="1"/>
    <x v="0"/>
    <s v="CMP-3693"/>
    <n v="331.57"/>
    <n v="548.4"/>
    <s v="Low"/>
    <n v="9.4E-2"/>
    <n v="10"/>
    <n v="4968.5039999999999"/>
    <n v="1479852.1664200001"/>
    <n v="3315.7"/>
    <n v="1652.8040000000001"/>
    <n v="0.33265626836568918"/>
    <n v="202503"/>
    <n v="202301"/>
    <s v="Mar-2023"/>
    <n v="26"/>
    <s v="Late"/>
    <n v="0"/>
    <n v="0"/>
  </r>
  <r>
    <x v="13"/>
    <d v="2024-01-20T00:00:00"/>
    <s v="Jan-2024"/>
    <x v="0"/>
    <d v="2024-02-13T00:00:00"/>
    <n v="24"/>
    <x v="3"/>
    <x v="7"/>
    <s v="Marseille"/>
    <s v="Europe &gt; France &gt; Marseille"/>
    <s v="Corporate"/>
    <x v="0"/>
    <x v="10"/>
    <x v="1"/>
    <s v="PRN-8392"/>
    <n v="643.53"/>
    <n v="1439.01"/>
    <s v="Medium"/>
    <n v="0"/>
    <n v="15"/>
    <n v="21585.15"/>
    <n v="1474883.6624200002"/>
    <n v="9652.9499999999989"/>
    <n v="11932.200000000003"/>
    <n v="0.55279671440782208"/>
    <n v="202401"/>
    <n v="202301"/>
    <s v="Jan-2023"/>
    <n v="12"/>
    <s v="Late"/>
    <n v="0"/>
    <n v="0"/>
  </r>
  <r>
    <x v="14"/>
    <d v="2025-09-01T00:00:00"/>
    <s v="Sept-2025"/>
    <x v="3"/>
    <d v="2025-09-30T00:00:00"/>
    <n v="29"/>
    <x v="2"/>
    <x v="5"/>
    <s v="Brasília"/>
    <s v="Americas &gt; Brazil &gt; Brasília"/>
    <s v="Education"/>
    <x v="0"/>
    <x v="11"/>
    <x v="6"/>
    <s v="ACC-1663"/>
    <n v="780.59"/>
    <n v="631.57000000000005"/>
    <s v="Medium"/>
    <n v="0"/>
    <n v="12"/>
    <n v="7578.84"/>
    <n v="1474883.6624200002"/>
    <n v="9367.08"/>
    <n v="-1788.2399999999998"/>
    <n v="-0.23595167598207639"/>
    <n v="202509"/>
    <n v="202301"/>
    <s v="Sept-2023"/>
    <n v="32"/>
    <s v="Late"/>
    <n v="0"/>
    <n v="0"/>
  </r>
  <r>
    <x v="15"/>
    <d v="2023-04-23T00:00:00"/>
    <s v="Apr-2023"/>
    <x v="2"/>
    <d v="2023-04-24T00:00:00"/>
    <n v="1"/>
    <x v="0"/>
    <x v="0"/>
    <s v="Nairobi"/>
    <s v="Africa &gt; Kenya &gt; Nairobi"/>
    <s v="Small Business"/>
    <x v="4"/>
    <x v="6"/>
    <x v="4"/>
    <s v="LAP-1698"/>
    <n v="756.51"/>
    <n v="850.8"/>
    <s v="Medium"/>
    <n v="7.3999999999999996E-2"/>
    <n v="9"/>
    <n v="7090.5672000000004"/>
    <n v="1474883.6624200002"/>
    <n v="6808.59"/>
    <n v="281.97720000000027"/>
    <n v="3.9767932810791252E-2"/>
    <n v="202304"/>
    <n v="202301"/>
    <s v="Apr-2023"/>
    <n v="3"/>
    <s v="On Time"/>
    <n v="1"/>
    <n v="0"/>
  </r>
  <r>
    <x v="16"/>
    <d v="2024-12-10T00:00:00"/>
    <s v="Dec-2024"/>
    <x v="1"/>
    <d v="2025-01-08T00:00:00"/>
    <n v="29"/>
    <x v="3"/>
    <x v="7"/>
    <s v="Marseille"/>
    <s v="Europe &gt; France &gt; Marseille"/>
    <s v="Small Business"/>
    <x v="0"/>
    <x v="11"/>
    <x v="1"/>
    <s v="PRN-6791"/>
    <n v="891.08"/>
    <n v="1040.0999999999999"/>
    <s v="Medium"/>
    <n v="0.109"/>
    <n v="28"/>
    <n v="25948.414799999995"/>
    <n v="1474883.6624200002"/>
    <n v="24950.240000000002"/>
    <n v="998.17479999999341"/>
    <n v="3.8467660074556598E-2"/>
    <n v="202412"/>
    <n v="202301"/>
    <s v="Dec-2023"/>
    <n v="23"/>
    <s v="Late"/>
    <n v="0"/>
    <n v="0"/>
  </r>
  <r>
    <x v="17"/>
    <d v="2025-09-08T00:00:00"/>
    <s v="Sept-2025"/>
    <x v="3"/>
    <d v="2025-09-16T00:00:00"/>
    <n v="8"/>
    <x v="1"/>
    <x v="2"/>
    <s v="Osaka"/>
    <s v="Asia &gt; Japan &gt; Osaka"/>
    <s v="Corporate"/>
    <x v="3"/>
    <x v="0"/>
    <x v="3"/>
    <s v="PHN-1197"/>
    <n v="1225.57"/>
    <n v="2705.57"/>
    <s v="High"/>
    <n v="0.183"/>
    <n v="16"/>
    <n v="35367.211040000002"/>
    <n v="1474883.6624200002"/>
    <n v="19609.12"/>
    <n v="15758.091040000003"/>
    <n v="0.44555650775453404"/>
    <n v="202509"/>
    <n v="202303"/>
    <s v="Sept-2023"/>
    <n v="30"/>
    <s v="Late"/>
    <n v="0"/>
    <n v="0"/>
  </r>
  <r>
    <x v="18"/>
    <d v="2025-07-20T00:00:00"/>
    <s v="Jul-2025"/>
    <x v="3"/>
    <d v="2025-08-05T00:00:00"/>
    <n v="16"/>
    <x v="2"/>
    <x v="5"/>
    <s v="Brasília"/>
    <s v="Americas &gt; Brazil &gt; Brasília"/>
    <s v="Enterprise"/>
    <x v="2"/>
    <x v="3"/>
    <x v="6"/>
    <s v="ACC-8098"/>
    <n v="1068.17"/>
    <n v="2375.37"/>
    <s v="High"/>
    <n v="0.109"/>
    <n v="18"/>
    <n v="38096.18406"/>
    <n v="1474883.6624200002"/>
    <n v="19227.060000000001"/>
    <n v="18869.124059999998"/>
    <n v="0.49530220744108822"/>
    <n v="202507"/>
    <n v="202301"/>
    <s v="Jul-2023"/>
    <n v="30"/>
    <s v="Late"/>
    <n v="0"/>
    <n v="0"/>
  </r>
  <r>
    <x v="19"/>
    <d v="2025-05-21T00:00:00"/>
    <s v="May-2025"/>
    <x v="2"/>
    <d v="2025-05-23T00:00:00"/>
    <n v="2"/>
    <x v="3"/>
    <x v="8"/>
    <s v="Birmingham"/>
    <s v="Europe &gt; United Kingdom &gt; Birmingham"/>
    <s v="Enterprise"/>
    <x v="1"/>
    <x v="12"/>
    <x v="4"/>
    <s v="LAP-3385"/>
    <n v="1015.16"/>
    <n v="2148.14"/>
    <s v="High"/>
    <n v="3.7999999999999999E-2"/>
    <n v="19"/>
    <n v="39263.702919999996"/>
    <n v="1474883.6624200002"/>
    <n v="19288.04"/>
    <n v="19975.662919999995"/>
    <n v="0.50875647059322227"/>
    <n v="202505"/>
    <n v="202301"/>
    <s v="May-2023"/>
    <n v="28"/>
    <s v="On Time"/>
    <n v="1"/>
    <n v="0"/>
  </r>
  <r>
    <x v="20"/>
    <d v="2024-07-25T00:00:00"/>
    <s v="Jul-2024"/>
    <x v="3"/>
    <d v="2024-07-26T00:00:00"/>
    <n v="1"/>
    <x v="0"/>
    <x v="0"/>
    <s v="Mombasa"/>
    <s v="Africa &gt; Kenya &gt; Mombasa"/>
    <s v="Non-Profit"/>
    <x v="4"/>
    <x v="1"/>
    <x v="4"/>
    <s v="LAP-9815"/>
    <n v="1494.4"/>
    <n v="3661.07"/>
    <s v="High"/>
    <n v="7.1999999999999995E-2"/>
    <n v="7"/>
    <n v="23782.310720000001"/>
    <n v="1474883.6624200002"/>
    <n v="10460.800000000001"/>
    <n v="13321.51072"/>
    <n v="0.56014366630897339"/>
    <n v="202407"/>
    <n v="202301"/>
    <s v="Jul-2023"/>
    <n v="18"/>
    <s v="On Time"/>
    <n v="1"/>
    <n v="0"/>
  </r>
  <r>
    <x v="21"/>
    <d v="2023-05-11T00:00:00"/>
    <s v="May-2023"/>
    <x v="2"/>
    <d v="2023-05-28T00:00:00"/>
    <n v="17"/>
    <x v="1"/>
    <x v="9"/>
    <s v="Shenzhen"/>
    <s v="Asia &gt; China &gt; Shenzhen"/>
    <s v="Enterprise"/>
    <x v="2"/>
    <x v="6"/>
    <x v="2"/>
    <s v="NET-3255"/>
    <n v="1331.19"/>
    <n v="2903.09"/>
    <s v="High"/>
    <n v="0.14299999999999999"/>
    <n v="8"/>
    <n v="19903.585040000002"/>
    <n v="1474883.6624200002"/>
    <n v="10649.52"/>
    <n v="9254.0650400000013"/>
    <n v="0.46494463290920784"/>
    <n v="202305"/>
    <n v="202301"/>
    <s v="May-2023"/>
    <n v="4"/>
    <s v="Late"/>
    <n v="0"/>
    <n v="0"/>
  </r>
  <r>
    <x v="22"/>
    <d v="2025-06-14T00:00:00"/>
    <s v="Jun-2025"/>
    <x v="2"/>
    <d v="2025-06-29T00:00:00"/>
    <n v="15"/>
    <x v="0"/>
    <x v="1"/>
    <s v="Port Harcourt"/>
    <s v="Africa &gt; Nigeria &gt; Port Harcourt"/>
    <s v="Consumer"/>
    <x v="2"/>
    <x v="12"/>
    <x v="6"/>
    <s v="ACC-3961"/>
    <n v="730.99"/>
    <n v="1242.8399999999999"/>
    <s v="Medium"/>
    <n v="0.12"/>
    <n v="10"/>
    <n v="10936.992"/>
    <n v="1474883.6624200002"/>
    <n v="7309.9"/>
    <n v="3627.0920000000006"/>
    <n v="0.33163524303574515"/>
    <n v="202506"/>
    <n v="202301"/>
    <s v="Jun-2023"/>
    <n v="29"/>
    <s v="Late"/>
    <n v="0"/>
    <n v="0"/>
  </r>
  <r>
    <x v="23"/>
    <d v="2024-05-18T00:00:00"/>
    <s v="May-2024"/>
    <x v="2"/>
    <d v="2024-05-23T00:00:00"/>
    <n v="5"/>
    <x v="2"/>
    <x v="10"/>
    <s v="Chicago"/>
    <s v="Americas &gt; USA &gt; Chicago"/>
    <s v="Enterprise"/>
    <x v="0"/>
    <x v="10"/>
    <x v="4"/>
    <s v="LAP-4987"/>
    <n v="1274.5899999999999"/>
    <n v="2553.69"/>
    <s v="High"/>
    <n v="0.01"/>
    <n v="8"/>
    <n v="20225.2248"/>
    <n v="1474883.6624200002"/>
    <n v="10196.719999999999"/>
    <n v="10028.504800000001"/>
    <n v="0.49584145042481803"/>
    <n v="202405"/>
    <n v="202301"/>
    <s v="May-2023"/>
    <n v="16"/>
    <s v="On Time"/>
    <n v="1"/>
    <n v="0"/>
  </r>
  <r>
    <x v="24"/>
    <d v="2023-02-07T00:00:00"/>
    <s v="Feb-2023"/>
    <x v="0"/>
    <d v="2023-02-12T00:00:00"/>
    <n v="5"/>
    <x v="2"/>
    <x v="5"/>
    <s v="São Paulo"/>
    <s v="Americas &gt; Brazil &gt; São Paulo"/>
    <s v="Education"/>
    <x v="1"/>
    <x v="13"/>
    <x v="0"/>
    <s v="CMP-2693"/>
    <n v="948.55"/>
    <n v="2089.16"/>
    <s v="Medium"/>
    <n v="7.0000000000000001E-3"/>
    <n v="12"/>
    <n v="24894.430559999997"/>
    <n v="1474883.6624200002"/>
    <n v="11382.599999999999"/>
    <n v="13511.830559999999"/>
    <n v="0.54276519912492427"/>
    <n v="202302"/>
    <n v="202301"/>
    <s v="Feb-2023"/>
    <n v="1"/>
    <s v="On Time"/>
    <n v="1"/>
    <n v="0"/>
  </r>
  <r>
    <x v="25"/>
    <d v="2024-06-30T00:00:00"/>
    <s v="Jun-2024"/>
    <x v="2"/>
    <d v="2024-07-14T00:00:00"/>
    <n v="14"/>
    <x v="2"/>
    <x v="5"/>
    <s v="Brasília"/>
    <s v="Americas &gt; Brazil &gt; Brasília"/>
    <s v="Education"/>
    <x v="0"/>
    <x v="0"/>
    <x v="6"/>
    <s v="ACC-8683"/>
    <n v="1491.85"/>
    <n v="2583.02"/>
    <s v="High"/>
    <n v="0.16800000000000001"/>
    <n v="4"/>
    <n v="8596.2905599999995"/>
    <n v="1449989.2318600002"/>
    <n v="5967.4"/>
    <n v="2628.8905599999998"/>
    <n v="0.30581685689321325"/>
    <n v="202406"/>
    <n v="202301"/>
    <s v="Jun-2023"/>
    <n v="17"/>
    <s v="Late"/>
    <n v="0"/>
    <n v="0"/>
  </r>
  <r>
    <x v="26"/>
    <d v="2024-11-30T00:00:00"/>
    <s v="Nov-2024"/>
    <x v="1"/>
    <d v="2024-12-30T00:00:00"/>
    <n v="30"/>
    <x v="3"/>
    <x v="7"/>
    <s v="Marseille"/>
    <s v="Europe &gt; France &gt; Marseille"/>
    <s v="Consumer"/>
    <x v="2"/>
    <x v="9"/>
    <x v="1"/>
    <s v="PRN-4170"/>
    <n v="117.64"/>
    <n v="175.67"/>
    <s v="Low"/>
    <n v="0"/>
    <n v="10"/>
    <n v="1756.6999999999998"/>
    <n v="1449989.2318600002"/>
    <n v="1176.4000000000001"/>
    <n v="580.29999999999973"/>
    <n v="0.33033528775545046"/>
    <n v="202411"/>
    <n v="202301"/>
    <s v="Nov-2023"/>
    <n v="22"/>
    <s v="Late"/>
    <n v="0"/>
    <n v="0"/>
  </r>
  <r>
    <x v="27"/>
    <d v="2024-07-19T00:00:00"/>
    <s v="Jul-2024"/>
    <x v="3"/>
    <d v="2024-07-19T00:00:00"/>
    <n v="0"/>
    <x v="0"/>
    <x v="0"/>
    <s v="Kisumu"/>
    <s v="Africa &gt; Kenya &gt; Kisumu"/>
    <s v="Small Business"/>
    <x v="0"/>
    <x v="8"/>
    <x v="3"/>
    <s v="PHN-6854"/>
    <n v="857.24"/>
    <n v="758.23"/>
    <s v="Medium"/>
    <n v="0.125"/>
    <n v="6"/>
    <n v="3980.7075"/>
    <n v="1449989.2318600002"/>
    <n v="5143.4400000000005"/>
    <n v="-1162.7325000000005"/>
    <n v="-0.29209192084572921"/>
    <n v="202407"/>
    <n v="202301"/>
    <s v="Jul-2023"/>
    <n v="18"/>
    <s v="On Time"/>
    <n v="1"/>
    <n v="0"/>
  </r>
  <r>
    <x v="28"/>
    <d v="2023-04-14T00:00:00"/>
    <s v="Apr-2023"/>
    <x v="2"/>
    <d v="2023-05-14T00:00:00"/>
    <n v="30"/>
    <x v="0"/>
    <x v="0"/>
    <s v="Nakuru"/>
    <s v="Africa &gt; Kenya &gt; Nakuru"/>
    <s v="Consumer"/>
    <x v="2"/>
    <x v="12"/>
    <x v="3"/>
    <s v="PHN-1784"/>
    <n v="209.25"/>
    <n v="434.8"/>
    <s v="Low"/>
    <n v="0"/>
    <n v="9"/>
    <n v="3913.2000000000003"/>
    <n v="1449989.2318600002"/>
    <n v="1883.25"/>
    <n v="2029.9500000000003"/>
    <n v="0.51874425022999082"/>
    <n v="202304"/>
    <n v="202301"/>
    <s v="Apr-2023"/>
    <n v="3"/>
    <s v="Late"/>
    <n v="0"/>
    <n v="0"/>
  </r>
  <r>
    <x v="29"/>
    <d v="2025-04-07T00:00:00"/>
    <s v="Apr-2025"/>
    <x v="2"/>
    <d v="2025-04-11T00:00:00"/>
    <n v="4"/>
    <x v="3"/>
    <x v="7"/>
    <s v="Lyon"/>
    <s v="Europe &gt; France &gt; Lyon"/>
    <s v="Education"/>
    <x v="0"/>
    <x v="6"/>
    <x v="2"/>
    <s v="NET-9716"/>
    <n v="754.77"/>
    <n v="1666.18"/>
    <s v="Medium"/>
    <n v="0.13900000000000001"/>
    <n v="14"/>
    <n v="20084.133720000002"/>
    <n v="1449989.2318600002"/>
    <n v="10566.779999999999"/>
    <n v="9517.3537200000028"/>
    <n v="0.47387424584424653"/>
    <n v="202504"/>
    <n v="202301"/>
    <s v="Apr-2023"/>
    <n v="27"/>
    <s v="On Time"/>
    <n v="1"/>
    <n v="0"/>
  </r>
  <r>
    <x v="30"/>
    <d v="2024-12-27T00:00:00"/>
    <s v="Dec-2024"/>
    <x v="1"/>
    <d v="2025-01-15T00:00:00"/>
    <n v="19"/>
    <x v="1"/>
    <x v="4"/>
    <s v="Delhi"/>
    <s v="Asia &gt; India &gt; Delhi"/>
    <s v="Non-Profit"/>
    <x v="3"/>
    <x v="3"/>
    <x v="0"/>
    <s v="CMP-6919"/>
    <n v="495.59"/>
    <n v="631.78"/>
    <s v="Low"/>
    <n v="8.6999999999999994E-2"/>
    <n v="17"/>
    <n v="9805.8573800000013"/>
    <n v="1449989.2318600002"/>
    <n v="8425.0299999999988"/>
    <n v="1380.8273800000024"/>
    <n v="0.14081658813601899"/>
    <n v="202412"/>
    <n v="202301"/>
    <s v="Dec-2023"/>
    <n v="23"/>
    <s v="Late"/>
    <n v="0"/>
    <n v="0"/>
  </r>
  <r>
    <x v="31"/>
    <d v="2023-02-23T00:00:00"/>
    <s v="Feb-2023"/>
    <x v="0"/>
    <d v="2023-03-25T00:00:00"/>
    <n v="30"/>
    <x v="2"/>
    <x v="3"/>
    <s v="Montreal"/>
    <s v="Americas &gt; Canada &gt; Montreal"/>
    <s v="Enterprise"/>
    <x v="1"/>
    <x v="14"/>
    <x v="3"/>
    <s v="PHN-4854"/>
    <n v="1242.6600000000001"/>
    <n v="1794.07"/>
    <s v="High"/>
    <n v="8.8999999999999996E-2"/>
    <n v="16"/>
    <n v="26150.364320000001"/>
    <n v="1440183.3744800002"/>
    <n v="19882.560000000001"/>
    <n v="6267.8043199999993"/>
    <n v="0.23968325042440553"/>
    <n v="202302"/>
    <n v="202301"/>
    <s v="Feb-2023"/>
    <n v="1"/>
    <s v="Late"/>
    <n v="0"/>
    <n v="0"/>
  </r>
  <r>
    <x v="32"/>
    <d v="2025-07-24T00:00:00"/>
    <s v="Jul-2025"/>
    <x v="3"/>
    <d v="2025-08-06T00:00:00"/>
    <n v="13"/>
    <x v="0"/>
    <x v="11"/>
    <s v="Johannesburg"/>
    <s v="Africa &gt; South Africa &gt; Johannesburg"/>
    <s v="Education"/>
    <x v="2"/>
    <x v="14"/>
    <x v="2"/>
    <s v="NET-7966"/>
    <n v="1463.9"/>
    <n v="2633.02"/>
    <s v="High"/>
    <n v="8.4000000000000005E-2"/>
    <n v="4"/>
    <n v="9647.3852800000004"/>
    <n v="1440183.3744800002"/>
    <n v="5855.6"/>
    <n v="3791.7852800000001"/>
    <n v="0.39303761277791527"/>
    <n v="202507"/>
    <n v="202301"/>
    <s v="Jul-2023"/>
    <n v="30"/>
    <s v="Late"/>
    <n v="0"/>
    <n v="0"/>
  </r>
  <r>
    <x v="33"/>
    <d v="2024-04-18T00:00:00"/>
    <s v="Apr-2024"/>
    <x v="2"/>
    <d v="2024-05-08T00:00:00"/>
    <n v="20"/>
    <x v="3"/>
    <x v="8"/>
    <s v="London"/>
    <s v="Europe &gt; United Kingdom &gt; London"/>
    <s v="Non-Profit"/>
    <x v="5"/>
    <x v="14"/>
    <x v="4"/>
    <s v="LAP-9932"/>
    <n v="645.33000000000004"/>
    <n v="1321.85"/>
    <s v="Medium"/>
    <n v="0"/>
    <n v="10"/>
    <n v="13218.5"/>
    <n v="1440183.3744800002"/>
    <n v="6453.3"/>
    <n v="6765.2"/>
    <n v="0.51179785906116426"/>
    <n v="202404"/>
    <n v="202301"/>
    <s v="Apr-2023"/>
    <n v="15"/>
    <s v="Late"/>
    <n v="0"/>
    <n v="0"/>
  </r>
  <r>
    <x v="34"/>
    <d v="2024-08-23T00:00:00"/>
    <s v="Aug-2024"/>
    <x v="3"/>
    <d v="2024-08-25T00:00:00"/>
    <n v="2"/>
    <x v="0"/>
    <x v="11"/>
    <s v="Johannesburg"/>
    <s v="Africa &gt; South Africa &gt; Johannesburg"/>
    <s v="Education"/>
    <x v="0"/>
    <x v="6"/>
    <x v="0"/>
    <s v="CMP-1559"/>
    <n v="1432.52"/>
    <n v="3036.87"/>
    <s v="High"/>
    <n v="0"/>
    <n v="9"/>
    <n v="27331.829999999998"/>
    <n v="1440183.3744800002"/>
    <n v="12892.68"/>
    <n v="14439.149999999998"/>
    <n v="0.52829064135112791"/>
    <n v="202408"/>
    <n v="202301"/>
    <s v="Aug-2023"/>
    <n v="19"/>
    <s v="On Time"/>
    <n v="1"/>
    <n v="0"/>
  </r>
  <r>
    <x v="35"/>
    <d v="2023-03-27T00:00:00"/>
    <s v="Mar-2023"/>
    <x v="0"/>
    <d v="2023-04-22T00:00:00"/>
    <n v="26"/>
    <x v="1"/>
    <x v="4"/>
    <s v="Delhi"/>
    <s v="Asia &gt; India &gt; Delhi"/>
    <s v="Non-Profit"/>
    <x v="2"/>
    <x v="1"/>
    <x v="1"/>
    <s v="PRN-4506"/>
    <n v="178.53"/>
    <n v="199.37"/>
    <s v="Low"/>
    <n v="0.10100000000000001"/>
    <n v="37"/>
    <n v="6631.6443100000006"/>
    <n v="1412851.5444800002"/>
    <n v="6605.61"/>
    <n v="26.034310000000914"/>
    <n v="3.9257699573457538E-3"/>
    <n v="202303"/>
    <n v="202301"/>
    <s v="Mar-2023"/>
    <n v="2"/>
    <s v="Late"/>
    <n v="0"/>
    <n v="0"/>
  </r>
  <r>
    <x v="36"/>
    <d v="2024-03-07T00:00:00"/>
    <s v="Mar-2024"/>
    <x v="0"/>
    <d v="2024-03-25T00:00:00"/>
    <n v="18"/>
    <x v="3"/>
    <x v="6"/>
    <s v="Munich"/>
    <s v="Europe &gt; Germany &gt; Munich"/>
    <s v="Corporate"/>
    <x v="1"/>
    <x v="5"/>
    <x v="0"/>
    <s v="CMP-7617"/>
    <n v="712.84"/>
    <n v="927.51"/>
    <s v="Medium"/>
    <n v="0.24299999999999999"/>
    <n v="27"/>
    <n v="18957.37689"/>
    <n v="1412851.5444800002"/>
    <n v="19246.68"/>
    <n v="-289.30311000000074"/>
    <n v="-1.5260714163076427E-2"/>
    <n v="202403"/>
    <n v="202301"/>
    <s v="Mar-2023"/>
    <n v="14"/>
    <s v="Late"/>
    <n v="0"/>
    <n v="1"/>
  </r>
  <r>
    <x v="37"/>
    <d v="2025-06-24T00:00:00"/>
    <s v="Jun-2025"/>
    <x v="2"/>
    <d v="2025-07-10T00:00:00"/>
    <n v="16"/>
    <x v="1"/>
    <x v="9"/>
    <s v="Shanghai"/>
    <s v="Asia &gt; China &gt; Shanghai"/>
    <s v="Enterprise"/>
    <x v="4"/>
    <x v="13"/>
    <x v="0"/>
    <s v="CMP-8390"/>
    <n v="757.19"/>
    <n v="1735.41"/>
    <s v="Medium"/>
    <n v="0.13600000000000001"/>
    <n v="8"/>
    <n v="11995.153920000001"/>
    <n v="1393894.1675900002"/>
    <n v="6057.52"/>
    <n v="5937.6339200000002"/>
    <n v="0.4950027285685718"/>
    <n v="202506"/>
    <n v="202301"/>
    <s v="Jun-2023"/>
    <n v="29"/>
    <s v="Late"/>
    <n v="0"/>
    <n v="0"/>
  </r>
  <r>
    <x v="38"/>
    <d v="2024-04-19T00:00:00"/>
    <s v="Apr-2024"/>
    <x v="2"/>
    <d v="2024-05-06T00:00:00"/>
    <n v="17"/>
    <x v="0"/>
    <x v="1"/>
    <s v="Port Harcourt"/>
    <s v="Africa &gt; Nigeria &gt; Port Harcourt"/>
    <s v="Non-Profit"/>
    <x v="1"/>
    <x v="8"/>
    <x v="1"/>
    <s v="PRN-7303"/>
    <n v="865.33"/>
    <n v="1395.64"/>
    <s v="Medium"/>
    <n v="0.17499999999999999"/>
    <n v="13"/>
    <n v="14968.239"/>
    <n v="1381899.01367"/>
    <n v="11249.29"/>
    <n v="3718.9489999999987"/>
    <n v="0.24845601409758347"/>
    <n v="202404"/>
    <n v="202301"/>
    <s v="Apr-2023"/>
    <n v="15"/>
    <s v="Late"/>
    <n v="0"/>
    <n v="0"/>
  </r>
  <r>
    <x v="39"/>
    <d v="2023-06-17T00:00:00"/>
    <s v="Jun-2023"/>
    <x v="2"/>
    <d v="2023-06-24T00:00:00"/>
    <n v="7"/>
    <x v="2"/>
    <x v="10"/>
    <s v="San Francisco"/>
    <s v="Americas &gt; USA &gt; San Francisco"/>
    <s v="Corporate"/>
    <x v="0"/>
    <x v="2"/>
    <x v="1"/>
    <s v="PRN-6536"/>
    <n v="313.99"/>
    <n v="454.42"/>
    <s v="Low"/>
    <n v="0.129"/>
    <n v="9"/>
    <n v="3562.1983800000003"/>
    <n v="1381899.01367"/>
    <n v="2825.91"/>
    <n v="736.28838000000042"/>
    <n v="0.20669493988147858"/>
    <n v="202306"/>
    <n v="202301"/>
    <s v="Jun-2023"/>
    <n v="5"/>
    <s v="On Time"/>
    <n v="1"/>
    <n v="0"/>
  </r>
  <r>
    <x v="40"/>
    <d v="2024-08-27T00:00:00"/>
    <s v="Aug-2024"/>
    <x v="3"/>
    <d v="2024-09-19T00:00:00"/>
    <n v="23"/>
    <x v="3"/>
    <x v="6"/>
    <s v="Berlin"/>
    <s v="Europe &gt; Germany &gt; Berlin"/>
    <s v="Small Business"/>
    <x v="4"/>
    <x v="14"/>
    <x v="5"/>
    <s v="MON-9967"/>
    <n v="1024.01"/>
    <n v="1580.97"/>
    <s v="High"/>
    <n v="3.6999999999999998E-2"/>
    <n v="27"/>
    <n v="41106.800970000004"/>
    <n v="1381899.01367"/>
    <n v="27648.27"/>
    <n v="13458.530970000003"/>
    <n v="0.3274039976942531"/>
    <n v="202408"/>
    <n v="202301"/>
    <s v="Aug-2023"/>
    <n v="19"/>
    <s v="Late"/>
    <n v="0"/>
    <n v="0"/>
  </r>
  <r>
    <x v="41"/>
    <d v="2024-01-11T00:00:00"/>
    <s v="Jan-2024"/>
    <x v="0"/>
    <d v="2024-02-02T00:00:00"/>
    <n v="22"/>
    <x v="0"/>
    <x v="11"/>
    <s v="Durban"/>
    <s v="Africa &gt; South Africa &gt; Durban"/>
    <s v="Consumer"/>
    <x v="1"/>
    <x v="11"/>
    <x v="2"/>
    <s v="NET-1412"/>
    <n v="1206.2"/>
    <n v="1759.79"/>
    <s v="High"/>
    <n v="0"/>
    <n v="6"/>
    <n v="10558.74"/>
    <n v="1381899.01367"/>
    <n v="7237.2000000000007"/>
    <n v="3321.5399999999991"/>
    <n v="0.31457730751964713"/>
    <n v="202401"/>
    <n v="202301"/>
    <s v="Jan-2023"/>
    <n v="12"/>
    <s v="Late"/>
    <n v="0"/>
    <n v="0"/>
  </r>
  <r>
    <x v="42"/>
    <d v="2024-10-25T00:00:00"/>
    <s v="Oct-2024"/>
    <x v="1"/>
    <d v="2024-11-14T00:00:00"/>
    <n v="20"/>
    <x v="0"/>
    <x v="0"/>
    <s v="Mombasa"/>
    <s v="Africa &gt; Kenya &gt; Mombasa"/>
    <s v="Corporate"/>
    <x v="4"/>
    <x v="10"/>
    <x v="1"/>
    <s v="PRN-3143"/>
    <n v="1396.48"/>
    <n v="3204.5"/>
    <s v="High"/>
    <n v="0.318"/>
    <n v="14"/>
    <n v="30596.565999999999"/>
    <n v="1381899.01367"/>
    <n v="19550.72"/>
    <n v="11045.845999999998"/>
    <n v="0.36101587348070363"/>
    <n v="202410"/>
    <n v="202301"/>
    <s v="Oct-2023"/>
    <n v="21"/>
    <s v="Late"/>
    <n v="0"/>
    <n v="1"/>
  </r>
  <r>
    <x v="43"/>
    <d v="2025-05-29T00:00:00"/>
    <s v="May-2025"/>
    <x v="2"/>
    <d v="2025-06-20T00:00:00"/>
    <n v="22"/>
    <x v="3"/>
    <x v="6"/>
    <s v="Berlin"/>
    <s v="Europe &gt; Germany &gt; Berlin"/>
    <s v="Corporate"/>
    <x v="4"/>
    <x v="8"/>
    <x v="1"/>
    <s v="PRN-9787"/>
    <n v="483.47"/>
    <n v="1135.43"/>
    <s v="Low"/>
    <n v="0.14599999999999999"/>
    <n v="11"/>
    <n v="10666.229420000001"/>
    <n v="1381899.01367"/>
    <n v="5318.17"/>
    <n v="5348.0594200000014"/>
    <n v="0.50140112399719983"/>
    <n v="202505"/>
    <n v="202301"/>
    <s v="May-2023"/>
    <n v="28"/>
    <s v="Late"/>
    <n v="0"/>
    <n v="0"/>
  </r>
  <r>
    <x v="44"/>
    <d v="2024-05-20T00:00:00"/>
    <s v="May-2024"/>
    <x v="2"/>
    <d v="2024-06-02T00:00:00"/>
    <n v="13"/>
    <x v="2"/>
    <x v="3"/>
    <s v="Vancouver"/>
    <s v="Americas &gt; Canada &gt; Vancouver"/>
    <s v="Enterprise"/>
    <x v="2"/>
    <x v="11"/>
    <x v="0"/>
    <s v="CMP-5946"/>
    <n v="675.43"/>
    <n v="996.36"/>
    <s v="Medium"/>
    <n v="0.182"/>
    <n v="22"/>
    <n v="17930.494560000003"/>
    <n v="1381899.01367"/>
    <n v="14859.46"/>
    <n v="3071.0345600000037"/>
    <n v="0.17127439233332575"/>
    <n v="202405"/>
    <n v="202301"/>
    <s v="May-2023"/>
    <n v="16"/>
    <s v="Late"/>
    <n v="0"/>
    <n v="0"/>
  </r>
  <r>
    <x v="45"/>
    <d v="2023-04-19T00:00:00"/>
    <s v="Apr-2023"/>
    <x v="2"/>
    <d v="2023-04-30T00:00:00"/>
    <n v="11"/>
    <x v="1"/>
    <x v="4"/>
    <s v="Delhi"/>
    <s v="Asia &gt; India &gt; Delhi"/>
    <s v="Small Business"/>
    <x v="0"/>
    <x v="8"/>
    <x v="2"/>
    <s v="NET-2062"/>
    <n v="826.55"/>
    <n v="1397.05"/>
    <s v="Medium"/>
    <n v="0.16900000000000001"/>
    <n v="28"/>
    <n v="32506.559399999998"/>
    <n v="1363968.51911"/>
    <n v="23143.399999999998"/>
    <n v="9363.1594000000005"/>
    <n v="0.28803907804527601"/>
    <n v="202304"/>
    <n v="202301"/>
    <s v="Apr-2023"/>
    <n v="3"/>
    <s v="Late"/>
    <n v="0"/>
    <n v="0"/>
  </r>
  <r>
    <x v="46"/>
    <d v="2023-06-23T00:00:00"/>
    <s v="Jun-2023"/>
    <x v="2"/>
    <d v="2023-07-03T00:00:00"/>
    <n v="10"/>
    <x v="0"/>
    <x v="1"/>
    <s v="Abuja"/>
    <s v="Africa &gt; Nigeria &gt; Abuja"/>
    <s v="Consumer"/>
    <x v="1"/>
    <x v="1"/>
    <x v="1"/>
    <s v="PRN-2542"/>
    <n v="337.75"/>
    <n v="548.89"/>
    <s v="Low"/>
    <n v="0"/>
    <n v="13"/>
    <n v="7135.57"/>
    <n v="1363968.51911"/>
    <n v="4390.75"/>
    <n v="2744.8199999999997"/>
    <n v="0.38466723751571352"/>
    <n v="202306"/>
    <n v="202301"/>
    <s v="Jun-2023"/>
    <n v="5"/>
    <s v="Late"/>
    <n v="0"/>
    <n v="0"/>
  </r>
  <r>
    <x v="47"/>
    <d v="2024-05-14T00:00:00"/>
    <s v="May-2024"/>
    <x v="2"/>
    <d v="2024-05-28T00:00:00"/>
    <n v="14"/>
    <x v="3"/>
    <x v="8"/>
    <s v="Birmingham"/>
    <s v="Europe &gt; United Kingdom &gt; Birmingham"/>
    <s v="Consumer"/>
    <x v="0"/>
    <x v="5"/>
    <x v="2"/>
    <s v="NET-2365"/>
    <n v="1421.14"/>
    <n v="3524"/>
    <s v="High"/>
    <n v="0"/>
    <n v="31"/>
    <n v="109244"/>
    <n v="1363968.51911"/>
    <n v="44055.340000000004"/>
    <n v="65188.659999999996"/>
    <n v="0.59672531214528945"/>
    <n v="202405"/>
    <n v="202301"/>
    <s v="May-2023"/>
    <n v="16"/>
    <s v="Late"/>
    <n v="0"/>
    <n v="0"/>
  </r>
  <r>
    <x v="48"/>
    <d v="2024-10-14T00:00:00"/>
    <s v="Oct-2024"/>
    <x v="1"/>
    <d v="2024-11-08T00:00:00"/>
    <n v="25"/>
    <x v="0"/>
    <x v="1"/>
    <s v="Lagos"/>
    <s v="Africa &gt; Nigeria &gt; Lagos"/>
    <s v="Enterprise"/>
    <x v="1"/>
    <x v="7"/>
    <x v="2"/>
    <s v="NET-5268"/>
    <n v="859.35"/>
    <n v="1825.61"/>
    <s v="Medium"/>
    <n v="0.187"/>
    <n v="24"/>
    <n v="35621.302319999995"/>
    <n v="1363968.51911"/>
    <n v="20624.400000000001"/>
    <n v="14996.902319999994"/>
    <n v="0.42100937762681989"/>
    <n v="202410"/>
    <n v="202301"/>
    <s v="Oct-2023"/>
    <n v="21"/>
    <s v="Late"/>
    <n v="0"/>
    <n v="0"/>
  </r>
  <r>
    <x v="49"/>
    <d v="2023-07-10T00:00:00"/>
    <s v="Jul-2023"/>
    <x v="3"/>
    <d v="2023-08-01T00:00:00"/>
    <n v="22"/>
    <x v="3"/>
    <x v="7"/>
    <s v="Marseille"/>
    <s v="Europe &gt; France &gt; Marseille"/>
    <s v="Consumer"/>
    <x v="2"/>
    <x v="5"/>
    <x v="1"/>
    <s v="PRN-1504"/>
    <n v="1303.56"/>
    <n v="1791.37"/>
    <s v="High"/>
    <n v="0.126"/>
    <n v="22"/>
    <n v="34444.462359999998"/>
    <n v="1363968.51911"/>
    <n v="28678.32"/>
    <n v="5766.142359999998"/>
    <n v="0.16740404596055358"/>
    <n v="202307"/>
    <n v="202301"/>
    <s v="Jul-2023"/>
    <n v="6"/>
    <s v="Late"/>
    <n v="0"/>
    <n v="0"/>
  </r>
  <r>
    <x v="50"/>
    <d v="2024-11-06T00:00:00"/>
    <s v="Nov-2024"/>
    <x v="1"/>
    <d v="2024-11-22T00:00:00"/>
    <n v="16"/>
    <x v="2"/>
    <x v="3"/>
    <s v="Toronto"/>
    <s v="Americas &gt; Canada &gt; Toronto"/>
    <s v="Non-Profit"/>
    <x v="3"/>
    <x v="14"/>
    <x v="6"/>
    <s v="ACC-6348"/>
    <n v="1454.11"/>
    <n v="2629.75"/>
    <s v="High"/>
    <n v="0.29199999999999998"/>
    <n v="8"/>
    <n v="14894.903999999999"/>
    <n v="1363968.51911"/>
    <n v="11632.88"/>
    <n v="3262.0239999999994"/>
    <n v="0.21900268709351867"/>
    <n v="202411"/>
    <n v="202301"/>
    <s v="Nov-2023"/>
    <n v="22"/>
    <s v="Late"/>
    <n v="0"/>
    <n v="1"/>
  </r>
  <r>
    <x v="51"/>
    <d v="2024-10-17T00:00:00"/>
    <s v="Oct-2024"/>
    <x v="1"/>
    <d v="2024-11-06T00:00:00"/>
    <n v="20"/>
    <x v="1"/>
    <x v="4"/>
    <s v="Bengaluru"/>
    <s v="Asia &gt; India &gt; Bengaluru"/>
    <s v="Enterprise"/>
    <x v="3"/>
    <x v="7"/>
    <x v="5"/>
    <s v="MON-4330"/>
    <n v="72.94"/>
    <n v="106.3"/>
    <s v="Low"/>
    <n v="0.29499999999999998"/>
    <n v="8"/>
    <n v="599.53200000000004"/>
    <n v="1363968.51911"/>
    <n v="583.52"/>
    <n v="16.012000000000057"/>
    <n v="2.6707498515508857E-2"/>
    <n v="202410"/>
    <n v="202301"/>
    <s v="Oct-2023"/>
    <n v="21"/>
    <s v="Late"/>
    <n v="0"/>
    <n v="1"/>
  </r>
  <r>
    <x v="52"/>
    <d v="2023-03-31T00:00:00"/>
    <s v="Mar-2023"/>
    <x v="0"/>
    <d v="2023-04-05T00:00:00"/>
    <n v="5"/>
    <x v="0"/>
    <x v="0"/>
    <s v="Nakuru"/>
    <s v="Africa &gt; Kenya &gt; Nakuru"/>
    <s v="Education"/>
    <x v="2"/>
    <x v="5"/>
    <x v="4"/>
    <s v="LAP-7819"/>
    <n v="533.26"/>
    <n v="385.72"/>
    <s v="Medium"/>
    <n v="0"/>
    <n v="15"/>
    <n v="5785.8"/>
    <n v="1363968.51911"/>
    <n v="7998.9"/>
    <n v="-2213.0999999999995"/>
    <n v="-0.38250544436378708"/>
    <n v="202303"/>
    <n v="202301"/>
    <s v="Mar-2023"/>
    <n v="2"/>
    <s v="On Time"/>
    <n v="1"/>
    <n v="0"/>
  </r>
  <r>
    <x v="53"/>
    <d v="2025-01-21T00:00:00"/>
    <s v="Jan-2025"/>
    <x v="0"/>
    <d v="2025-02-16T00:00:00"/>
    <n v="26"/>
    <x v="3"/>
    <x v="7"/>
    <s v="Lyon"/>
    <s v="Europe &gt; France &gt; Lyon"/>
    <s v="Corporate"/>
    <x v="3"/>
    <x v="7"/>
    <x v="4"/>
    <s v="LAP-3779"/>
    <n v="204.11"/>
    <n v="236.87"/>
    <s v="Low"/>
    <n v="0.182"/>
    <n v="13"/>
    <n v="2518.8755800000004"/>
    <n v="1363968.51911"/>
    <n v="2653.4300000000003"/>
    <n v="-134.55441999999994"/>
    <n v="-5.3418446337075494E-2"/>
    <n v="202501"/>
    <n v="202301"/>
    <s v="Jan-2023"/>
    <n v="24"/>
    <s v="Late"/>
    <n v="0"/>
    <n v="0"/>
  </r>
  <r>
    <x v="54"/>
    <d v="2023-08-30T00:00:00"/>
    <s v="Aug-2023"/>
    <x v="3"/>
    <d v="2023-09-01T00:00:00"/>
    <n v="2"/>
    <x v="3"/>
    <x v="6"/>
    <s v="Munich"/>
    <s v="Europe &gt; Germany &gt; Munich"/>
    <s v="Corporate"/>
    <x v="4"/>
    <x v="13"/>
    <x v="2"/>
    <s v="NET-9989"/>
    <n v="44.42"/>
    <n v="41.9"/>
    <s v="Low"/>
    <n v="0.14399999999999999"/>
    <n v="6"/>
    <n v="215.19839999999996"/>
    <n v="1363968.51911"/>
    <n v="266.52"/>
    <n v="-51.321600000000018"/>
    <n v="-0.23848504449847224"/>
    <n v="202308"/>
    <n v="202301"/>
    <s v="Aug-2023"/>
    <n v="7"/>
    <s v="On Time"/>
    <n v="1"/>
    <n v="0"/>
  </r>
  <r>
    <x v="55"/>
    <d v="2025-04-06T00:00:00"/>
    <s v="Apr-2025"/>
    <x v="2"/>
    <d v="2025-04-30T00:00:00"/>
    <n v="24"/>
    <x v="2"/>
    <x v="5"/>
    <s v="Brasília"/>
    <s v="Americas &gt; Brazil &gt; Brasília"/>
    <s v="Education"/>
    <x v="1"/>
    <x v="11"/>
    <x v="5"/>
    <s v="MON-4925"/>
    <n v="855.78"/>
    <n v="977.38"/>
    <s v="Medium"/>
    <n v="0.14699999999999999"/>
    <n v="38"/>
    <n v="31680.795320000001"/>
    <n v="1363968.51911"/>
    <n v="32519.64"/>
    <n v="-838.84467999999833"/>
    <n v="-2.6478018355506307E-2"/>
    <n v="202504"/>
    <n v="202301"/>
    <s v="Apr-2023"/>
    <n v="27"/>
    <s v="Late"/>
    <n v="0"/>
    <n v="0"/>
  </r>
  <r>
    <x v="56"/>
    <d v="2025-02-09T00:00:00"/>
    <s v="Feb-2025"/>
    <x v="0"/>
    <d v="2025-03-01T00:00:00"/>
    <n v="20"/>
    <x v="2"/>
    <x v="5"/>
    <s v="São Paulo"/>
    <s v="Americas &gt; Brazil &gt; São Paulo"/>
    <s v="Corporate"/>
    <x v="3"/>
    <x v="5"/>
    <x v="4"/>
    <s v="LAP-6989"/>
    <n v="1154.6400000000001"/>
    <n v="2794.13"/>
    <s v="High"/>
    <n v="3.5000000000000003E-2"/>
    <n v="11"/>
    <n v="29659.68995"/>
    <n v="1363968.51911"/>
    <n v="12701.04"/>
    <n v="16958.649949999999"/>
    <n v="0.57177435025749479"/>
    <n v="202502"/>
    <n v="202301"/>
    <s v="Feb-2023"/>
    <n v="25"/>
    <s v="Late"/>
    <n v="0"/>
    <n v="0"/>
  </r>
  <r>
    <x v="57"/>
    <d v="2024-12-17T00:00:00"/>
    <s v="Dec-2024"/>
    <x v="1"/>
    <d v="2024-12-18T00:00:00"/>
    <n v="1"/>
    <x v="3"/>
    <x v="6"/>
    <s v="Munich"/>
    <s v="Europe &gt; Germany &gt; Munich"/>
    <s v="Education"/>
    <x v="0"/>
    <x v="4"/>
    <x v="6"/>
    <s v="ACC-5780"/>
    <n v="346.82"/>
    <n v="701.95"/>
    <s v="Low"/>
    <n v="0.14699999999999999"/>
    <n v="8"/>
    <n v="4790.1068000000005"/>
    <n v="1363968.51911"/>
    <n v="2774.56"/>
    <n v="2015.5468000000005"/>
    <n v="0.42077283120284509"/>
    <n v="202412"/>
    <n v="202301"/>
    <s v="Dec-2023"/>
    <n v="23"/>
    <s v="On Time"/>
    <n v="1"/>
    <n v="0"/>
  </r>
  <r>
    <x v="58"/>
    <d v="2025-06-09T00:00:00"/>
    <s v="Jun-2025"/>
    <x v="2"/>
    <d v="2025-06-18T00:00:00"/>
    <n v="9"/>
    <x v="3"/>
    <x v="7"/>
    <s v="Marseille"/>
    <s v="Europe &gt; France &gt; Marseille"/>
    <s v="Small Business"/>
    <x v="2"/>
    <x v="10"/>
    <x v="6"/>
    <s v="ACC-1770"/>
    <n v="1225.5"/>
    <n v="5.27"/>
    <s v="High"/>
    <n v="7.4999999999999997E-2"/>
    <n v="56"/>
    <n v="272.98599999999999"/>
    <n v="1363968.51911"/>
    <n v="68628"/>
    <n v="-68355.013999999996"/>
    <n v="-250.39750756449047"/>
    <n v="202506"/>
    <n v="202301"/>
    <s v="Jun-2023"/>
    <n v="29"/>
    <s v="Late"/>
    <n v="0"/>
    <n v="0"/>
  </r>
  <r>
    <x v="59"/>
    <d v="2025-05-02T00:00:00"/>
    <s v="May-2025"/>
    <x v="2"/>
    <d v="2025-05-13T00:00:00"/>
    <n v="11"/>
    <x v="0"/>
    <x v="0"/>
    <s v="Nakuru"/>
    <s v="Africa &gt; Kenya &gt; Nakuru"/>
    <s v="Small Business"/>
    <x v="1"/>
    <x v="8"/>
    <x v="6"/>
    <s v="ACC-2252"/>
    <n v="1057.5999999999999"/>
    <n v="1437.06"/>
    <s v="High"/>
    <n v="0.20499999999999999"/>
    <n v="4"/>
    <n v="4569.8508000000002"/>
    <n v="1363968.51911"/>
    <n v="4230.3999999999996"/>
    <n v="339.45080000000053"/>
    <n v="7.4280499485891424E-2"/>
    <n v="202505"/>
    <n v="202301"/>
    <s v="May-2023"/>
    <n v="28"/>
    <s v="Late"/>
    <n v="0"/>
    <n v="1"/>
  </r>
  <r>
    <x v="60"/>
    <d v="2024-03-10T00:00:00"/>
    <s v="Mar-2024"/>
    <x v="0"/>
    <d v="2024-04-09T00:00:00"/>
    <n v="30"/>
    <x v="3"/>
    <x v="7"/>
    <s v="Lyon"/>
    <s v="Europe &gt; France &gt; Lyon"/>
    <s v="Corporate"/>
    <x v="4"/>
    <x v="2"/>
    <x v="0"/>
    <s v="CMP-8002"/>
    <n v="1176.56"/>
    <n v="1911.89"/>
    <s v="High"/>
    <n v="0.11899999999999999"/>
    <n v="20"/>
    <n v="33687.501800000005"/>
    <n v="1363968.51911"/>
    <n v="23531.199999999997"/>
    <n v="10156.301800000008"/>
    <n v="0.30148575160892477"/>
    <n v="202403"/>
    <n v="202301"/>
    <s v="Mar-2023"/>
    <n v="14"/>
    <s v="Late"/>
    <n v="0"/>
    <n v="0"/>
  </r>
  <r>
    <x v="61"/>
    <d v="2025-09-10T00:00:00"/>
    <s v="Sept-2025"/>
    <x v="3"/>
    <d v="2025-09-12T00:00:00"/>
    <n v="2"/>
    <x v="1"/>
    <x v="2"/>
    <s v="Tokyo"/>
    <s v="Asia &gt; Japan &gt; Tokyo"/>
    <s v="Consumer"/>
    <x v="1"/>
    <x v="7"/>
    <x v="0"/>
    <s v="CMP-6971"/>
    <n v="1470.15"/>
    <n v="2593.7800000000002"/>
    <s v="High"/>
    <n v="0.11"/>
    <n v="12"/>
    <n v="27701.570400000001"/>
    <n v="1330281.0173099998"/>
    <n v="17641.800000000003"/>
    <n v="10059.770399999998"/>
    <n v="0.36314801849645306"/>
    <n v="202509"/>
    <n v="202303"/>
    <s v="Sept-2023"/>
    <n v="30"/>
    <s v="On Time"/>
    <n v="1"/>
    <n v="0"/>
  </r>
  <r>
    <x v="62"/>
    <d v="2025-04-27T00:00:00"/>
    <s v="Apr-2025"/>
    <x v="2"/>
    <d v="2025-05-25T00:00:00"/>
    <n v="28"/>
    <x v="3"/>
    <x v="7"/>
    <s v="Paris"/>
    <s v="Europe &gt; France &gt; Paris"/>
    <s v="Small Business"/>
    <x v="2"/>
    <x v="2"/>
    <x v="3"/>
    <s v="PHN-8350"/>
    <n v="603.45000000000005"/>
    <n v="1244.08"/>
    <s v="Medium"/>
    <n v="0.2"/>
    <n v="11"/>
    <n v="10947.904"/>
    <n v="1302579.4469099999"/>
    <n v="6637.9500000000007"/>
    <n v="4309.9539999999997"/>
    <n v="0.39367846119220623"/>
    <n v="202504"/>
    <n v="202301"/>
    <s v="Apr-2023"/>
    <n v="27"/>
    <s v="Late"/>
    <n v="0"/>
    <n v="0"/>
  </r>
  <r>
    <x v="63"/>
    <d v="2024-11-02T00:00:00"/>
    <s v="Nov-2024"/>
    <x v="1"/>
    <d v="2024-11-18T00:00:00"/>
    <n v="16"/>
    <x v="1"/>
    <x v="4"/>
    <s v="Mumbai"/>
    <s v="Asia &gt; India &gt; Mumbai"/>
    <s v="Small Business"/>
    <x v="3"/>
    <x v="7"/>
    <x v="5"/>
    <s v="MON-5188"/>
    <n v="1233.58"/>
    <n v="1912.51"/>
    <s v="High"/>
    <n v="0.255"/>
    <n v="51"/>
    <n v="72665.817450000002"/>
    <n v="1302579.4469099999"/>
    <n v="62912.579999999994"/>
    <n v="9753.2374500000078"/>
    <n v="0.134220432553601"/>
    <n v="202411"/>
    <n v="202301"/>
    <s v="Nov-2023"/>
    <n v="22"/>
    <s v="Late"/>
    <n v="0"/>
    <n v="1"/>
  </r>
  <r>
    <x v="64"/>
    <d v="2023-02-15T00:00:00"/>
    <s v="Feb-2023"/>
    <x v="0"/>
    <d v="2023-02-26T00:00:00"/>
    <n v="11"/>
    <x v="0"/>
    <x v="11"/>
    <s v="Johannesburg"/>
    <s v="Africa &gt; South Africa &gt; Johannesburg"/>
    <s v="Non-Profit"/>
    <x v="0"/>
    <x v="11"/>
    <x v="4"/>
    <s v="LAP-3393"/>
    <n v="498.5"/>
    <n v="755.87"/>
    <s v="Low"/>
    <n v="0.13"/>
    <n v="40"/>
    <n v="26304.275999999998"/>
    <n v="1302579.4469099999"/>
    <n v="19940"/>
    <n v="6364.275999999998"/>
    <n v="0.24194834330357537"/>
    <n v="202302"/>
    <n v="202301"/>
    <s v="Feb-2023"/>
    <n v="1"/>
    <s v="Late"/>
    <n v="0"/>
    <n v="0"/>
  </r>
  <r>
    <x v="65"/>
    <d v="2023-12-03T00:00:00"/>
    <s v="Dec-2023"/>
    <x v="1"/>
    <d v="2023-12-26T00:00:00"/>
    <n v="23"/>
    <x v="2"/>
    <x v="5"/>
    <s v="Rio de Janeiro"/>
    <s v="Americas &gt; Brazil &gt; Rio de Janeiro"/>
    <s v="Education"/>
    <x v="0"/>
    <x v="7"/>
    <x v="3"/>
    <s v="PHN-4644"/>
    <n v="1303.1099999999999"/>
    <n v="1145.67"/>
    <s v="High"/>
    <n v="0.184"/>
    <n v="13"/>
    <n v="12153.267360000002"/>
    <n v="1302579.4469099999"/>
    <n v="16940.43"/>
    <n v="-4787.1626399999986"/>
    <n v="-0.39389922875851208"/>
    <n v="202312"/>
    <n v="202301"/>
    <s v="Dec-2023"/>
    <n v="11"/>
    <s v="Late"/>
    <n v="0"/>
    <n v="0"/>
  </r>
  <r>
    <x v="66"/>
    <d v="2023-03-19T00:00:00"/>
    <s v="Mar-2023"/>
    <x v="0"/>
    <d v="2023-04-09T00:00:00"/>
    <n v="21"/>
    <x v="3"/>
    <x v="8"/>
    <s v="Manchester"/>
    <s v="Europe &gt; United Kingdom &gt; Manchester"/>
    <s v="Consumer"/>
    <x v="0"/>
    <x v="4"/>
    <x v="6"/>
    <s v="ACC-9150"/>
    <n v="1082.17"/>
    <n v="1234.0999999999999"/>
    <s v="High"/>
    <n v="0.189"/>
    <n v="16"/>
    <n v="16013.681599999998"/>
    <n v="1302579.4469099999"/>
    <n v="17314.72"/>
    <n v="-1301.0384000000031"/>
    <n v="-8.124542703534228E-2"/>
    <n v="202303"/>
    <n v="202301"/>
    <s v="Mar-2023"/>
    <n v="2"/>
    <s v="Late"/>
    <n v="0"/>
    <n v="0"/>
  </r>
  <r>
    <x v="67"/>
    <d v="2024-05-22T00:00:00"/>
    <s v="May-2024"/>
    <x v="2"/>
    <d v="2024-06-06T00:00:00"/>
    <n v="15"/>
    <x v="1"/>
    <x v="2"/>
    <s v="Nagoya"/>
    <s v="Asia &gt; Japan &gt; Nagoya"/>
    <s v="Corporate"/>
    <x v="3"/>
    <x v="0"/>
    <x v="5"/>
    <s v="MON-6870"/>
    <n v="673.88"/>
    <n v="1228.01"/>
    <s v="Medium"/>
    <n v="0.105"/>
    <n v="13"/>
    <n v="14287.896349999999"/>
    <n v="1302579.4469099999"/>
    <n v="8760.44"/>
    <n v="5527.4563499999986"/>
    <n v="0.38686285332689996"/>
    <n v="202405"/>
    <n v="202303"/>
    <s v="May-2023"/>
    <n v="14"/>
    <s v="Late"/>
    <n v="0"/>
    <n v="0"/>
  </r>
  <r>
    <x v="68"/>
    <d v="2023-08-19T00:00:00"/>
    <s v="Aug-2023"/>
    <x v="3"/>
    <d v="2023-09-07T00:00:00"/>
    <n v="19"/>
    <x v="0"/>
    <x v="11"/>
    <s v="Johannesburg"/>
    <s v="Africa &gt; South Africa &gt; Johannesburg"/>
    <s v="Enterprise"/>
    <x v="0"/>
    <x v="14"/>
    <x v="5"/>
    <s v="MON-2296"/>
    <n v="494.61"/>
    <n v="605.23"/>
    <s v="Low"/>
    <n v="0.20399999999999999"/>
    <n v="18"/>
    <n v="8671.7354400000004"/>
    <n v="1302579.4469099999"/>
    <n v="8902.98"/>
    <n v="-231.24455999999918"/>
    <n v="-2.6666468505639647E-2"/>
    <n v="202308"/>
    <n v="202301"/>
    <s v="Aug-2023"/>
    <n v="7"/>
    <s v="Late"/>
    <n v="0"/>
    <n v="1"/>
  </r>
  <r>
    <x v="69"/>
    <d v="2023-04-21T00:00:00"/>
    <s v="Apr-2023"/>
    <x v="2"/>
    <d v="2023-05-10T00:00:00"/>
    <n v="19"/>
    <x v="1"/>
    <x v="9"/>
    <s v="Shanghai"/>
    <s v="Asia &gt; China &gt; Shanghai"/>
    <s v="Corporate"/>
    <x v="0"/>
    <x v="8"/>
    <x v="0"/>
    <s v="CMP-7371"/>
    <n v="882.33"/>
    <n v="1880.15"/>
    <s v="Medium"/>
    <n v="0.05"/>
    <n v="5"/>
    <n v="8930.7124999999996"/>
    <n v="1302579.4469099999"/>
    <n v="4411.6500000000005"/>
    <n v="4519.0624999999991"/>
    <n v="0.50601365792482955"/>
    <n v="202304"/>
    <n v="202301"/>
    <s v="Apr-2023"/>
    <n v="3"/>
    <s v="Late"/>
    <n v="0"/>
    <n v="0"/>
  </r>
  <r>
    <x v="70"/>
    <d v="2024-03-18T00:00:00"/>
    <s v="Mar-2024"/>
    <x v="0"/>
    <d v="2024-03-21T00:00:00"/>
    <n v="3"/>
    <x v="3"/>
    <x v="6"/>
    <s v="Munich"/>
    <s v="Europe &gt; Germany &gt; Munich"/>
    <s v="Small Business"/>
    <x v="1"/>
    <x v="12"/>
    <x v="6"/>
    <s v="ACC-2761"/>
    <n v="910.63"/>
    <n v="1269.4000000000001"/>
    <s v="Medium"/>
    <n v="6.8000000000000005E-2"/>
    <n v="9"/>
    <n v="10647.727199999999"/>
    <n v="1293648.7344099998"/>
    <n v="8195.67"/>
    <n v="2452.0571999999993"/>
    <n v="0.23028925834989455"/>
    <n v="202403"/>
    <n v="202301"/>
    <s v="Mar-2023"/>
    <n v="14"/>
    <s v="On Time"/>
    <n v="1"/>
    <n v="0"/>
  </r>
  <r>
    <x v="71"/>
    <d v="2025-04-09T00:00:00"/>
    <s v="Apr-2025"/>
    <x v="2"/>
    <d v="2025-05-06T00:00:00"/>
    <n v="27"/>
    <x v="2"/>
    <x v="5"/>
    <s v="Brasília"/>
    <s v="Americas &gt; Brazil &gt; Brasília"/>
    <s v="Enterprise"/>
    <x v="2"/>
    <x v="9"/>
    <x v="4"/>
    <s v="LAP-4517"/>
    <n v="264.19"/>
    <n v="620.92999999999995"/>
    <s v="Low"/>
    <n v="0.14199999999999999"/>
    <n v="12"/>
    <n v="6393.0952799999995"/>
    <n v="1293648.7344099998"/>
    <n v="3170.2799999999997"/>
    <n v="3222.8152799999998"/>
    <n v="0.50410875152794532"/>
    <n v="202504"/>
    <n v="202301"/>
    <s v="Apr-2023"/>
    <n v="27"/>
    <s v="Late"/>
    <n v="0"/>
    <n v="0"/>
  </r>
  <r>
    <x v="72"/>
    <d v="2024-04-12T00:00:00"/>
    <s v="Apr-2024"/>
    <x v="2"/>
    <d v="2024-05-07T00:00:00"/>
    <n v="25"/>
    <x v="0"/>
    <x v="11"/>
    <s v="Johannesburg"/>
    <s v="Africa &gt; South Africa &gt; Johannesburg"/>
    <s v="Education"/>
    <x v="3"/>
    <x v="8"/>
    <x v="4"/>
    <s v="LAP-8489"/>
    <n v="1376.51"/>
    <n v="1455.91"/>
    <s v="High"/>
    <n v="0.185"/>
    <n v="17"/>
    <n v="20171.63305"/>
    <n v="1293648.7344099998"/>
    <n v="23400.67"/>
    <n v="-3229.0369499999979"/>
    <n v="-0.1600781127634085"/>
    <n v="202404"/>
    <n v="202301"/>
    <s v="Apr-2023"/>
    <n v="15"/>
    <s v="Late"/>
    <n v="0"/>
    <n v="0"/>
  </r>
  <r>
    <x v="73"/>
    <d v="2024-12-15T00:00:00"/>
    <s v="Dec-2024"/>
    <x v="1"/>
    <d v="2024-12-20T00:00:00"/>
    <n v="5"/>
    <x v="1"/>
    <x v="9"/>
    <s v="Shenzhen"/>
    <s v="Asia &gt; China &gt; Shenzhen"/>
    <s v="Small Business"/>
    <x v="4"/>
    <x v="1"/>
    <x v="2"/>
    <s v="NET-1846"/>
    <n v="717.55"/>
    <n v="546.42999999999995"/>
    <s v="Medium"/>
    <n v="4.7E-2"/>
    <n v="18"/>
    <n v="9373.460219999999"/>
    <n v="1293648.7344099998"/>
    <n v="12915.9"/>
    <n v="-3542.4397800000006"/>
    <n v="-0.37792231437026369"/>
    <n v="202412"/>
    <n v="202301"/>
    <s v="Dec-2023"/>
    <n v="23"/>
    <s v="On Time"/>
    <n v="1"/>
    <n v="0"/>
  </r>
  <r>
    <x v="74"/>
    <d v="2023-05-20T00:00:00"/>
    <s v="May-2023"/>
    <x v="2"/>
    <d v="2023-05-22T00:00:00"/>
    <n v="2"/>
    <x v="0"/>
    <x v="11"/>
    <s v="Durban"/>
    <s v="Africa &gt; South Africa &gt; Durban"/>
    <s v="Corporate"/>
    <x v="3"/>
    <x v="8"/>
    <x v="0"/>
    <s v="CMP-5208"/>
    <n v="917.88"/>
    <n v="1347.92"/>
    <s v="Medium"/>
    <n v="0.34300000000000003"/>
    <n v="5"/>
    <n v="4427.9172000000008"/>
    <n v="1293648.7344099998"/>
    <n v="4589.3999999999996"/>
    <n v="-161.48279999999886"/>
    <n v="-3.6469245630880096E-2"/>
    <n v="202305"/>
    <n v="202301"/>
    <s v="May-2023"/>
    <n v="4"/>
    <s v="On Time"/>
    <n v="1"/>
    <n v="1"/>
  </r>
  <r>
    <x v="75"/>
    <d v="2023-09-18T00:00:00"/>
    <s v="Sept-2023"/>
    <x v="3"/>
    <d v="2023-10-08T00:00:00"/>
    <n v="20"/>
    <x v="1"/>
    <x v="4"/>
    <s v="Delhi"/>
    <s v="Asia &gt; India &gt; Delhi"/>
    <s v="Small Business"/>
    <x v="4"/>
    <x v="5"/>
    <x v="0"/>
    <s v="CMP-1009"/>
    <n v="825.64"/>
    <n v="1108.43"/>
    <s v="Medium"/>
    <n v="0.114"/>
    <n v="7"/>
    <n v="6874.4828600000001"/>
    <n v="1289220.8172099998"/>
    <n v="5779.48"/>
    <n v="1095.0028600000005"/>
    <n v="0.15928512475773349"/>
    <n v="202309"/>
    <n v="202301"/>
    <s v="Sept-2023"/>
    <n v="8"/>
    <s v="Late"/>
    <n v="0"/>
    <n v="0"/>
  </r>
  <r>
    <x v="76"/>
    <d v="2024-08-28T00:00:00"/>
    <s v="Aug-2024"/>
    <x v="3"/>
    <d v="2024-09-25T00:00:00"/>
    <n v="28"/>
    <x v="2"/>
    <x v="5"/>
    <s v="Rio de Janeiro"/>
    <s v="Americas &gt; Brazil &gt; Rio de Janeiro"/>
    <s v="Non-Profit"/>
    <x v="1"/>
    <x v="15"/>
    <x v="6"/>
    <s v="ACC-4490"/>
    <n v="1394.65"/>
    <n v="3144.1"/>
    <s v="High"/>
    <n v="0.13400000000000001"/>
    <n v="13"/>
    <n v="35396.277799999996"/>
    <n v="1282346.3343499997"/>
    <n v="18130.45"/>
    <n v="17265.827799999995"/>
    <n v="0.4877865378263021"/>
    <n v="202408"/>
    <n v="202301"/>
    <s v="Aug-2023"/>
    <n v="19"/>
    <s v="Late"/>
    <n v="0"/>
    <n v="0"/>
  </r>
  <r>
    <x v="77"/>
    <d v="2024-06-30T00:00:00"/>
    <s v="Jun-2024"/>
    <x v="2"/>
    <d v="2024-07-02T00:00:00"/>
    <n v="2"/>
    <x v="2"/>
    <x v="5"/>
    <s v="Rio de Janeiro"/>
    <s v="Americas &gt; Brazil &gt; Rio de Janeiro"/>
    <s v="Small Business"/>
    <x v="4"/>
    <x v="4"/>
    <x v="6"/>
    <s v="ACC-9162"/>
    <n v="1112.98"/>
    <n v="2095.73"/>
    <s v="High"/>
    <n v="7.1999999999999995E-2"/>
    <n v="17"/>
    <n v="33062.236480000007"/>
    <n v="1282346.3343499997"/>
    <n v="18920.66"/>
    <n v="14141.576480000007"/>
    <n v="0.42772594916724777"/>
    <n v="202406"/>
    <n v="202301"/>
    <s v="Jun-2023"/>
    <n v="17"/>
    <s v="On Time"/>
    <n v="1"/>
    <n v="0"/>
  </r>
  <r>
    <x v="78"/>
    <d v="2023-06-14T00:00:00"/>
    <s v="Jun-2023"/>
    <x v="2"/>
    <d v="2023-06-16T00:00:00"/>
    <n v="2"/>
    <x v="3"/>
    <x v="8"/>
    <s v="Manchester"/>
    <s v="Europe &gt; United Kingdom &gt; Manchester"/>
    <s v="Non-Profit"/>
    <x v="4"/>
    <x v="11"/>
    <x v="0"/>
    <s v="CMP-5820"/>
    <n v="357.36"/>
    <n v="703.62"/>
    <s v="Low"/>
    <n v="0.25700000000000001"/>
    <n v="20"/>
    <n v="10455.7932"/>
    <n v="1282346.3343499997"/>
    <n v="7147.2000000000007"/>
    <n v="3308.5931999999993"/>
    <n v="0.31643636563125593"/>
    <n v="202306"/>
    <n v="202301"/>
    <s v="Jun-2023"/>
    <n v="5"/>
    <s v="On Time"/>
    <n v="1"/>
    <n v="1"/>
  </r>
  <r>
    <x v="79"/>
    <d v="2024-11-21T00:00:00"/>
    <s v="Nov-2024"/>
    <x v="1"/>
    <d v="2024-12-21T00:00:00"/>
    <n v="30"/>
    <x v="3"/>
    <x v="7"/>
    <s v="Marseille"/>
    <s v="Europe &gt; France &gt; Marseille"/>
    <s v="Small Business"/>
    <x v="4"/>
    <x v="2"/>
    <x v="5"/>
    <s v="MON-7943"/>
    <n v="1122.68"/>
    <n v="1997.19"/>
    <s v="High"/>
    <n v="0.186"/>
    <n v="3"/>
    <n v="4877.1379800000004"/>
    <n v="1271890.5411499997"/>
    <n v="3368.04"/>
    <n v="1509.0979800000005"/>
    <n v="0.30942285951073306"/>
    <n v="202411"/>
    <n v="202301"/>
    <s v="Nov-2023"/>
    <n v="22"/>
    <s v="Late"/>
    <n v="0"/>
    <n v="0"/>
  </r>
  <r>
    <x v="80"/>
    <d v="2023-02-08T00:00:00"/>
    <s v="Feb-2023"/>
    <x v="0"/>
    <d v="2023-02-11T00:00:00"/>
    <n v="3"/>
    <x v="0"/>
    <x v="11"/>
    <s v="Cape Town"/>
    <s v="Africa &gt; South Africa &gt; Cape Town"/>
    <s v="Corporate"/>
    <x v="4"/>
    <x v="12"/>
    <x v="2"/>
    <s v="NET-5018"/>
    <n v="1410.05"/>
    <n v="2763.95"/>
    <s v="High"/>
    <n v="0.161"/>
    <n v="26"/>
    <n v="60292.805299999993"/>
    <n v="1271890.5411499997"/>
    <n v="36661.299999999996"/>
    <n v="23631.505299999997"/>
    <n v="0.39194569206750779"/>
    <n v="202302"/>
    <n v="202301"/>
    <s v="Feb-2023"/>
    <n v="1"/>
    <s v="On Time"/>
    <n v="1"/>
    <n v="0"/>
  </r>
  <r>
    <x v="81"/>
    <d v="2023-08-19T00:00:00"/>
    <s v="Aug-2023"/>
    <x v="3"/>
    <d v="2023-09-12T00:00:00"/>
    <n v="24"/>
    <x v="2"/>
    <x v="3"/>
    <s v="Vancouver"/>
    <s v="Americas &gt; Canada &gt; Vancouver"/>
    <s v="Enterprise"/>
    <x v="0"/>
    <x v="2"/>
    <x v="1"/>
    <s v="PRN-9669"/>
    <n v="1183.95"/>
    <n v="1503.53"/>
    <s v="High"/>
    <n v="0.24099999999999999"/>
    <n v="16"/>
    <n v="18258.868320000001"/>
    <n v="1271890.5411499997"/>
    <n v="18943.2"/>
    <n v="-684.33167999999932"/>
    <n v="-3.7479413729623705E-2"/>
    <n v="202308"/>
    <n v="202301"/>
    <s v="Aug-2023"/>
    <n v="7"/>
    <s v="Late"/>
    <n v="0"/>
    <n v="1"/>
  </r>
  <r>
    <x v="82"/>
    <d v="2025-05-14T00:00:00"/>
    <s v="May-2025"/>
    <x v="2"/>
    <d v="2025-05-24T00:00:00"/>
    <n v="10"/>
    <x v="3"/>
    <x v="7"/>
    <s v="Paris"/>
    <s v="Europe &gt; France &gt; Paris"/>
    <s v="Small Business"/>
    <x v="2"/>
    <x v="11"/>
    <x v="0"/>
    <s v="CMP-2865"/>
    <n v="170.39"/>
    <n v="388.04"/>
    <s v="Low"/>
    <n v="8.4000000000000005E-2"/>
    <n v="15"/>
    <n v="5331.6696000000002"/>
    <n v="1271890.5411499997"/>
    <n v="2555.85"/>
    <n v="2775.8196000000003"/>
    <n v="0.52062858508711796"/>
    <n v="202505"/>
    <n v="202301"/>
    <s v="May-2023"/>
    <n v="28"/>
    <s v="Late"/>
    <n v="0"/>
    <n v="0"/>
  </r>
  <r>
    <x v="83"/>
    <d v="2025-04-23T00:00:00"/>
    <s v="Apr-2025"/>
    <x v="2"/>
    <d v="2025-04-24T00:00:00"/>
    <n v="1"/>
    <x v="2"/>
    <x v="10"/>
    <s v="San Francisco"/>
    <s v="Americas &gt; USA &gt; San Francisco"/>
    <s v="Non-Profit"/>
    <x v="3"/>
    <x v="14"/>
    <x v="5"/>
    <s v="MON-3371"/>
    <n v="23.24"/>
    <n v="44.57"/>
    <s v="Low"/>
    <n v="0.215"/>
    <n v="15"/>
    <n v="524.81174999999996"/>
    <n v="1266558.8715499998"/>
    <n v="348.59999999999997"/>
    <n v="176.21174999999999"/>
    <n v="0.33576182316802167"/>
    <n v="202504"/>
    <n v="202301"/>
    <s v="Apr-2023"/>
    <n v="27"/>
    <s v="On Time"/>
    <n v="1"/>
    <n v="1"/>
  </r>
  <r>
    <x v="84"/>
    <d v="2025-03-25T00:00:00"/>
    <s v="Mar-2025"/>
    <x v="0"/>
    <d v="2025-04-17T00:00:00"/>
    <n v="23"/>
    <x v="3"/>
    <x v="8"/>
    <s v="London"/>
    <s v="Europe &gt; United Kingdom &gt; London"/>
    <s v="Consumer"/>
    <x v="0"/>
    <x v="10"/>
    <x v="2"/>
    <s v="NET-7166"/>
    <n v="1421.19"/>
    <n v="1808.26"/>
    <s v="High"/>
    <n v="0.104"/>
    <n v="13"/>
    <n v="21062.61248"/>
    <n v="1266558.8715499998"/>
    <n v="18475.47"/>
    <n v="2587.1424799999986"/>
    <n v="0.12283103449093123"/>
    <n v="202503"/>
    <n v="202301"/>
    <s v="Mar-2023"/>
    <n v="26"/>
    <s v="Late"/>
    <n v="0"/>
    <n v="0"/>
  </r>
  <r>
    <x v="85"/>
    <d v="2023-12-22T00:00:00"/>
    <s v="Dec-2023"/>
    <x v="1"/>
    <d v="2023-12-23T00:00:00"/>
    <n v="1"/>
    <x v="0"/>
    <x v="11"/>
    <s v="Cape Town"/>
    <s v="Africa &gt; South Africa &gt; Cape Town"/>
    <s v="Non-Profit"/>
    <x v="2"/>
    <x v="14"/>
    <x v="0"/>
    <s v="CMP-4531"/>
    <n v="1186.18"/>
    <n v="1285.0899999999999"/>
    <s v="High"/>
    <n v="7.0000000000000007E-2"/>
    <n v="11"/>
    <n v="13146.470699999998"/>
    <n v="1266558.8715499998"/>
    <n v="13047.980000000001"/>
    <n v="98.49069999999665"/>
    <n v="7.4917977796121861E-3"/>
    <n v="202312"/>
    <n v="202301"/>
    <s v="Dec-2023"/>
    <n v="11"/>
    <s v="On Time"/>
    <n v="1"/>
    <n v="0"/>
  </r>
  <r>
    <x v="86"/>
    <d v="2024-04-06T00:00:00"/>
    <s v="Apr-2024"/>
    <x v="2"/>
    <d v="2024-04-25T00:00:00"/>
    <n v="19"/>
    <x v="1"/>
    <x v="9"/>
    <s v="Shanghai"/>
    <s v="Asia &gt; China &gt; Shanghai"/>
    <s v="Corporate"/>
    <x v="0"/>
    <x v="11"/>
    <x v="0"/>
    <s v="CMP-8196"/>
    <n v="1366.48"/>
    <n v="1678.14"/>
    <s v="High"/>
    <n v="0.154"/>
    <n v="10"/>
    <n v="14197.064400000001"/>
    <n v="1253412.4008499996"/>
    <n v="13664.8"/>
    <n v="532.26440000000184"/>
    <n v="3.7491159087790132E-2"/>
    <n v="202404"/>
    <n v="202301"/>
    <s v="Apr-2023"/>
    <n v="15"/>
    <s v="Late"/>
    <n v="0"/>
    <n v="0"/>
  </r>
  <r>
    <x v="87"/>
    <d v="2025-08-07T00:00:00"/>
    <s v="Aug-2025"/>
    <x v="3"/>
    <d v="2025-08-19T00:00:00"/>
    <n v="12"/>
    <x v="0"/>
    <x v="0"/>
    <s v="Nakuru"/>
    <s v="Africa &gt; Kenya &gt; Nakuru"/>
    <s v="Corporate"/>
    <x v="5"/>
    <x v="12"/>
    <x v="0"/>
    <s v="CMP-2854"/>
    <n v="601.51"/>
    <n v="679.35"/>
    <s v="Medium"/>
    <n v="0.188"/>
    <n v="3"/>
    <n v="1654.8966000000003"/>
    <n v="1239215.3364499996"/>
    <n v="1804.53"/>
    <n v="-149.63339999999971"/>
    <n v="-9.0418579626062243E-2"/>
    <n v="202508"/>
    <n v="202301"/>
    <s v="Aug-2023"/>
    <n v="31"/>
    <s v="Late"/>
    <n v="0"/>
    <n v="0"/>
  </r>
  <r>
    <x v="88"/>
    <d v="2024-01-21T00:00:00"/>
    <s v="Jan-2024"/>
    <x v="0"/>
    <d v="2024-01-25T00:00:00"/>
    <n v="4"/>
    <x v="1"/>
    <x v="4"/>
    <s v="Delhi"/>
    <s v="Asia &gt; India &gt; Delhi"/>
    <s v="Consumer"/>
    <x v="4"/>
    <x v="0"/>
    <x v="5"/>
    <s v="MON-8973"/>
    <n v="523.70000000000005"/>
    <n v="1109.92"/>
    <s v="Medium"/>
    <n v="0.03"/>
    <n v="11"/>
    <n v="11842.8464"/>
    <n v="1237560.4398499997"/>
    <n v="5760.7000000000007"/>
    <n v="6082.1463999999996"/>
    <n v="0.51357133197302973"/>
    <n v="202401"/>
    <n v="202301"/>
    <s v="Jan-2023"/>
    <n v="12"/>
    <s v="On Time"/>
    <n v="1"/>
    <n v="0"/>
  </r>
  <r>
    <x v="89"/>
    <d v="2023-06-29T00:00:00"/>
    <s v="Jun-2023"/>
    <x v="2"/>
    <d v="2023-07-02T00:00:00"/>
    <n v="3"/>
    <x v="1"/>
    <x v="2"/>
    <s v="Nagoya"/>
    <s v="Asia &gt; Japan &gt; Nagoya"/>
    <s v="Education"/>
    <x v="2"/>
    <x v="9"/>
    <x v="5"/>
    <s v="MON-2990"/>
    <n v="55.65"/>
    <n v="83.57"/>
    <s v="Low"/>
    <n v="6.6000000000000003E-2"/>
    <n v="8"/>
    <n v="624.43503999999996"/>
    <n v="1237560.4398499997"/>
    <n v="445.2"/>
    <n v="179.23503999999997"/>
    <n v="0.2870355257449998"/>
    <n v="202306"/>
    <n v="202303"/>
    <s v="Jun-2023"/>
    <n v="3"/>
    <s v="On Time"/>
    <n v="1"/>
    <n v="0"/>
  </r>
  <r>
    <x v="90"/>
    <d v="2025-04-28T00:00:00"/>
    <s v="Apr-2025"/>
    <x v="2"/>
    <d v="2025-05-15T00:00:00"/>
    <n v="17"/>
    <x v="1"/>
    <x v="2"/>
    <s v="Nagoya"/>
    <s v="Asia &gt; Japan &gt; Nagoya"/>
    <s v="Education"/>
    <x v="4"/>
    <x v="13"/>
    <x v="2"/>
    <s v="NET-1966"/>
    <n v="691.19"/>
    <n v="1284.3"/>
    <s v="Medium"/>
    <n v="7.3999999999999996E-2"/>
    <n v="7"/>
    <n v="8324.8326000000015"/>
    <n v="1237560.4398499997"/>
    <n v="4838.33"/>
    <n v="3486.5026000000016"/>
    <n v="0.41880753253825198"/>
    <n v="202504"/>
    <n v="202303"/>
    <s v="Apr-2023"/>
    <n v="25"/>
    <s v="Late"/>
    <n v="0"/>
    <n v="0"/>
  </r>
  <r>
    <x v="91"/>
    <d v="2025-06-09T00:00:00"/>
    <s v="Jun-2025"/>
    <x v="2"/>
    <d v="2025-06-25T00:00:00"/>
    <n v="16"/>
    <x v="1"/>
    <x v="4"/>
    <s v="Hyderabad"/>
    <s v="Asia &gt; India &gt; Hyderabad"/>
    <s v="Enterprise"/>
    <x v="3"/>
    <x v="12"/>
    <x v="3"/>
    <s v="PHN-3482"/>
    <n v="527.33000000000004"/>
    <n v="911.72"/>
    <s v="Medium"/>
    <n v="0.14399999999999999"/>
    <n v="25"/>
    <n v="19510.808000000001"/>
    <n v="1237560.4398499997"/>
    <n v="13183.250000000002"/>
    <n v="6327.5579999999991"/>
    <n v="0.32431040272652978"/>
    <n v="202506"/>
    <n v="202301"/>
    <s v="Jun-2023"/>
    <n v="29"/>
    <s v="Late"/>
    <n v="0"/>
    <n v="0"/>
  </r>
  <r>
    <x v="92"/>
    <d v="2023-06-24T00:00:00"/>
    <s v="Jun-2023"/>
    <x v="2"/>
    <d v="2023-06-25T00:00:00"/>
    <n v="1"/>
    <x v="2"/>
    <x v="5"/>
    <s v="Rio de Janeiro"/>
    <s v="Americas &gt; Brazil &gt; Rio de Janeiro"/>
    <s v="Non-Profit"/>
    <x v="0"/>
    <x v="6"/>
    <x v="1"/>
    <s v="PRN-6490"/>
    <n v="804.01"/>
    <n v="1405.07"/>
    <s v="Medium"/>
    <n v="9.6000000000000002E-2"/>
    <n v="8"/>
    <n v="10161.46624"/>
    <n v="1237560.4398499997"/>
    <n v="6432.08"/>
    <n v="3729.3862399999998"/>
    <n v="0.36701260939287439"/>
    <n v="202306"/>
    <n v="202301"/>
    <s v="Jun-2023"/>
    <n v="5"/>
    <s v="On Time"/>
    <n v="1"/>
    <n v="0"/>
  </r>
  <r>
    <x v="93"/>
    <d v="2024-10-04T00:00:00"/>
    <s v="Oct-2024"/>
    <x v="1"/>
    <d v="2024-11-02T00:00:00"/>
    <n v="29"/>
    <x v="0"/>
    <x v="1"/>
    <s v="Abuja"/>
    <s v="Africa &gt; Nigeria &gt; Abuja"/>
    <s v="Corporate"/>
    <x v="3"/>
    <x v="9"/>
    <x v="6"/>
    <s v="ACC-9038"/>
    <n v="412.09"/>
    <n v="968.94"/>
    <s v="Low"/>
    <n v="9.9000000000000005E-2"/>
    <n v="23"/>
    <n v="20079.343620000003"/>
    <n v="1237560.4398499997"/>
    <n v="9478.07"/>
    <n v="10601.273620000004"/>
    <n v="0.52796913189137418"/>
    <n v="202410"/>
    <n v="202301"/>
    <s v="Oct-2023"/>
    <n v="21"/>
    <s v="Late"/>
    <n v="0"/>
    <n v="0"/>
  </r>
  <r>
    <x v="94"/>
    <d v="2025-09-10T00:00:00"/>
    <s v="Sept-2025"/>
    <x v="3"/>
    <d v="2025-09-30T00:00:00"/>
    <n v="20"/>
    <x v="0"/>
    <x v="0"/>
    <s v="Mombasa"/>
    <s v="Africa &gt; Kenya &gt; Mombasa"/>
    <s v="Corporate"/>
    <x v="4"/>
    <x v="4"/>
    <x v="3"/>
    <s v="PHN-6954"/>
    <n v="1009.48"/>
    <n v="1088.81"/>
    <s v="High"/>
    <n v="0.16"/>
    <n v="6"/>
    <n v="5487.6023999999998"/>
    <n v="1237560.4398499997"/>
    <n v="6056.88"/>
    <n v="-569.27760000000035"/>
    <n v="-0.10373885688219693"/>
    <n v="202509"/>
    <n v="202301"/>
    <s v="Sept-2023"/>
    <n v="32"/>
    <s v="Late"/>
    <n v="0"/>
    <n v="0"/>
  </r>
  <r>
    <x v="95"/>
    <d v="2023-04-06T00:00:00"/>
    <s v="Apr-2023"/>
    <x v="2"/>
    <d v="2023-04-27T00:00:00"/>
    <n v="21"/>
    <x v="3"/>
    <x v="8"/>
    <s v="Manchester"/>
    <s v="Europe &gt; United Kingdom &gt; Manchester"/>
    <s v="Enterprise"/>
    <x v="3"/>
    <x v="2"/>
    <x v="1"/>
    <s v="PRN-8970"/>
    <n v="1084.79"/>
    <n v="2484.9899999999998"/>
    <s v="High"/>
    <n v="3.4000000000000002E-2"/>
    <n v="18"/>
    <n v="43209.006119999991"/>
    <n v="1237560.4398499997"/>
    <n v="19526.22"/>
    <n v="23682.78611999999"/>
    <n v="0.54809837685755114"/>
    <n v="202304"/>
    <n v="202301"/>
    <s v="Apr-2023"/>
    <n v="3"/>
    <s v="Late"/>
    <n v="0"/>
    <n v="0"/>
  </r>
  <r>
    <x v="96"/>
    <d v="2025-08-01T00:00:00"/>
    <s v="Aug-2025"/>
    <x v="3"/>
    <d v="2025-08-16T00:00:00"/>
    <n v="15"/>
    <x v="1"/>
    <x v="4"/>
    <s v="Not Provided"/>
    <s v="Asia &gt; India &gt; Not Provided"/>
    <s v="Enterprise"/>
    <x v="4"/>
    <x v="7"/>
    <x v="5"/>
    <s v="MON-1822"/>
    <n v="24.44"/>
    <n v="28.69"/>
    <s v="Low"/>
    <n v="0.14599999999999999"/>
    <n v="6"/>
    <n v="147.00756000000001"/>
    <n v="1237560.4398499997"/>
    <n v="146.64000000000001"/>
    <n v="0.36755999999999744"/>
    <n v="2.5002795774584476E-3"/>
    <n v="202508"/>
    <n v="202301"/>
    <s v="Aug-2023"/>
    <n v="31"/>
    <s v="Late"/>
    <n v="0"/>
    <n v="0"/>
  </r>
  <r>
    <x v="97"/>
    <d v="2024-05-28T00:00:00"/>
    <s v="May-2024"/>
    <x v="2"/>
    <d v="2024-05-30T00:00:00"/>
    <n v="2"/>
    <x v="0"/>
    <x v="1"/>
    <s v="Abuja"/>
    <s v="Africa &gt; Nigeria &gt; Abuja"/>
    <s v="Enterprise"/>
    <x v="1"/>
    <x v="9"/>
    <x v="6"/>
    <s v="ACC-5177"/>
    <n v="1227.08"/>
    <n v="1896.62"/>
    <s v="High"/>
    <n v="0"/>
    <n v="18"/>
    <n v="34139.159999999996"/>
    <n v="1237560.4398499997"/>
    <n v="22087.439999999999"/>
    <n v="12051.719999999998"/>
    <n v="0.353017473189147"/>
    <n v="202405"/>
    <n v="202301"/>
    <s v="May-2023"/>
    <n v="16"/>
    <s v="On Time"/>
    <n v="1"/>
    <n v="0"/>
  </r>
  <r>
    <x v="98"/>
    <d v="2025-07-22T00:00:00"/>
    <s v="Jul-2025"/>
    <x v="3"/>
    <d v="2025-08-18T00:00:00"/>
    <n v="27"/>
    <x v="1"/>
    <x v="9"/>
    <s v="Shenzhen"/>
    <s v="Asia &gt; China &gt; Shenzhen"/>
    <s v="Non-Profit"/>
    <x v="2"/>
    <x v="12"/>
    <x v="2"/>
    <s v="NET-1804"/>
    <n v="547.32000000000005"/>
    <n v="419.17"/>
    <s v="Medium"/>
    <n v="9.1999999999999998E-2"/>
    <n v="14"/>
    <n v="5328.4890400000004"/>
    <n v="1237560.4398499997"/>
    <n v="7662.4800000000005"/>
    <n v="-2333.9909600000001"/>
    <n v="-0.43802116181137907"/>
    <n v="202507"/>
    <n v="202301"/>
    <s v="Jul-2023"/>
    <n v="30"/>
    <s v="Late"/>
    <n v="0"/>
    <n v="0"/>
  </r>
  <r>
    <x v="99"/>
    <d v="2023-02-28T00:00:00"/>
    <s v="Feb-2023"/>
    <x v="0"/>
    <d v="2023-03-20T00:00:00"/>
    <n v="20"/>
    <x v="3"/>
    <x v="6"/>
    <s v="Berlin"/>
    <s v="Europe &gt; Germany &gt; Berlin"/>
    <s v="Small Business"/>
    <x v="4"/>
    <x v="10"/>
    <x v="4"/>
    <s v="LAP-3679"/>
    <n v="1200.78"/>
    <n v="2001.17"/>
    <s v="High"/>
    <n v="0.29199999999999998"/>
    <n v="18"/>
    <n v="25502.910479999999"/>
    <n v="1237560.4398499997"/>
    <n v="21614.04"/>
    <n v="3888.8704799999978"/>
    <n v="0.15248732034132906"/>
    <n v="202302"/>
    <n v="202301"/>
    <s v="Feb-2023"/>
    <n v="1"/>
    <s v="Late"/>
    <n v="0"/>
    <n v="1"/>
  </r>
  <r>
    <x v="100"/>
    <d v="2025-01-27T00:00:00"/>
    <s v="Jan-2025"/>
    <x v="0"/>
    <d v="2025-02-15T00:00:00"/>
    <n v="19"/>
    <x v="1"/>
    <x v="9"/>
    <s v="Shenzhen"/>
    <s v="Asia &gt; China &gt; Shenzhen"/>
    <s v="Non-Profit"/>
    <x v="4"/>
    <x v="4"/>
    <x v="3"/>
    <s v="PHN-8368"/>
    <n v="1253.22"/>
    <n v="3104.71"/>
    <s v="High"/>
    <n v="0"/>
    <n v="17"/>
    <n v="52780.07"/>
    <n v="1237560.4398499997"/>
    <n v="21304.74"/>
    <n v="31475.329999999998"/>
    <n v="0.59634877331538205"/>
    <n v="202501"/>
    <n v="202301"/>
    <s v="Jan-2023"/>
    <n v="24"/>
    <s v="Late"/>
    <n v="0"/>
    <n v="0"/>
  </r>
  <r>
    <x v="101"/>
    <d v="2024-01-13T00:00:00"/>
    <s v="Jan-2024"/>
    <x v="0"/>
    <d v="2024-01-22T00:00:00"/>
    <n v="9"/>
    <x v="1"/>
    <x v="4"/>
    <s v="Mumbai"/>
    <s v="Asia &gt; India &gt; Mumbai"/>
    <s v="Enterprise"/>
    <x v="2"/>
    <x v="1"/>
    <x v="0"/>
    <s v="CMP-8141"/>
    <n v="313.60000000000002"/>
    <n v="334.28"/>
    <s v="Low"/>
    <n v="0.14000000000000001"/>
    <n v="22"/>
    <n v="6324.5775999999996"/>
    <n v="1237560.4398499997"/>
    <n v="6899.2000000000007"/>
    <n v="-574.62240000000111"/>
    <n v="-9.0855458868905517E-2"/>
    <n v="202401"/>
    <n v="202301"/>
    <s v="Jan-2023"/>
    <n v="12"/>
    <s v="Late"/>
    <n v="0"/>
    <n v="0"/>
  </r>
  <r>
    <x v="102"/>
    <d v="2025-03-31T00:00:00"/>
    <s v="Mar-2025"/>
    <x v="0"/>
    <d v="2025-04-04T00:00:00"/>
    <n v="4"/>
    <x v="0"/>
    <x v="0"/>
    <s v="Nakuru"/>
    <s v="Africa &gt; Kenya &gt; Nakuru"/>
    <s v="Corporate"/>
    <x v="4"/>
    <x v="0"/>
    <x v="4"/>
    <s v="LAP-7136"/>
    <n v="862.08"/>
    <n v="1952.83"/>
    <s v="Medium"/>
    <n v="0"/>
    <n v="7"/>
    <n v="13669.81"/>
    <n v="1231235.8622499995"/>
    <n v="6034.56"/>
    <n v="7635.2499999999991"/>
    <n v="0.5585483631447693"/>
    <n v="202503"/>
    <n v="202301"/>
    <s v="Mar-2023"/>
    <n v="26"/>
    <s v="On Time"/>
    <n v="1"/>
    <n v="0"/>
  </r>
  <r>
    <x v="103"/>
    <d v="2024-12-05T00:00:00"/>
    <s v="Dec-2024"/>
    <x v="1"/>
    <d v="2024-12-28T00:00:00"/>
    <n v="23"/>
    <x v="2"/>
    <x v="3"/>
    <s v="Vancouver"/>
    <s v="Americas &gt; Canada &gt; Vancouver"/>
    <s v="Corporate"/>
    <x v="4"/>
    <x v="9"/>
    <x v="6"/>
    <s v="ACC-2386"/>
    <n v="107.03"/>
    <n v="242.29"/>
    <s v="Low"/>
    <n v="0.18"/>
    <n v="30"/>
    <n v="5960.3340000000007"/>
    <n v="1231235.8622499995"/>
    <n v="3210.9"/>
    <n v="2749.4340000000007"/>
    <n v="0.46128857879440988"/>
    <n v="202412"/>
    <n v="202301"/>
    <s v="Dec-2023"/>
    <n v="23"/>
    <s v="Late"/>
    <n v="0"/>
    <n v="0"/>
  </r>
  <r>
    <x v="104"/>
    <d v="2024-09-14T00:00:00"/>
    <s v="Sept-2024"/>
    <x v="3"/>
    <d v="2024-10-05T00:00:00"/>
    <n v="21"/>
    <x v="1"/>
    <x v="9"/>
    <s v="Shanghai"/>
    <s v="Asia &gt; China &gt; Shanghai"/>
    <s v="Small Business"/>
    <x v="1"/>
    <x v="10"/>
    <x v="4"/>
    <s v="LAP-5150"/>
    <n v="1405.56"/>
    <n v="2968.87"/>
    <s v="High"/>
    <n v="0.16900000000000001"/>
    <n v="5"/>
    <n v="12335.654849999999"/>
    <n v="1231235.8622499995"/>
    <n v="7027.7999999999993"/>
    <n v="5307.8548499999997"/>
    <n v="0.4302856163327235"/>
    <n v="202409"/>
    <n v="202301"/>
    <s v="Sept-2023"/>
    <n v="20"/>
    <s v="Late"/>
    <n v="0"/>
    <n v="0"/>
  </r>
  <r>
    <x v="105"/>
    <d v="2024-05-21T00:00:00"/>
    <s v="May-2024"/>
    <x v="2"/>
    <d v="2024-05-27T00:00:00"/>
    <n v="6"/>
    <x v="0"/>
    <x v="11"/>
    <s v="Johannesburg"/>
    <s v="Africa &gt; South Africa &gt; Johannesburg"/>
    <s v="Non-Profit"/>
    <x v="1"/>
    <x v="12"/>
    <x v="0"/>
    <s v="CMP-8101"/>
    <n v="1157.51"/>
    <n v="1394.3"/>
    <s v="High"/>
    <n v="0.27800000000000002"/>
    <n v="12"/>
    <n v="12080.215199999999"/>
    <n v="1231235.8622499995"/>
    <n v="13890.119999999999"/>
    <n v="-1809.9048000000003"/>
    <n v="-0.14982388724333326"/>
    <n v="202405"/>
    <n v="202301"/>
    <s v="May-2023"/>
    <n v="16"/>
    <s v="On Time"/>
    <n v="1"/>
    <n v="1"/>
  </r>
  <r>
    <x v="106"/>
    <d v="2023-05-11T00:00:00"/>
    <s v="May-2023"/>
    <x v="2"/>
    <d v="2023-06-07T00:00:00"/>
    <n v="27"/>
    <x v="0"/>
    <x v="0"/>
    <s v="Mombasa"/>
    <s v="Africa &gt; Kenya &gt; Mombasa"/>
    <s v="Corporate"/>
    <x v="1"/>
    <x v="1"/>
    <x v="3"/>
    <s v="PHN-8970"/>
    <n v="12.85"/>
    <n v="15.41"/>
    <s v="Low"/>
    <n v="0.13700000000000001"/>
    <n v="39"/>
    <n v="518.65436999999997"/>
    <n v="1219155.6470499996"/>
    <n v="501.15"/>
    <n v="17.504369999999994"/>
    <n v="3.3749585489851353E-2"/>
    <n v="202305"/>
    <n v="202301"/>
    <s v="May-2023"/>
    <n v="4"/>
    <s v="Late"/>
    <n v="0"/>
    <n v="0"/>
  </r>
  <r>
    <x v="107"/>
    <d v="2024-08-14T00:00:00"/>
    <s v="Aug-2024"/>
    <x v="3"/>
    <d v="2024-09-04T00:00:00"/>
    <n v="21"/>
    <x v="3"/>
    <x v="8"/>
    <s v="Manchester"/>
    <s v="Europe &gt; United Kingdom &gt; Manchester"/>
    <s v="Non-Profit"/>
    <x v="1"/>
    <x v="1"/>
    <x v="3"/>
    <s v="PHN-2341"/>
    <n v="1138.8"/>
    <n v="2250.81"/>
    <s v="High"/>
    <n v="0.123"/>
    <n v="12"/>
    <n v="23687.524440000001"/>
    <n v="1219155.6470499996"/>
    <n v="13665.599999999999"/>
    <n v="10021.924440000003"/>
    <n v="0.42308872188756258"/>
    <n v="202408"/>
    <n v="202301"/>
    <s v="Aug-2023"/>
    <n v="19"/>
    <s v="Late"/>
    <n v="0"/>
    <n v="0"/>
  </r>
  <r>
    <x v="108"/>
    <d v="2024-10-16T00:00:00"/>
    <s v="Oct-2024"/>
    <x v="1"/>
    <d v="2024-11-08T00:00:00"/>
    <n v="23"/>
    <x v="1"/>
    <x v="2"/>
    <s v="Osaka"/>
    <s v="Asia &gt; Japan &gt; Osaka"/>
    <s v="Small Business"/>
    <x v="0"/>
    <x v="1"/>
    <x v="2"/>
    <s v="NET-6387"/>
    <n v="82.14"/>
    <n v="166.04"/>
    <s v="Low"/>
    <n v="0"/>
    <n v="10"/>
    <n v="1660.3999999999999"/>
    <n v="1219155.6470499996"/>
    <n v="821.4"/>
    <n v="838.99999999999989"/>
    <n v="0.50529992772825827"/>
    <n v="202410"/>
    <n v="202303"/>
    <s v="Oct-2023"/>
    <n v="19"/>
    <s v="Late"/>
    <n v="0"/>
    <n v="0"/>
  </r>
  <r>
    <x v="109"/>
    <d v="2024-06-02T00:00:00"/>
    <s v="Jun-2024"/>
    <x v="2"/>
    <d v="2024-06-08T00:00:00"/>
    <n v="6"/>
    <x v="0"/>
    <x v="0"/>
    <s v="Kisumu"/>
    <s v="Africa &gt; Kenya &gt; Kisumu"/>
    <s v="Consumer"/>
    <x v="2"/>
    <x v="8"/>
    <x v="6"/>
    <s v="ACC-9820"/>
    <n v="292.94"/>
    <n v="356.55"/>
    <s v="Low"/>
    <n v="0.22900000000000001"/>
    <n v="2"/>
    <n v="549.80010000000004"/>
    <n v="1219155.6470499996"/>
    <n v="585.88"/>
    <n v="-36.079899999999952"/>
    <n v="-6.5623669402751925E-2"/>
    <n v="202406"/>
    <n v="202301"/>
    <s v="Jun-2023"/>
    <n v="17"/>
    <s v="On Time"/>
    <n v="1"/>
    <n v="1"/>
  </r>
  <r>
    <x v="110"/>
    <d v="2024-06-09T00:00:00"/>
    <s v="Jun-2024"/>
    <x v="2"/>
    <d v="2024-07-07T00:00:00"/>
    <n v="28"/>
    <x v="1"/>
    <x v="9"/>
    <s v="Shenzhen"/>
    <s v="Asia &gt; China &gt; Shenzhen"/>
    <s v="Corporate"/>
    <x v="1"/>
    <x v="1"/>
    <x v="0"/>
    <s v="CMP-6392"/>
    <n v="550.22"/>
    <n v="1025.05"/>
    <s v="Medium"/>
    <n v="0"/>
    <n v="27"/>
    <n v="27676.35"/>
    <n v="1219155.6470499996"/>
    <n v="14855.94"/>
    <n v="12820.409999999998"/>
    <n v="0.46322618408858102"/>
    <n v="202406"/>
    <n v="202301"/>
    <s v="Jun-2023"/>
    <n v="17"/>
    <s v="Late"/>
    <n v="0"/>
    <n v="0"/>
  </r>
  <r>
    <x v="111"/>
    <d v="2024-06-10T00:00:00"/>
    <s v="Jun-2024"/>
    <x v="2"/>
    <d v="2024-06-11T00:00:00"/>
    <n v="1"/>
    <x v="3"/>
    <x v="8"/>
    <s v="Birmingham"/>
    <s v="Europe &gt; United Kingdom &gt; Birmingham"/>
    <s v="Small Business"/>
    <x v="2"/>
    <x v="12"/>
    <x v="4"/>
    <s v="LAP-9230"/>
    <n v="1187.1300000000001"/>
    <n v="1795.17"/>
    <s v="High"/>
    <n v="1.2E-2"/>
    <n v="17"/>
    <n v="30151.675319999998"/>
    <n v="1191479.2970499997"/>
    <n v="20181.210000000003"/>
    <n v="9970.4653199999957"/>
    <n v="0.33067699271046663"/>
    <n v="202406"/>
    <n v="202301"/>
    <s v="Jun-2023"/>
    <n v="17"/>
    <s v="On Time"/>
    <n v="1"/>
    <n v="0"/>
  </r>
  <r>
    <x v="112"/>
    <d v="2024-06-29T00:00:00"/>
    <s v="Jun-2024"/>
    <x v="2"/>
    <d v="2024-07-26T00:00:00"/>
    <n v="27"/>
    <x v="0"/>
    <x v="11"/>
    <s v="Durban"/>
    <s v="Africa &gt; South Africa &gt; Durban"/>
    <s v="Enterprise"/>
    <x v="3"/>
    <x v="5"/>
    <x v="2"/>
    <s v="NET-4241"/>
    <n v="5.36"/>
    <n v="4.37"/>
    <s v="Low"/>
    <n v="0.11799999999999999"/>
    <n v="9"/>
    <n v="34.689059999999998"/>
    <n v="1191479.2970499997"/>
    <n v="48.24"/>
    <n v="-13.550940000000004"/>
    <n v="-0.39064016148030545"/>
    <n v="202406"/>
    <n v="202301"/>
    <s v="Jun-2023"/>
    <n v="17"/>
    <s v="Late"/>
    <n v="0"/>
    <n v="0"/>
  </r>
  <r>
    <x v="113"/>
    <d v="2025-01-17T00:00:00"/>
    <s v="Jan-2025"/>
    <x v="0"/>
    <d v="2025-01-24T00:00:00"/>
    <n v="7"/>
    <x v="2"/>
    <x v="10"/>
    <s v="Austin"/>
    <s v="Americas &gt; USA &gt; Austin"/>
    <s v="Enterprise"/>
    <x v="1"/>
    <x v="3"/>
    <x v="6"/>
    <s v="ACC-4511"/>
    <n v="142.09"/>
    <n v="218.5"/>
    <s v="Low"/>
    <n v="0.11899999999999999"/>
    <n v="11"/>
    <n v="2117.4834999999998"/>
    <n v="1191479.2970499997"/>
    <n v="1562.99"/>
    <n v="554.49349999999981"/>
    <n v="0.26186437816398561"/>
    <n v="202501"/>
    <n v="202301"/>
    <s v="Jan-2023"/>
    <n v="24"/>
    <s v="On Time"/>
    <n v="1"/>
    <n v="0"/>
  </r>
  <r>
    <x v="114"/>
    <d v="2023-11-20T00:00:00"/>
    <s v="Nov-2023"/>
    <x v="1"/>
    <d v="2023-12-05T00:00:00"/>
    <n v="15"/>
    <x v="1"/>
    <x v="2"/>
    <s v="Tokyo"/>
    <s v="Asia &gt; Japan &gt; Tokyo"/>
    <s v="Enterprise"/>
    <x v="0"/>
    <x v="4"/>
    <x v="2"/>
    <s v="NET-3033"/>
    <n v="354.24"/>
    <n v="249.87"/>
    <s v="Low"/>
    <n v="0"/>
    <n v="6"/>
    <n v="1499.22"/>
    <n v="1191479.2970499997"/>
    <n v="2125.44"/>
    <n v="-626.22"/>
    <n v="-0.41769720254532355"/>
    <n v="202311"/>
    <n v="202303"/>
    <s v="Nov-2023"/>
    <n v="8"/>
    <s v="Late"/>
    <n v="0"/>
    <n v="0"/>
  </r>
  <r>
    <x v="115"/>
    <d v="2023-03-02T00:00:00"/>
    <s v="Mar-2023"/>
    <x v="0"/>
    <d v="2023-03-05T00:00:00"/>
    <n v="3"/>
    <x v="2"/>
    <x v="5"/>
    <s v="Brasília"/>
    <s v="Americas &gt; Brazil &gt; Brasília"/>
    <s v="Enterprise"/>
    <x v="4"/>
    <x v="3"/>
    <x v="5"/>
    <s v="MON-2828"/>
    <n v="1473.58"/>
    <n v="3436.52"/>
    <s v="High"/>
    <n v="0.108"/>
    <n v="8"/>
    <n v="24523.006720000001"/>
    <n v="1191479.2970499997"/>
    <n v="11788.64"/>
    <n v="12734.366720000002"/>
    <n v="0.51928243813652564"/>
    <n v="202303"/>
    <n v="202301"/>
    <s v="Mar-2023"/>
    <n v="2"/>
    <s v="On Time"/>
    <n v="1"/>
    <n v="0"/>
  </r>
  <r>
    <x v="116"/>
    <d v="2025-06-03T00:00:00"/>
    <s v="Jun-2025"/>
    <x v="2"/>
    <d v="2025-06-10T00:00:00"/>
    <n v="7"/>
    <x v="2"/>
    <x v="3"/>
    <s v="Toronto"/>
    <s v="Americas &gt; Canada &gt; Toronto"/>
    <s v="Consumer"/>
    <x v="3"/>
    <x v="7"/>
    <x v="1"/>
    <s v="PRN-6429"/>
    <n v="75.180000000000007"/>
    <n v="53.45"/>
    <s v="Low"/>
    <n v="0.157"/>
    <n v="17"/>
    <n v="765.99195000000009"/>
    <n v="1191479.2970499997"/>
    <n v="1278.0600000000002"/>
    <n v="-512.06805000000008"/>
    <n v="-0.66850317421743144"/>
    <n v="202506"/>
    <n v="202301"/>
    <s v="Jun-2023"/>
    <n v="29"/>
    <s v="On Time"/>
    <n v="1"/>
    <n v="0"/>
  </r>
  <r>
    <x v="117"/>
    <d v="2024-12-27T00:00:00"/>
    <s v="Dec-2024"/>
    <x v="1"/>
    <d v="2025-01-02T00:00:00"/>
    <n v="6"/>
    <x v="3"/>
    <x v="6"/>
    <s v="Frankfurt"/>
    <s v="Europe &gt; Germany &gt; Frankfurt"/>
    <s v="Education"/>
    <x v="4"/>
    <x v="9"/>
    <x v="4"/>
    <s v="LAP-8214"/>
    <n v="1391.99"/>
    <n v="3469.7"/>
    <s v="High"/>
    <n v="0.184"/>
    <n v="23"/>
    <n v="65119.329599999997"/>
    <n v="1191479.2970499997"/>
    <n v="32015.77"/>
    <n v="33103.559599999993"/>
    <n v="0.50835227886006973"/>
    <n v="202412"/>
    <n v="202301"/>
    <s v="Dec-2023"/>
    <n v="23"/>
    <s v="On Time"/>
    <n v="1"/>
    <n v="0"/>
  </r>
  <r>
    <x v="118"/>
    <d v="2023-06-09T00:00:00"/>
    <s v="Jun-2023"/>
    <x v="2"/>
    <d v="2023-06-19T00:00:00"/>
    <n v="10"/>
    <x v="1"/>
    <x v="9"/>
    <s v="Beijing"/>
    <s v="Asia &gt; China &gt; Beijing"/>
    <s v="Enterprise"/>
    <x v="0"/>
    <x v="9"/>
    <x v="5"/>
    <s v="MON-9194"/>
    <n v="339.61"/>
    <n v="621.02"/>
    <s v="Low"/>
    <n v="7.0999999999999994E-2"/>
    <n v="10"/>
    <n v="5769.2758000000003"/>
    <n v="1191479.2970499997"/>
    <n v="3396.1000000000004"/>
    <n v="2373.1758"/>
    <n v="0.41134726129750981"/>
    <n v="202306"/>
    <n v="202301"/>
    <s v="Jun-2023"/>
    <n v="5"/>
    <s v="Late"/>
    <n v="0"/>
    <n v="0"/>
  </r>
  <r>
    <x v="119"/>
    <d v="2025-07-09T00:00:00"/>
    <s v="Jul-2025"/>
    <x v="3"/>
    <d v="2025-07-18T00:00:00"/>
    <n v="9"/>
    <x v="2"/>
    <x v="3"/>
    <s v="Vancouver"/>
    <s v="Americas &gt; Canada &gt; Vancouver"/>
    <s v="Education"/>
    <x v="3"/>
    <x v="2"/>
    <x v="4"/>
    <s v="LAP-2218"/>
    <n v="57.96"/>
    <n v="88.51"/>
    <s v="Low"/>
    <n v="4.2999999999999997E-2"/>
    <n v="7"/>
    <n v="592.92849000000001"/>
    <n v="1191479.2970499997"/>
    <n v="405.72"/>
    <n v="187.20848999999998"/>
    <n v="0.3157353595877978"/>
    <n v="202507"/>
    <n v="202301"/>
    <s v="Jul-2023"/>
    <n v="30"/>
    <s v="Late"/>
    <n v="0"/>
    <n v="0"/>
  </r>
  <r>
    <x v="120"/>
    <d v="2025-06-19T00:00:00"/>
    <s v="Jun-2025"/>
    <x v="2"/>
    <d v="2025-07-12T00:00:00"/>
    <n v="23"/>
    <x v="3"/>
    <x v="8"/>
    <s v="Not Provided"/>
    <s v="Europe &gt; United Kingdom &gt; Not Provided"/>
    <s v="Non-Profit"/>
    <x v="4"/>
    <x v="15"/>
    <x v="2"/>
    <s v="NET-6370"/>
    <n v="801.24"/>
    <n v="1959.09"/>
    <s v="Medium"/>
    <n v="0.123"/>
    <n v="23"/>
    <n v="39516.804389999998"/>
    <n v="1191479.2970499997"/>
    <n v="18428.52"/>
    <n v="21088.284389999997"/>
    <n v="0.53365358650651762"/>
    <n v="202506"/>
    <n v="202301"/>
    <s v="Jun-2023"/>
    <n v="29"/>
    <s v="Late"/>
    <n v="0"/>
    <n v="0"/>
  </r>
  <r>
    <x v="121"/>
    <d v="2023-11-19T00:00:00"/>
    <s v="Nov-2023"/>
    <x v="1"/>
    <d v="2023-12-13T00:00:00"/>
    <n v="24"/>
    <x v="3"/>
    <x v="7"/>
    <s v="Lyon"/>
    <s v="Europe &gt; France &gt; Lyon"/>
    <s v="Non-Profit"/>
    <x v="4"/>
    <x v="10"/>
    <x v="5"/>
    <s v="MON-3745"/>
    <n v="1297.42"/>
    <n v="2742.97"/>
    <s v="High"/>
    <n v="6.9000000000000006E-2"/>
    <n v="9"/>
    <n v="22983.34563"/>
    <n v="1191479.2970499997"/>
    <n v="11676.78"/>
    <n v="11306.565629999999"/>
    <n v="0.49194602961727291"/>
    <n v="202311"/>
    <n v="202301"/>
    <s v="Nov-2023"/>
    <n v="10"/>
    <s v="Late"/>
    <n v="0"/>
    <n v="0"/>
  </r>
  <r>
    <x v="122"/>
    <d v="2023-12-29T00:00:00"/>
    <s v="Dec-2023"/>
    <x v="1"/>
    <d v="2024-01-20T00:00:00"/>
    <n v="22"/>
    <x v="0"/>
    <x v="0"/>
    <s v="Kisumu"/>
    <s v="Africa &gt; Kenya &gt; Kisumu"/>
    <s v="Corporate"/>
    <x v="4"/>
    <x v="4"/>
    <x v="3"/>
    <s v="PHN-7924"/>
    <n v="1395.49"/>
    <n v="1679.42"/>
    <s v="High"/>
    <n v="0.20300000000000001"/>
    <n v="12"/>
    <n v="16061.972879999999"/>
    <n v="1191479.2970499997"/>
    <n v="16745.88"/>
    <n v="-683.90712000000167"/>
    <n v="-4.2579272490964493E-2"/>
    <n v="202312"/>
    <n v="202301"/>
    <s v="Dec-2023"/>
    <n v="11"/>
    <s v="Late"/>
    <n v="0"/>
    <n v="1"/>
  </r>
  <r>
    <x v="123"/>
    <d v="2024-11-02T00:00:00"/>
    <s v="Nov-2024"/>
    <x v="1"/>
    <d v="2024-11-29T00:00:00"/>
    <n v="27"/>
    <x v="2"/>
    <x v="5"/>
    <s v="Brasília"/>
    <s v="Americas &gt; Brazil &gt; Brasília"/>
    <s v="Small Business"/>
    <x v="4"/>
    <x v="2"/>
    <x v="2"/>
    <s v="NET-8561"/>
    <n v="1363.51"/>
    <n v="1433.9"/>
    <s v="High"/>
    <n v="5.7000000000000002E-2"/>
    <n v="8"/>
    <n v="10817.3416"/>
    <n v="1191479.2970499997"/>
    <n v="10908.08"/>
    <n v="-90.738400000000183"/>
    <n v="-8.3882346842037592E-3"/>
    <n v="202411"/>
    <n v="202301"/>
    <s v="Nov-2023"/>
    <n v="22"/>
    <s v="Late"/>
    <n v="0"/>
    <n v="0"/>
  </r>
  <r>
    <x v="124"/>
    <d v="2023-08-21T00:00:00"/>
    <s v="Aug-2023"/>
    <x v="3"/>
    <d v="2023-09-04T00:00:00"/>
    <n v="14"/>
    <x v="2"/>
    <x v="3"/>
    <s v="Montreal"/>
    <s v="Americas &gt; Canada &gt; Montreal"/>
    <s v="Education"/>
    <x v="3"/>
    <x v="9"/>
    <x v="0"/>
    <s v="CMP-2136"/>
    <n v="178.19"/>
    <n v="284.43"/>
    <s v="Low"/>
    <n v="8.8999999999999996E-2"/>
    <n v="8"/>
    <n v="2072.9258400000003"/>
    <n v="1191479.2970499997"/>
    <n v="1425.52"/>
    <n v="647.40584000000035"/>
    <n v="0.31231500302972742"/>
    <n v="202308"/>
    <n v="202301"/>
    <s v="Aug-2023"/>
    <n v="7"/>
    <s v="Late"/>
    <n v="0"/>
    <n v="0"/>
  </r>
  <r>
    <x v="125"/>
    <d v="2023-08-12T00:00:00"/>
    <s v="Aug-2023"/>
    <x v="3"/>
    <d v="2023-09-06T00:00:00"/>
    <n v="25"/>
    <x v="1"/>
    <x v="9"/>
    <s v="Shanghai"/>
    <s v="Asia &gt; China &gt; Shanghai"/>
    <s v="Small Business"/>
    <x v="0"/>
    <x v="5"/>
    <x v="0"/>
    <s v="CMP-6352"/>
    <n v="950.77"/>
    <n v="694.78"/>
    <s v="Medium"/>
    <n v="8.4000000000000005E-2"/>
    <n v="14"/>
    <n v="8909.8587200000002"/>
    <n v="1189406.3712099995"/>
    <n v="13310.779999999999"/>
    <n v="-4400.9212799999987"/>
    <n v="-0.49393839097821279"/>
    <n v="202308"/>
    <n v="202301"/>
    <s v="Aug-2023"/>
    <n v="7"/>
    <s v="Late"/>
    <n v="0"/>
    <n v="0"/>
  </r>
  <r>
    <x v="126"/>
    <d v="2024-06-07T00:00:00"/>
    <s v="Jun-2024"/>
    <x v="2"/>
    <d v="2024-06-26T00:00:00"/>
    <n v="19"/>
    <x v="3"/>
    <x v="6"/>
    <s v="Berlin"/>
    <s v="Europe &gt; Germany &gt; Berlin"/>
    <s v="Non-Profit"/>
    <x v="2"/>
    <x v="12"/>
    <x v="0"/>
    <s v="CMP-2040"/>
    <n v="1064.32"/>
    <n v="1848.39"/>
    <s v="High"/>
    <n v="7.2999999999999995E-2"/>
    <n v="38"/>
    <n v="65111.38614000001"/>
    <n v="1180496.5124899996"/>
    <n v="40444.159999999996"/>
    <n v="24667.226140000013"/>
    <n v="0.3788465827921631"/>
    <n v="202406"/>
    <n v="202301"/>
    <s v="Jun-2023"/>
    <n v="17"/>
    <s v="Late"/>
    <n v="0"/>
    <n v="0"/>
  </r>
  <r>
    <x v="127"/>
    <d v="2025-08-05T00:00:00"/>
    <s v="Aug-2025"/>
    <x v="3"/>
    <d v="2025-08-14T00:00:00"/>
    <n v="9"/>
    <x v="3"/>
    <x v="8"/>
    <s v="London"/>
    <s v="Europe &gt; United Kingdom &gt; London"/>
    <s v="Non-Profit"/>
    <x v="4"/>
    <x v="6"/>
    <x v="0"/>
    <s v="CMP-6346"/>
    <n v="41.76"/>
    <n v="45.19"/>
    <s v="Low"/>
    <n v="0.17899999999999999"/>
    <n v="23"/>
    <n v="853.32276999999988"/>
    <n v="1115385.1263499996"/>
    <n v="960.4799999999999"/>
    <n v="-107.15723000000003"/>
    <n v="-0.12557643340514638"/>
    <n v="202508"/>
    <n v="202301"/>
    <s v="Aug-2023"/>
    <n v="31"/>
    <s v="Late"/>
    <n v="0"/>
    <n v="0"/>
  </r>
  <r>
    <x v="128"/>
    <d v="2024-05-30T00:00:00"/>
    <s v="May-2024"/>
    <x v="2"/>
    <d v="2024-06-13T00:00:00"/>
    <n v="14"/>
    <x v="2"/>
    <x v="10"/>
    <s v="San Francisco"/>
    <s v="Americas &gt; USA &gt; San Francisco"/>
    <s v="Small Business"/>
    <x v="0"/>
    <x v="9"/>
    <x v="3"/>
    <s v="PHN-4356"/>
    <n v="157.78"/>
    <n v="361.1"/>
    <s v="Low"/>
    <n v="0.187"/>
    <n v="9"/>
    <n v="2642.1686999999997"/>
    <n v="1114531.8035799996"/>
    <n v="1420.02"/>
    <n v="1222.1486999999997"/>
    <n v="0.46255513510549112"/>
    <n v="202405"/>
    <n v="202301"/>
    <s v="May-2023"/>
    <n v="16"/>
    <s v="Late"/>
    <n v="0"/>
    <n v="0"/>
  </r>
  <r>
    <x v="129"/>
    <d v="2023-01-22T00:00:00"/>
    <s v="Jan-2023"/>
    <x v="0"/>
    <d v="2023-01-30T00:00:00"/>
    <n v="8"/>
    <x v="2"/>
    <x v="10"/>
    <s v="San Francisco"/>
    <s v="Americas &gt; USA &gt; San Francisco"/>
    <s v="Small Business"/>
    <x v="1"/>
    <x v="8"/>
    <x v="2"/>
    <s v="NET-4155"/>
    <n v="413.52"/>
    <n v="1004.34"/>
    <s v="Low"/>
    <n v="0.111"/>
    <n v="18"/>
    <n v="16071.44868"/>
    <n v="1114531.8035799996"/>
    <n v="7443.36"/>
    <n v="8628.0886800000007"/>
    <n v="0.53685817948304593"/>
    <n v="202301"/>
    <n v="202301"/>
    <s v="Jan-2023"/>
    <n v="0"/>
    <s v="Late"/>
    <n v="0"/>
    <n v="0"/>
  </r>
  <r>
    <x v="130"/>
    <d v="2025-02-12T00:00:00"/>
    <s v="Feb-2025"/>
    <x v="0"/>
    <d v="2025-02-28T00:00:00"/>
    <n v="16"/>
    <x v="2"/>
    <x v="5"/>
    <s v="São Paulo"/>
    <s v="Americas &gt; Brazil &gt; São Paulo"/>
    <s v="Non-Profit"/>
    <x v="4"/>
    <x v="5"/>
    <x v="5"/>
    <s v="MON-5179"/>
    <n v="414.95"/>
    <n v="1027.73"/>
    <s v="Low"/>
    <n v="6.3E-2"/>
    <n v="8"/>
    <n v="7703.8640800000003"/>
    <n v="1114531.8035799996"/>
    <n v="3319.6"/>
    <n v="4384.2640800000008"/>
    <n v="0.56909935513815568"/>
    <n v="202502"/>
    <n v="202301"/>
    <s v="Feb-2023"/>
    <n v="25"/>
    <s v="Late"/>
    <n v="0"/>
    <n v="0"/>
  </r>
  <r>
    <x v="131"/>
    <d v="2025-03-03T00:00:00"/>
    <s v="Mar-2025"/>
    <x v="0"/>
    <d v="2025-03-24T00:00:00"/>
    <n v="21"/>
    <x v="0"/>
    <x v="1"/>
    <s v="Abuja"/>
    <s v="Africa &gt; Nigeria &gt; Abuja"/>
    <s v="Enterprise"/>
    <x v="4"/>
    <x v="10"/>
    <x v="6"/>
    <s v="ACC-4056"/>
    <n v="555.95000000000005"/>
    <n v="468.09"/>
    <s v="Medium"/>
    <n v="0.14199999999999999"/>
    <n v="11"/>
    <n v="4417.8334199999999"/>
    <n v="1114531.8035799996"/>
    <n v="6115.4500000000007"/>
    <n v="-1697.6165800000008"/>
    <n v="-0.38426450674095375"/>
    <n v="202503"/>
    <n v="202301"/>
    <s v="Mar-2023"/>
    <n v="26"/>
    <s v="Late"/>
    <n v="0"/>
    <n v="0"/>
  </r>
  <r>
    <x v="132"/>
    <d v="2023-01-27T00:00:00"/>
    <s v="Jan-2023"/>
    <x v="0"/>
    <d v="2023-01-31T00:00:00"/>
    <n v="4"/>
    <x v="3"/>
    <x v="8"/>
    <s v="Manchester"/>
    <s v="Europe &gt; United Kingdom &gt; Manchester"/>
    <s v="Enterprise"/>
    <x v="1"/>
    <x v="13"/>
    <x v="4"/>
    <s v="LAP-9782"/>
    <n v="941.2"/>
    <n v="668.02"/>
    <s v="Medium"/>
    <n v="0.22"/>
    <n v="16"/>
    <n v="8336.8896000000004"/>
    <n v="1114531.8035799996"/>
    <n v="15059.2"/>
    <n v="-6722.3104000000003"/>
    <n v="-0.80633314371825193"/>
    <n v="202301"/>
    <n v="202301"/>
    <s v="Jan-2023"/>
    <n v="0"/>
    <s v="On Time"/>
    <n v="1"/>
    <n v="1"/>
  </r>
  <r>
    <x v="133"/>
    <d v="2025-01-09T00:00:00"/>
    <s v="Jan-2025"/>
    <x v="0"/>
    <d v="2025-01-15T00:00:00"/>
    <n v="6"/>
    <x v="1"/>
    <x v="9"/>
    <s v="Beijing"/>
    <s v="Asia &gt; China &gt; Beijing"/>
    <s v="Education"/>
    <x v="1"/>
    <x v="0"/>
    <x v="3"/>
    <s v="PHN-2875"/>
    <n v="304.77999999999997"/>
    <n v="537.27"/>
    <s v="Low"/>
    <n v="0.187"/>
    <n v="8"/>
    <n v="3494.4040799999998"/>
    <n v="1114531.8035799996"/>
    <n v="2438.2399999999998"/>
    <n v="1056.16408"/>
    <n v="0.3022444044307549"/>
    <n v="202501"/>
    <n v="202301"/>
    <s v="Jan-2023"/>
    <n v="24"/>
    <s v="On Time"/>
    <n v="1"/>
    <n v="0"/>
  </r>
  <r>
    <x v="134"/>
    <d v="2024-12-21T00:00:00"/>
    <s v="Dec-2024"/>
    <x v="1"/>
    <d v="2024-12-26T00:00:00"/>
    <n v="5"/>
    <x v="2"/>
    <x v="10"/>
    <s v="San Francisco"/>
    <s v="Americas &gt; USA &gt; San Francisco"/>
    <s v="Consumer"/>
    <x v="2"/>
    <x v="12"/>
    <x v="1"/>
    <s v="PRN-4788"/>
    <n v="699.57"/>
    <n v="572.71"/>
    <s v="Medium"/>
    <n v="0.192"/>
    <n v="26"/>
    <n v="12031.491680000001"/>
    <n v="1114531.8035799996"/>
    <n v="18188.82"/>
    <n v="-6157.3283199999987"/>
    <n v="-0.51176765805651114"/>
    <n v="202412"/>
    <n v="202301"/>
    <s v="Dec-2023"/>
    <n v="23"/>
    <s v="On Time"/>
    <n v="1"/>
    <n v="0"/>
  </r>
  <r>
    <x v="135"/>
    <d v="2023-04-12T00:00:00"/>
    <s v="Apr-2023"/>
    <x v="2"/>
    <d v="2023-04-17T00:00:00"/>
    <n v="5"/>
    <x v="3"/>
    <x v="7"/>
    <s v="Lyon"/>
    <s v="Europe &gt; France &gt; Lyon"/>
    <s v="Enterprise"/>
    <x v="4"/>
    <x v="6"/>
    <x v="5"/>
    <s v="MON-3043"/>
    <n v="1087.81"/>
    <n v="2323.87"/>
    <s v="High"/>
    <n v="9.4E-2"/>
    <n v="13"/>
    <n v="27370.540859999997"/>
    <n v="1114531.8035799996"/>
    <n v="14141.529999999999"/>
    <n v="13229.010859999999"/>
    <n v="0.48333026839572651"/>
    <n v="202304"/>
    <n v="202301"/>
    <s v="Apr-2023"/>
    <n v="3"/>
    <s v="On Time"/>
    <n v="1"/>
    <n v="0"/>
  </r>
  <r>
    <x v="136"/>
    <d v="2024-12-14T00:00:00"/>
    <s v="Dec-2024"/>
    <x v="1"/>
    <d v="2025-01-12T00:00:00"/>
    <n v="29"/>
    <x v="1"/>
    <x v="9"/>
    <s v="Shenzhen"/>
    <s v="Asia &gt; China &gt; Shenzhen"/>
    <s v="Education"/>
    <x v="1"/>
    <x v="1"/>
    <x v="0"/>
    <s v="CMP-3720"/>
    <n v="1412.15"/>
    <n v="1631.04"/>
    <s v="High"/>
    <n v="8.9999999999999993E-3"/>
    <n v="6"/>
    <n v="9698.1638399999993"/>
    <n v="1114531.8035799996"/>
    <n v="8472.9000000000015"/>
    <n v="1225.2638399999978"/>
    <n v="0.12633977526203535"/>
    <n v="202412"/>
    <n v="202301"/>
    <s v="Dec-2023"/>
    <n v="23"/>
    <s v="Late"/>
    <n v="0"/>
    <n v="0"/>
  </r>
  <r>
    <x v="137"/>
    <d v="2023-03-31T00:00:00"/>
    <s v="Mar-2023"/>
    <x v="0"/>
    <d v="2023-04-12T00:00:00"/>
    <n v="12"/>
    <x v="0"/>
    <x v="0"/>
    <s v="Mombasa"/>
    <s v="Africa &gt; Kenya &gt; Mombasa"/>
    <s v="Small Business"/>
    <x v="1"/>
    <x v="0"/>
    <x v="3"/>
    <s v="PHN-8014"/>
    <n v="304.22000000000003"/>
    <n v="393.31"/>
    <s v="Low"/>
    <n v="0.26500000000000001"/>
    <n v="15"/>
    <n v="4336.2427499999994"/>
    <n v="1104833.6397399995"/>
    <n v="4563.3"/>
    <n v="-227.05725000000075"/>
    <n v="-5.2362670424759034E-2"/>
    <n v="202303"/>
    <n v="202301"/>
    <s v="Mar-2023"/>
    <n v="2"/>
    <s v="Late"/>
    <n v="0"/>
    <n v="1"/>
  </r>
  <r>
    <x v="138"/>
    <d v="2024-11-20T00:00:00"/>
    <s v="Nov-2024"/>
    <x v="1"/>
    <d v="2024-12-15T00:00:00"/>
    <n v="25"/>
    <x v="3"/>
    <x v="7"/>
    <s v="Paris"/>
    <s v="Europe &gt; France &gt; Paris"/>
    <s v="Corporate"/>
    <x v="1"/>
    <x v="3"/>
    <x v="1"/>
    <s v="PRN-4911"/>
    <n v="1203.58"/>
    <n v="1856.16"/>
    <s v="High"/>
    <n v="0.129"/>
    <n v="22"/>
    <n v="35567.737920000007"/>
    <n v="1104833.6397399995"/>
    <n v="26478.76"/>
    <n v="9088.9779200000085"/>
    <n v="0.25553994860295032"/>
    <n v="202411"/>
    <n v="202301"/>
    <s v="Nov-2023"/>
    <n v="22"/>
    <s v="Late"/>
    <n v="0"/>
    <n v="0"/>
  </r>
  <r>
    <x v="139"/>
    <d v="2024-02-14T00:00:00"/>
    <s v="Feb-2024"/>
    <x v="0"/>
    <d v="2024-02-14T00:00:00"/>
    <n v="0"/>
    <x v="1"/>
    <x v="9"/>
    <s v="Beijing"/>
    <s v="Asia &gt; China &gt; Beijing"/>
    <s v="Corporate"/>
    <x v="3"/>
    <x v="4"/>
    <x v="6"/>
    <s v="ACC-1021"/>
    <n v="65.930000000000007"/>
    <n v="84.9"/>
    <s v="Low"/>
    <n v="0.25900000000000001"/>
    <n v="23"/>
    <n v="1446.9507000000001"/>
    <n v="1104833.6397399995"/>
    <n v="1516.39"/>
    <n v="-69.439300000000003"/>
    <n v="-4.7990093926489688E-2"/>
    <n v="202402"/>
    <n v="202301"/>
    <s v="Feb-2023"/>
    <n v="13"/>
    <s v="On Time"/>
    <n v="1"/>
    <n v="1"/>
  </r>
  <r>
    <x v="140"/>
    <d v="2023-05-02T00:00:00"/>
    <s v="May-2023"/>
    <x v="2"/>
    <d v="2023-05-18T00:00:00"/>
    <n v="16"/>
    <x v="1"/>
    <x v="4"/>
    <s v="Delhi"/>
    <s v="Asia &gt; India &gt; Delhi"/>
    <s v="Small Business"/>
    <x v="2"/>
    <x v="11"/>
    <x v="5"/>
    <s v="MON-2266"/>
    <n v="1463.92"/>
    <n v="2252.2399999999998"/>
    <s v="High"/>
    <n v="0.11799999999999999"/>
    <n v="44"/>
    <n v="87404.929919999995"/>
    <n v="1104833.6397399995"/>
    <n v="64412.480000000003"/>
    <n v="22992.449919999992"/>
    <n v="0.26305667130040061"/>
    <n v="202305"/>
    <n v="202301"/>
    <s v="May-2023"/>
    <n v="4"/>
    <s v="Late"/>
    <n v="0"/>
    <n v="0"/>
  </r>
  <r>
    <x v="141"/>
    <d v="2024-12-23T00:00:00"/>
    <s v="Dec-2024"/>
    <x v="1"/>
    <d v="2025-01-11T00:00:00"/>
    <n v="19"/>
    <x v="3"/>
    <x v="6"/>
    <s v="Berlin"/>
    <s v="Europe &gt; Germany &gt; Berlin"/>
    <s v="Education"/>
    <x v="0"/>
    <x v="11"/>
    <x v="3"/>
    <s v="PHN-8057"/>
    <n v="501.81"/>
    <n v="921.62"/>
    <s v="Medium"/>
    <n v="0.01"/>
    <n v="9"/>
    <n v="8211.6342000000004"/>
    <n v="1104833.6397399995"/>
    <n v="4516.29"/>
    <n v="3695.3442000000005"/>
    <n v="0.45001325071202031"/>
    <n v="202412"/>
    <n v="202301"/>
    <s v="Dec-2023"/>
    <n v="23"/>
    <s v="Late"/>
    <n v="0"/>
    <n v="0"/>
  </r>
  <r>
    <x v="142"/>
    <d v="2023-07-26T00:00:00"/>
    <s v="Jul-2023"/>
    <x v="3"/>
    <d v="2023-08-25T00:00:00"/>
    <n v="30"/>
    <x v="2"/>
    <x v="10"/>
    <s v="New York"/>
    <s v="Americas &gt; USA &gt; New York"/>
    <s v="Consumer"/>
    <x v="0"/>
    <x v="12"/>
    <x v="6"/>
    <s v="ACC-7078"/>
    <n v="1261.48"/>
    <n v="1643.18"/>
    <s v="High"/>
    <n v="0.151"/>
    <n v="23"/>
    <n v="32086.37586"/>
    <n v="1104833.6397399995"/>
    <n v="29014.04"/>
    <n v="3072.3358599999992"/>
    <n v="9.5752037357079045E-2"/>
    <n v="202307"/>
    <n v="202301"/>
    <s v="Jul-2023"/>
    <n v="6"/>
    <s v="Late"/>
    <n v="0"/>
    <n v="0"/>
  </r>
  <r>
    <x v="143"/>
    <d v="2024-06-15T00:00:00"/>
    <s v="Jun-2024"/>
    <x v="2"/>
    <d v="2024-07-06T00:00:00"/>
    <n v="21"/>
    <x v="2"/>
    <x v="3"/>
    <s v="Toronto"/>
    <s v="Americas &gt; Canada &gt; Toronto"/>
    <s v="Enterprise"/>
    <x v="3"/>
    <x v="4"/>
    <x v="1"/>
    <s v="PRN-4453"/>
    <n v="817.23"/>
    <n v="1467.17"/>
    <s v="Medium"/>
    <n v="0.245"/>
    <n v="9"/>
    <n v="9969.4201499999999"/>
    <n v="1104833.6397399995"/>
    <n v="7355.07"/>
    <n v="2614.3501500000002"/>
    <n v="0.26223693160328893"/>
    <n v="202406"/>
    <n v="202301"/>
    <s v="Jun-2023"/>
    <n v="17"/>
    <s v="Late"/>
    <n v="0"/>
    <n v="1"/>
  </r>
  <r>
    <x v="144"/>
    <d v="2023-07-05T00:00:00"/>
    <s v="Jul-2023"/>
    <x v="3"/>
    <d v="2023-07-14T00:00:00"/>
    <n v="9"/>
    <x v="2"/>
    <x v="5"/>
    <s v="Brasília"/>
    <s v="Americas &gt; Brazil &gt; Brasília"/>
    <s v="Enterprise"/>
    <x v="4"/>
    <x v="5"/>
    <x v="2"/>
    <s v="NET-2394"/>
    <n v="578.85"/>
    <n v="998.76"/>
    <s v="Medium"/>
    <n v="8.2000000000000003E-2"/>
    <n v="28"/>
    <n v="25672.127039999999"/>
    <n v="1104833.6397399995"/>
    <n v="16207.800000000001"/>
    <n v="9464.3270399999983"/>
    <n v="0.36866158480960831"/>
    <n v="202307"/>
    <n v="202301"/>
    <s v="Jul-2023"/>
    <n v="6"/>
    <s v="Late"/>
    <n v="0"/>
    <n v="0"/>
  </r>
  <r>
    <x v="145"/>
    <d v="2023-11-30T00:00:00"/>
    <s v="Nov-2023"/>
    <x v="1"/>
    <d v="2023-12-01T00:00:00"/>
    <n v="1"/>
    <x v="0"/>
    <x v="11"/>
    <s v="Durban"/>
    <s v="Africa &gt; South Africa &gt; Durban"/>
    <s v="Small Business"/>
    <x v="2"/>
    <x v="6"/>
    <x v="4"/>
    <s v="LAP-1525"/>
    <n v="275.56"/>
    <n v="630.72"/>
    <s v="Low"/>
    <n v="0.107"/>
    <n v="23"/>
    <n v="12954.358080000002"/>
    <n v="1104833.6397399995"/>
    <n v="6337.88"/>
    <n v="6616.4780800000017"/>
    <n v="0.5107530638831933"/>
    <n v="202311"/>
    <n v="202301"/>
    <s v="Nov-2023"/>
    <n v="10"/>
    <s v="On Time"/>
    <n v="1"/>
    <n v="0"/>
  </r>
  <r>
    <x v="146"/>
    <d v="2025-09-11T00:00:00"/>
    <s v="Sept-2025"/>
    <x v="3"/>
    <d v="2025-09-28T00:00:00"/>
    <n v="17"/>
    <x v="0"/>
    <x v="0"/>
    <s v="Nairobi"/>
    <s v="Africa &gt; Kenya &gt; Nairobi"/>
    <s v="Non-Profit"/>
    <x v="3"/>
    <x v="1"/>
    <x v="4"/>
    <s v="LAP-3278"/>
    <n v="891.46"/>
    <n v="728.61"/>
    <s v="Medium"/>
    <n v="0.185"/>
    <n v="6"/>
    <n v="3562.9028999999996"/>
    <n v="1104833.6397399995"/>
    <n v="5348.76"/>
    <n v="-1785.8571000000006"/>
    <n v="-0.50123653383874167"/>
    <n v="202509"/>
    <n v="202301"/>
    <s v="Sept-2023"/>
    <n v="32"/>
    <s v="Late"/>
    <n v="0"/>
    <n v="0"/>
  </r>
  <r>
    <x v="147"/>
    <d v="2024-04-04T00:00:00"/>
    <s v="Apr-2024"/>
    <x v="2"/>
    <d v="2024-04-24T00:00:00"/>
    <n v="20"/>
    <x v="3"/>
    <x v="6"/>
    <s v="Frankfurt"/>
    <s v="Europe &gt; Germany &gt; Frankfurt"/>
    <s v="Non-Profit"/>
    <x v="4"/>
    <x v="7"/>
    <x v="6"/>
    <s v="ACC-6543"/>
    <n v="683.42"/>
    <n v="951.51"/>
    <s v="Medium"/>
    <n v="0"/>
    <n v="14"/>
    <n v="13321.14"/>
    <n v="1104833.6397399995"/>
    <n v="9567.8799999999992"/>
    <n v="3753.26"/>
    <n v="0.28175216235247136"/>
    <n v="202404"/>
    <n v="202301"/>
    <s v="Apr-2023"/>
    <n v="15"/>
    <s v="Late"/>
    <n v="0"/>
    <n v="0"/>
  </r>
  <r>
    <x v="148"/>
    <d v="2023-09-14T00:00:00"/>
    <s v="Sept-2023"/>
    <x v="3"/>
    <d v="2023-09-16T00:00:00"/>
    <n v="2"/>
    <x v="3"/>
    <x v="7"/>
    <s v="Lyon"/>
    <s v="Europe &gt; France &gt; Lyon"/>
    <s v="Non-Profit"/>
    <x v="4"/>
    <x v="5"/>
    <x v="1"/>
    <s v="PRN-4432"/>
    <n v="376.83"/>
    <n v="732.88"/>
    <s v="Low"/>
    <n v="0.188"/>
    <n v="25"/>
    <n v="14877.464000000002"/>
    <n v="1104833.6397399995"/>
    <n v="9420.75"/>
    <n v="5456.7140000000018"/>
    <n v="0.36677716040852132"/>
    <n v="202309"/>
    <n v="202301"/>
    <s v="Sept-2023"/>
    <n v="8"/>
    <s v="On Time"/>
    <n v="1"/>
    <n v="0"/>
  </r>
  <r>
    <x v="149"/>
    <d v="2024-09-23T00:00:00"/>
    <s v="Sept-2024"/>
    <x v="3"/>
    <d v="2024-10-18T00:00:00"/>
    <n v="25"/>
    <x v="2"/>
    <x v="3"/>
    <s v="Vancouver"/>
    <s v="Americas &gt; Canada &gt; Vancouver"/>
    <s v="Small Business"/>
    <x v="1"/>
    <x v="13"/>
    <x v="3"/>
    <s v="PHN-4568"/>
    <n v="1297"/>
    <n v="2411.52"/>
    <s v="High"/>
    <n v="2.1000000000000001E-2"/>
    <n v="18"/>
    <n v="42495.805439999996"/>
    <n v="1104833.6397399995"/>
    <n v="23346"/>
    <n v="19149.805439999996"/>
    <n v="0.45062813239385913"/>
    <n v="202409"/>
    <n v="202301"/>
    <s v="Sept-2023"/>
    <n v="20"/>
    <s v="Late"/>
    <n v="0"/>
    <n v="0"/>
  </r>
  <r>
    <x v="150"/>
    <d v="2025-04-16T00:00:00"/>
    <s v="Apr-2025"/>
    <x v="2"/>
    <d v="2025-05-16T00:00:00"/>
    <n v="30"/>
    <x v="2"/>
    <x v="3"/>
    <s v="Montreal"/>
    <s v="Americas &gt; Canada &gt; Montreal"/>
    <s v="Enterprise"/>
    <x v="3"/>
    <x v="11"/>
    <x v="1"/>
    <s v="PRN-6178"/>
    <n v="763.32"/>
    <n v="568.29"/>
    <s v="Medium"/>
    <n v="0.13100000000000001"/>
    <n v="16"/>
    <n v="7901.5041599999995"/>
    <n v="1104833.6397399995"/>
    <n v="12213.12"/>
    <n v="-4311.6158400000013"/>
    <n v="-0.54567026134426555"/>
    <n v="202504"/>
    <n v="202301"/>
    <s v="Apr-2023"/>
    <n v="27"/>
    <s v="Late"/>
    <n v="0"/>
    <n v="0"/>
  </r>
  <r>
    <x v="151"/>
    <d v="2023-07-03T00:00:00"/>
    <s v="Jul-2023"/>
    <x v="3"/>
    <d v="2023-07-23T00:00:00"/>
    <n v="20"/>
    <x v="0"/>
    <x v="11"/>
    <s v="Johannesburg"/>
    <s v="Africa &gt; South Africa &gt; Johannesburg"/>
    <s v="Small Business"/>
    <x v="3"/>
    <x v="9"/>
    <x v="4"/>
    <s v="LAP-6342"/>
    <n v="1001.96"/>
    <n v="1254.95"/>
    <s v="High"/>
    <n v="4.4999999999999998E-2"/>
    <n v="18"/>
    <n v="21572.590500000002"/>
    <n v="1104833.6397399995"/>
    <n v="18035.28"/>
    <n v="3537.3105000000032"/>
    <n v="0.16397244920585699"/>
    <n v="202307"/>
    <n v="202301"/>
    <s v="Jul-2023"/>
    <n v="6"/>
    <s v="Late"/>
    <n v="0"/>
    <n v="0"/>
  </r>
  <r>
    <x v="152"/>
    <d v="2023-12-07T00:00:00"/>
    <s v="Dec-2023"/>
    <x v="1"/>
    <d v="2023-12-09T00:00:00"/>
    <n v="2"/>
    <x v="1"/>
    <x v="2"/>
    <s v="Tokyo"/>
    <s v="Asia &gt; Japan &gt; Tokyo"/>
    <s v="Non-Profit"/>
    <x v="2"/>
    <x v="10"/>
    <x v="1"/>
    <s v="PRN-8175"/>
    <n v="1097.5899999999999"/>
    <n v="845.55"/>
    <s v="High"/>
    <n v="0.184"/>
    <n v="6"/>
    <n v="4139.8127999999997"/>
    <n v="1104833.6397399995"/>
    <n v="6585.5399999999991"/>
    <n v="-2445.7271999999994"/>
    <n v="-0.59078207594314402"/>
    <n v="202312"/>
    <n v="202303"/>
    <s v="Dec-2023"/>
    <n v="9"/>
    <s v="On Time"/>
    <n v="1"/>
    <n v="0"/>
  </r>
  <r>
    <x v="153"/>
    <d v="2024-02-18T00:00:00"/>
    <s v="Feb-2024"/>
    <x v="0"/>
    <d v="2024-03-04T00:00:00"/>
    <n v="15"/>
    <x v="0"/>
    <x v="0"/>
    <s v="Kisumu"/>
    <s v="Africa &gt; Kenya &gt; Kisumu"/>
    <s v="Education"/>
    <x v="4"/>
    <x v="11"/>
    <x v="1"/>
    <s v="PRN-7089"/>
    <n v="928.68"/>
    <n v="2145.17"/>
    <s v="Medium"/>
    <n v="0.13600000000000001"/>
    <n v="16"/>
    <n v="29654.83008"/>
    <n v="1104833.6397399995"/>
    <n v="14858.88"/>
    <n v="14795.950080000001"/>
    <n v="0.49893896003062177"/>
    <n v="202402"/>
    <n v="202301"/>
    <s v="Feb-2023"/>
    <n v="13"/>
    <s v="Late"/>
    <n v="0"/>
    <n v="0"/>
  </r>
  <r>
    <x v="154"/>
    <d v="2023-10-31T00:00:00"/>
    <s v="Oct-2023"/>
    <x v="1"/>
    <d v="2023-11-02T00:00:00"/>
    <n v="2"/>
    <x v="0"/>
    <x v="0"/>
    <s v="Kisumu"/>
    <s v="Africa &gt; Kenya &gt; Kisumu"/>
    <s v="Education"/>
    <x v="0"/>
    <x v="7"/>
    <x v="6"/>
    <s v="ACC-4124"/>
    <n v="867.89"/>
    <n v="1349.94"/>
    <s v="Medium"/>
    <n v="0.184"/>
    <n v="10"/>
    <n v="11015.510400000003"/>
    <n v="1104833.6397399995"/>
    <n v="8678.9"/>
    <n v="2336.6104000000032"/>
    <n v="0.21212003031652557"/>
    <n v="202310"/>
    <n v="202301"/>
    <s v="Oct-2023"/>
    <n v="9"/>
    <s v="On Time"/>
    <n v="1"/>
    <n v="0"/>
  </r>
  <r>
    <x v="155"/>
    <d v="2024-08-07T00:00:00"/>
    <s v="Aug-2024"/>
    <x v="3"/>
    <d v="2024-08-17T00:00:00"/>
    <n v="10"/>
    <x v="1"/>
    <x v="2"/>
    <s v="Osaka"/>
    <s v="Asia &gt; Japan &gt; Osaka"/>
    <s v="Consumer"/>
    <x v="1"/>
    <x v="11"/>
    <x v="2"/>
    <s v="NET-7924"/>
    <n v="436.58"/>
    <n v="527.48"/>
    <s v="Low"/>
    <n v="0.111"/>
    <n v="19"/>
    <n v="8909.6646800000017"/>
    <n v="1104833.6397399995"/>
    <n v="8295.02"/>
    <n v="614.64468000000124"/>
    <n v="6.8986286473802644E-2"/>
    <n v="202408"/>
    <n v="202303"/>
    <s v="Aug-2023"/>
    <n v="17"/>
    <s v="Late"/>
    <n v="0"/>
    <n v="0"/>
  </r>
  <r>
    <x v="156"/>
    <d v="2024-02-01T00:00:00"/>
    <s v="Feb-2024"/>
    <x v="0"/>
    <d v="2024-02-21T00:00:00"/>
    <n v="20"/>
    <x v="3"/>
    <x v="7"/>
    <s v="Paris"/>
    <s v="Europe &gt; France &gt; Paris"/>
    <s v="Small Business"/>
    <x v="2"/>
    <x v="8"/>
    <x v="2"/>
    <s v="NET-8761"/>
    <n v="656.2"/>
    <n v="1467.17"/>
    <s v="Medium"/>
    <n v="1.7999999999999999E-2"/>
    <n v="5"/>
    <n v="7203.8047000000006"/>
    <n v="1104833.6397399995"/>
    <n v="3281"/>
    <n v="3922.8047000000006"/>
    <n v="0.54454623124360946"/>
    <n v="202402"/>
    <n v="202301"/>
    <s v="Feb-2023"/>
    <n v="13"/>
    <s v="Late"/>
    <n v="0"/>
    <n v="0"/>
  </r>
  <r>
    <x v="157"/>
    <d v="2024-08-27T00:00:00"/>
    <s v="Aug-2024"/>
    <x v="3"/>
    <d v="2024-09-18T00:00:00"/>
    <n v="22"/>
    <x v="1"/>
    <x v="4"/>
    <s v="Delhi"/>
    <s v="Asia &gt; India &gt; Delhi"/>
    <s v="Consumer"/>
    <x v="4"/>
    <x v="5"/>
    <x v="0"/>
    <s v="CMP-3875"/>
    <n v="896.75"/>
    <n v="1651.14"/>
    <s v="Medium"/>
    <n v="2.5000000000000001E-2"/>
    <n v="15"/>
    <n v="24147.922500000001"/>
    <n v="1104833.6397399995"/>
    <n v="13451.25"/>
    <n v="10696.672500000001"/>
    <n v="0.44296450346815552"/>
    <n v="202408"/>
    <n v="202301"/>
    <s v="Aug-2023"/>
    <n v="19"/>
    <s v="Late"/>
    <n v="0"/>
    <n v="0"/>
  </r>
  <r>
    <x v="158"/>
    <d v="2025-02-15T00:00:00"/>
    <s v="Feb-2025"/>
    <x v="0"/>
    <d v="2025-02-15T00:00:00"/>
    <n v="0"/>
    <x v="3"/>
    <x v="6"/>
    <s v="Frankfurt"/>
    <s v="Europe &gt; Germany &gt; Frankfurt"/>
    <s v="Small Business"/>
    <x v="2"/>
    <x v="4"/>
    <x v="6"/>
    <s v="ACC-3989"/>
    <n v="815.83"/>
    <n v="1982.18"/>
    <s v="Medium"/>
    <n v="0.127"/>
    <n v="6"/>
    <n v="10382.65884"/>
    <n v="1080685.7172399994"/>
    <n v="4894.9800000000005"/>
    <n v="5487.6788399999996"/>
    <n v="0.52854272923408507"/>
    <n v="202502"/>
    <n v="202301"/>
    <s v="Feb-2023"/>
    <n v="25"/>
    <s v="On Time"/>
    <n v="1"/>
    <n v="0"/>
  </r>
  <r>
    <x v="159"/>
    <d v="2025-08-01T00:00:00"/>
    <s v="Aug-2025"/>
    <x v="3"/>
    <d v="2025-08-21T00:00:00"/>
    <n v="20"/>
    <x v="1"/>
    <x v="9"/>
    <s v="Shanghai"/>
    <s v="Asia &gt; China &gt; Shanghai"/>
    <s v="Corporate"/>
    <x v="4"/>
    <x v="2"/>
    <x v="3"/>
    <s v="PHN-9234"/>
    <n v="1220.4100000000001"/>
    <n v="2552.2199999999998"/>
    <s v="High"/>
    <n v="0.18099999999999999"/>
    <n v="14"/>
    <n v="29263.754519999995"/>
    <n v="1080685.7172399994"/>
    <n v="17085.740000000002"/>
    <n v="12178.014519999993"/>
    <n v="0.41614668793360271"/>
    <n v="202508"/>
    <n v="202301"/>
    <s v="Aug-2023"/>
    <n v="31"/>
    <s v="Late"/>
    <n v="0"/>
    <n v="0"/>
  </r>
  <r>
    <x v="160"/>
    <d v="2023-02-20T00:00:00"/>
    <s v="Feb-2023"/>
    <x v="0"/>
    <d v="2023-03-04T00:00:00"/>
    <n v="12"/>
    <x v="1"/>
    <x v="4"/>
    <s v="Delhi"/>
    <s v="Asia &gt; India &gt; Delhi"/>
    <s v="Consumer"/>
    <x v="3"/>
    <x v="12"/>
    <x v="5"/>
    <s v="MON-9906"/>
    <n v="299.75"/>
    <n v="523.01"/>
    <s v="Low"/>
    <n v="0.157"/>
    <n v="50"/>
    <n v="22044.871499999997"/>
    <n v="1080685.7172399994"/>
    <n v="14987.5"/>
    <n v="7057.3714999999975"/>
    <n v="0.32013665854210122"/>
    <n v="202302"/>
    <n v="202301"/>
    <s v="Feb-2023"/>
    <n v="1"/>
    <s v="Late"/>
    <n v="0"/>
    <n v="0"/>
  </r>
  <r>
    <x v="161"/>
    <d v="2024-10-30T00:00:00"/>
    <s v="Oct-2024"/>
    <x v="1"/>
    <d v="2024-11-24T00:00:00"/>
    <n v="25"/>
    <x v="1"/>
    <x v="9"/>
    <s v="Shenzhen"/>
    <s v="Asia &gt; China &gt; Shenzhen"/>
    <s v="Small Business"/>
    <x v="1"/>
    <x v="6"/>
    <x v="0"/>
    <s v="CMP-4610"/>
    <n v="811.05"/>
    <n v="1217.71"/>
    <s v="Medium"/>
    <n v="7.1999999999999995E-2"/>
    <n v="5"/>
    <n v="5650.1744000000008"/>
    <n v="1080685.7172399994"/>
    <n v="4055.25"/>
    <n v="1594.9244000000008"/>
    <n v="0.28227879125288602"/>
    <n v="202410"/>
    <n v="202301"/>
    <s v="Oct-2023"/>
    <n v="21"/>
    <s v="Late"/>
    <n v="0"/>
    <n v="0"/>
  </r>
  <r>
    <x v="162"/>
    <d v="2024-04-03T00:00:00"/>
    <s v="Apr-2024"/>
    <x v="2"/>
    <d v="2024-04-07T00:00:00"/>
    <n v="4"/>
    <x v="2"/>
    <x v="5"/>
    <s v="Brasília"/>
    <s v="Americas &gt; Brazil &gt; Brasília"/>
    <s v="Non-Profit"/>
    <x v="4"/>
    <x v="13"/>
    <x v="3"/>
    <s v="PHN-5445"/>
    <n v="1023.27"/>
    <n v="1343.64"/>
    <s v="High"/>
    <n v="0.13300000000000001"/>
    <n v="7"/>
    <n v="8154.5511600000009"/>
    <n v="1075035.5428399993"/>
    <n v="7162.8899999999994"/>
    <n v="991.66116000000147"/>
    <n v="0.12160830688810116"/>
    <n v="202404"/>
    <n v="202301"/>
    <s v="Apr-2023"/>
    <n v="15"/>
    <s v="On Time"/>
    <n v="1"/>
    <n v="0"/>
  </r>
  <r>
    <x v="163"/>
    <d v="2023-03-25T00:00:00"/>
    <s v="Mar-2023"/>
    <x v="0"/>
    <d v="2023-03-26T00:00:00"/>
    <n v="1"/>
    <x v="1"/>
    <x v="2"/>
    <s v="Osaka"/>
    <s v="Asia &gt; Japan &gt; Osaka"/>
    <s v="Small Business"/>
    <x v="3"/>
    <x v="2"/>
    <x v="5"/>
    <s v="MON-9227"/>
    <n v="135.12"/>
    <n v="301.7"/>
    <s v="Low"/>
    <n v="0.14000000000000001"/>
    <n v="47"/>
    <n v="12194.714"/>
    <n v="1075035.5428399993"/>
    <n v="6350.64"/>
    <n v="5844.0739999999996"/>
    <n v="0.47923009920527859"/>
    <n v="202303"/>
    <n v="202303"/>
    <s v="Mar-2023"/>
    <n v="0"/>
    <s v="On Time"/>
    <n v="1"/>
    <n v="0"/>
  </r>
  <r>
    <x v="164"/>
    <d v="2024-06-04T00:00:00"/>
    <s v="Jun-2024"/>
    <x v="2"/>
    <d v="2024-06-16T00:00:00"/>
    <n v="12"/>
    <x v="1"/>
    <x v="9"/>
    <s v="Shanghai"/>
    <s v="Asia &gt; China &gt; Shanghai"/>
    <s v="Corporate"/>
    <x v="0"/>
    <x v="1"/>
    <x v="1"/>
    <s v="PRN-4097"/>
    <n v="918.42"/>
    <n v="1511.71"/>
    <s v="Medium"/>
    <n v="0.02"/>
    <n v="8"/>
    <n v="11851.806399999999"/>
    <n v="1075035.5428399993"/>
    <n v="7347.36"/>
    <n v="4504.4463999999998"/>
    <n v="0.38006412254590999"/>
    <n v="202406"/>
    <n v="202301"/>
    <s v="Jun-2023"/>
    <n v="17"/>
    <s v="Late"/>
    <n v="0"/>
    <n v="0"/>
  </r>
  <r>
    <x v="165"/>
    <d v="2023-02-19T00:00:00"/>
    <s v="Feb-2023"/>
    <x v="0"/>
    <d v="2023-03-12T00:00:00"/>
    <n v="21"/>
    <x v="3"/>
    <x v="6"/>
    <s v="Berlin"/>
    <s v="Europe &gt; Germany &gt; Berlin"/>
    <s v="Small Business"/>
    <x v="4"/>
    <x v="4"/>
    <x v="5"/>
    <s v="MON-6699"/>
    <n v="1234.81"/>
    <n v="2055.2399999999998"/>
    <s v="High"/>
    <n v="5.2999999999999999E-2"/>
    <n v="44"/>
    <n v="85637.740319999997"/>
    <n v="1075035.5428399993"/>
    <n v="54331.64"/>
    <n v="31306.100319999998"/>
    <n v="0.36556429680441616"/>
    <n v="202302"/>
    <n v="202301"/>
    <s v="Feb-2023"/>
    <n v="1"/>
    <s v="Late"/>
    <n v="0"/>
    <n v="0"/>
  </r>
  <r>
    <x v="166"/>
    <d v="2023-04-18T00:00:00"/>
    <s v="Apr-2023"/>
    <x v="2"/>
    <d v="2023-05-18T00:00:00"/>
    <n v="30"/>
    <x v="1"/>
    <x v="9"/>
    <s v="Shenzhen"/>
    <s v="Asia &gt; China &gt; Shenzhen"/>
    <s v="Non-Profit"/>
    <x v="0"/>
    <x v="10"/>
    <x v="4"/>
    <s v="LAP-1482"/>
    <n v="329.03"/>
    <n v="391.15"/>
    <s v="Low"/>
    <n v="0.19700000000000001"/>
    <n v="46"/>
    <n v="14448.298699999998"/>
    <n v="1075035.5428399993"/>
    <n v="15135.38"/>
    <n v="-687.08130000000165"/>
    <n v="-4.7554477815440081E-2"/>
    <n v="202304"/>
    <n v="202301"/>
    <s v="Apr-2023"/>
    <n v="3"/>
    <s v="Late"/>
    <n v="0"/>
    <n v="0"/>
  </r>
  <r>
    <x v="167"/>
    <d v="2024-05-23T00:00:00"/>
    <s v="May-2024"/>
    <x v="2"/>
    <d v="2024-06-14T00:00:00"/>
    <n v="22"/>
    <x v="3"/>
    <x v="7"/>
    <s v="Marseille"/>
    <s v="Europe &gt; France &gt; Marseille"/>
    <s v="Small Business"/>
    <x v="1"/>
    <x v="13"/>
    <x v="5"/>
    <s v="MON-2100"/>
    <n v="1481.74"/>
    <n v="1848.97"/>
    <s v="High"/>
    <n v="0.254"/>
    <n v="9"/>
    <n v="12413.98458"/>
    <n v="1075035.5428399993"/>
    <n v="13335.66"/>
    <n v="-921.67541999999958"/>
    <n v="-7.4244930309072407E-2"/>
    <n v="202405"/>
    <n v="202301"/>
    <s v="May-2023"/>
    <n v="16"/>
    <s v="Late"/>
    <n v="0"/>
    <n v="1"/>
  </r>
  <r>
    <x v="168"/>
    <d v="2023-10-07T00:00:00"/>
    <s v="Oct-2023"/>
    <x v="1"/>
    <d v="2023-10-23T00:00:00"/>
    <n v="16"/>
    <x v="1"/>
    <x v="4"/>
    <s v="Hyderabad"/>
    <s v="Asia &gt; India &gt; Hyderabad"/>
    <s v="Consumer"/>
    <x v="0"/>
    <x v="3"/>
    <x v="5"/>
    <s v="MON-7602"/>
    <n v="906.81"/>
    <n v="1395.56"/>
    <s v="Medium"/>
    <n v="0.185"/>
    <n v="6"/>
    <n v="6824.2884000000004"/>
    <n v="1075035.5428399993"/>
    <n v="5440.86"/>
    <n v="1383.4284000000007"/>
    <n v="0.20272126834498974"/>
    <n v="202310"/>
    <n v="202301"/>
    <s v="Oct-2023"/>
    <n v="9"/>
    <s v="Late"/>
    <n v="0"/>
    <n v="0"/>
  </r>
  <r>
    <x v="169"/>
    <d v="2024-10-09T00:00:00"/>
    <s v="Oct-2024"/>
    <x v="1"/>
    <d v="2024-11-08T00:00:00"/>
    <n v="30"/>
    <x v="3"/>
    <x v="8"/>
    <s v="Manchester"/>
    <s v="Europe &gt; United Kingdom &gt; Manchester"/>
    <s v="Small Business"/>
    <x v="3"/>
    <x v="1"/>
    <x v="0"/>
    <s v="CMP-1072"/>
    <n v="343.85"/>
    <n v="538.04"/>
    <s v="Low"/>
    <n v="0.13900000000000001"/>
    <n v="5"/>
    <n v="2316.2621999999997"/>
    <n v="1075035.5428399993"/>
    <n v="1719.25"/>
    <n v="597.01219999999967"/>
    <n v="0.25774810813732563"/>
    <n v="202410"/>
    <n v="202301"/>
    <s v="Oct-2023"/>
    <n v="21"/>
    <s v="Late"/>
    <n v="0"/>
    <n v="0"/>
  </r>
  <r>
    <x v="170"/>
    <d v="2024-07-15T00:00:00"/>
    <s v="Jul-2024"/>
    <x v="3"/>
    <d v="2024-07-15T00:00:00"/>
    <n v="0"/>
    <x v="1"/>
    <x v="2"/>
    <s v="Tokyo"/>
    <s v="Asia &gt; Japan &gt; Tokyo"/>
    <s v="Small Business"/>
    <x v="2"/>
    <x v="3"/>
    <x v="6"/>
    <s v="ACC-2735"/>
    <n v="801.77"/>
    <n v="1218.92"/>
    <s v="Medium"/>
    <n v="0.254"/>
    <n v="16"/>
    <n v="14549.029120000001"/>
    <n v="1072719.2806399995"/>
    <n v="12828.32"/>
    <n v="1720.7091200000013"/>
    <n v="0.11826968698788344"/>
    <n v="202407"/>
    <n v="202303"/>
    <s v="Jul-2023"/>
    <n v="16"/>
    <s v="On Time"/>
    <n v="1"/>
    <n v="1"/>
  </r>
  <r>
    <x v="171"/>
    <d v="2023-09-21T00:00:00"/>
    <s v="Sept-2023"/>
    <x v="3"/>
    <d v="2023-10-10T00:00:00"/>
    <n v="19"/>
    <x v="1"/>
    <x v="2"/>
    <s v="Tokyo"/>
    <s v="Asia &gt; Japan &gt; Tokyo"/>
    <s v="Education"/>
    <x v="1"/>
    <x v="14"/>
    <x v="0"/>
    <s v="CMP-5211"/>
    <n v="845.63"/>
    <n v="2062.12"/>
    <s v="Medium"/>
    <n v="0.13400000000000001"/>
    <n v="5"/>
    <n v="8928.9795999999988"/>
    <n v="1072719.2806399995"/>
    <n v="4228.1499999999996"/>
    <n v="4700.8295999999991"/>
    <n v="0.52646884757133949"/>
    <n v="202309"/>
    <n v="202303"/>
    <s v="Sept-2023"/>
    <n v="6"/>
    <s v="Late"/>
    <n v="0"/>
    <n v="0"/>
  </r>
  <r>
    <x v="172"/>
    <d v="2023-02-24T00:00:00"/>
    <s v="Feb-2023"/>
    <x v="0"/>
    <d v="2023-03-09T00:00:00"/>
    <n v="13"/>
    <x v="2"/>
    <x v="10"/>
    <s v="New York"/>
    <s v="Americas &gt; USA &gt; New York"/>
    <s v="Enterprise"/>
    <x v="1"/>
    <x v="12"/>
    <x v="0"/>
    <s v="CMP-1632"/>
    <n v="6.85"/>
    <n v="10.18"/>
    <s v="Low"/>
    <n v="4.7E-2"/>
    <n v="10"/>
    <n v="97.0154"/>
    <n v="1063790.3010399996"/>
    <n v="68.5"/>
    <n v="28.5154"/>
    <n v="0.2939265312517394"/>
    <n v="202302"/>
    <n v="202301"/>
    <s v="Feb-2023"/>
    <n v="1"/>
    <s v="Late"/>
    <n v="0"/>
    <n v="0"/>
  </r>
  <r>
    <x v="173"/>
    <d v="2025-05-21T00:00:00"/>
    <s v="May-2025"/>
    <x v="2"/>
    <d v="2025-05-23T00:00:00"/>
    <n v="2"/>
    <x v="0"/>
    <x v="11"/>
    <s v="Johannesburg"/>
    <s v="Africa &gt; South Africa &gt; Johannesburg"/>
    <s v="Non-Profit"/>
    <x v="3"/>
    <x v="7"/>
    <x v="4"/>
    <s v="LAP-7099"/>
    <n v="1263.8399999999999"/>
    <n v="2281.7199999999998"/>
    <s v="High"/>
    <n v="7.8E-2"/>
    <n v="15"/>
    <n v="31556.187599999997"/>
    <n v="1063693.2856399994"/>
    <n v="18957.599999999999"/>
    <n v="12598.587599999999"/>
    <n v="0.39924301882398494"/>
    <n v="202505"/>
    <n v="202301"/>
    <s v="May-2023"/>
    <n v="28"/>
    <s v="On Time"/>
    <n v="1"/>
    <n v="0"/>
  </r>
  <r>
    <x v="174"/>
    <d v="2024-05-23T00:00:00"/>
    <s v="May-2024"/>
    <x v="2"/>
    <d v="2024-06-03T00:00:00"/>
    <n v="11"/>
    <x v="0"/>
    <x v="11"/>
    <s v="Johannesburg"/>
    <s v="Africa &gt; South Africa &gt; Johannesburg"/>
    <s v="Small Business"/>
    <x v="3"/>
    <x v="9"/>
    <x v="1"/>
    <s v="PRN-3785"/>
    <n v="180.89"/>
    <n v="249.57"/>
    <s v="Low"/>
    <n v="2.1999999999999999E-2"/>
    <n v="8"/>
    <n v="1952.6356799999999"/>
    <n v="1063693.2856399994"/>
    <n v="1447.12"/>
    <n v="505.51567999999997"/>
    <n v="0.25888888806948362"/>
    <n v="202405"/>
    <n v="202301"/>
    <s v="May-2023"/>
    <n v="16"/>
    <s v="Late"/>
    <n v="0"/>
    <n v="0"/>
  </r>
  <r>
    <x v="175"/>
    <d v="2025-04-14T00:00:00"/>
    <s v="Apr-2025"/>
    <x v="2"/>
    <d v="2025-05-04T00:00:00"/>
    <n v="20"/>
    <x v="3"/>
    <x v="8"/>
    <s v="Birmingham"/>
    <s v="Europe &gt; United Kingdom &gt; Birmingham"/>
    <s v="Enterprise"/>
    <x v="2"/>
    <x v="11"/>
    <x v="5"/>
    <s v="MON-6962"/>
    <n v="1413.87"/>
    <n v="3275"/>
    <s v="High"/>
    <n v="0.255"/>
    <n v="38"/>
    <n v="92715.25"/>
    <n v="1063693.2856399994"/>
    <n v="53727.06"/>
    <n v="38988.19"/>
    <n v="0.42051539525590453"/>
    <n v="202504"/>
    <n v="202301"/>
    <s v="Apr-2023"/>
    <n v="27"/>
    <s v="Late"/>
    <n v="0"/>
    <n v="1"/>
  </r>
  <r>
    <x v="176"/>
    <d v="2023-08-27T00:00:00"/>
    <s v="Aug-2023"/>
    <x v="3"/>
    <d v="2023-09-11T00:00:00"/>
    <n v="15"/>
    <x v="3"/>
    <x v="8"/>
    <s v="London"/>
    <s v="Europe &gt; United Kingdom &gt; London"/>
    <s v="Consumer"/>
    <x v="2"/>
    <x v="13"/>
    <x v="1"/>
    <s v="PRN-5107"/>
    <n v="943.79"/>
    <n v="1913.76"/>
    <s v="Medium"/>
    <n v="9.0999999999999998E-2"/>
    <n v="9"/>
    <n v="15656.47056"/>
    <n v="1063693.2856399994"/>
    <n v="8494.11"/>
    <n v="7162.3605599999992"/>
    <n v="0.45746967891338081"/>
    <n v="202308"/>
    <n v="202301"/>
    <s v="Aug-2023"/>
    <n v="7"/>
    <s v="Late"/>
    <n v="0"/>
    <n v="0"/>
  </r>
  <r>
    <x v="177"/>
    <d v="2024-02-03T00:00:00"/>
    <s v="Feb-2024"/>
    <x v="0"/>
    <d v="2024-02-21T00:00:00"/>
    <n v="18"/>
    <x v="3"/>
    <x v="6"/>
    <s v="Frankfurt"/>
    <s v="Europe &gt; Germany &gt; Frankfurt"/>
    <s v="Corporate"/>
    <x v="0"/>
    <x v="10"/>
    <x v="0"/>
    <s v="CMP-9264"/>
    <n v="39.229999999999997"/>
    <n v="30.09"/>
    <s v="Low"/>
    <n v="0.17699999999999999"/>
    <n v="13"/>
    <n v="321.93290999999999"/>
    <n v="1063693.2856399994"/>
    <n v="509.98999999999995"/>
    <n v="-188.05708999999996"/>
    <n v="-0.58414993981199359"/>
    <n v="202402"/>
    <n v="202301"/>
    <s v="Feb-2023"/>
    <n v="13"/>
    <s v="Late"/>
    <n v="0"/>
    <n v="0"/>
  </r>
  <r>
    <x v="178"/>
    <d v="2023-04-05T00:00:00"/>
    <s v="Apr-2023"/>
    <x v="2"/>
    <d v="2023-04-16T00:00:00"/>
    <n v="11"/>
    <x v="2"/>
    <x v="3"/>
    <s v="Vancouver"/>
    <s v="Americas &gt; Canada &gt; Vancouver"/>
    <s v="Non-Profit"/>
    <x v="1"/>
    <x v="7"/>
    <x v="5"/>
    <s v="MON-5259"/>
    <n v="213.1"/>
    <n v="501.31"/>
    <s v="Low"/>
    <n v="5.6000000000000001E-2"/>
    <n v="15"/>
    <n v="7098.5495999999994"/>
    <n v="1063371.3527299995"/>
    <n v="3196.5"/>
    <n v="3902.0495999999994"/>
    <n v="0.54969674368409005"/>
    <n v="202304"/>
    <n v="202301"/>
    <s v="Apr-2023"/>
    <n v="3"/>
    <s v="Late"/>
    <n v="0"/>
    <n v="0"/>
  </r>
  <r>
    <x v="179"/>
    <d v="2025-08-21T00:00:00"/>
    <s v="Aug-2025"/>
    <x v="3"/>
    <d v="2025-09-12T00:00:00"/>
    <n v="22"/>
    <x v="1"/>
    <x v="9"/>
    <s v="Shenzhen"/>
    <s v="Asia &gt; China &gt; Shenzhen"/>
    <s v="Education"/>
    <x v="0"/>
    <x v="5"/>
    <x v="1"/>
    <s v="PRN-8137"/>
    <n v="352.66"/>
    <n v="411.18"/>
    <s v="Low"/>
    <n v="0.17299999999999999"/>
    <n v="13"/>
    <n v="4420.5961799999995"/>
    <n v="1063371.3527299995"/>
    <n v="4584.58"/>
    <n v="-163.98382000000038"/>
    <n v="-3.7095408248758066E-2"/>
    <n v="202508"/>
    <n v="202301"/>
    <s v="Aug-2023"/>
    <n v="31"/>
    <s v="Late"/>
    <n v="0"/>
    <n v="0"/>
  </r>
  <r>
    <x v="180"/>
    <d v="2025-09-15T00:00:00"/>
    <s v="Sept-2025"/>
    <x v="3"/>
    <d v="2025-09-18T00:00:00"/>
    <n v="3"/>
    <x v="2"/>
    <x v="5"/>
    <s v="Rio de Janeiro"/>
    <s v="Americas &gt; Brazil &gt; Rio de Janeiro"/>
    <s v="Non-Profit"/>
    <x v="4"/>
    <x v="4"/>
    <x v="6"/>
    <s v="ACC-6777"/>
    <n v="5.5"/>
    <n v="5.92"/>
    <s v="Low"/>
    <n v="0.21199999999999999"/>
    <n v="4"/>
    <n v="18.659839999999999"/>
    <n v="1063371.3527299995"/>
    <n v="22"/>
    <n v="-3.3401600000000009"/>
    <n v="-0.17900260666758133"/>
    <n v="202509"/>
    <n v="202301"/>
    <s v="Sept-2023"/>
    <n v="32"/>
    <s v="On Time"/>
    <n v="1"/>
    <n v="1"/>
  </r>
  <r>
    <x v="181"/>
    <d v="2024-10-03T00:00:00"/>
    <s v="Oct-2024"/>
    <x v="1"/>
    <d v="2024-10-11T00:00:00"/>
    <n v="8"/>
    <x v="1"/>
    <x v="9"/>
    <s v="Beijing"/>
    <s v="Asia &gt; China &gt; Beijing"/>
    <s v="Enterprise"/>
    <x v="4"/>
    <x v="5"/>
    <x v="3"/>
    <s v="PHN-7488"/>
    <n v="1132.6099999999999"/>
    <n v="2206.63"/>
    <s v="High"/>
    <n v="6.3E-2"/>
    <n v="20"/>
    <n v="41352.246200000009"/>
    <n v="1063371.3527299995"/>
    <n v="22652.199999999997"/>
    <n v="18700.046200000012"/>
    <n v="0.45221355351671338"/>
    <n v="202410"/>
    <n v="202301"/>
    <s v="Oct-2023"/>
    <n v="21"/>
    <s v="Late"/>
    <n v="0"/>
    <n v="0"/>
  </r>
  <r>
    <x v="182"/>
    <d v="2025-02-02T00:00:00"/>
    <s v="Feb-2025"/>
    <x v="0"/>
    <d v="2025-03-04T00:00:00"/>
    <n v="30"/>
    <x v="1"/>
    <x v="2"/>
    <s v="Osaka"/>
    <s v="Asia &gt; Japan &gt; Osaka"/>
    <s v="Education"/>
    <x v="3"/>
    <x v="4"/>
    <x v="6"/>
    <s v="ACC-9591"/>
    <n v="766.59"/>
    <n v="1912.8"/>
    <s v="Medium"/>
    <n v="0.19600000000000001"/>
    <n v="5"/>
    <n v="7689.4560000000001"/>
    <n v="1063371.3527299995"/>
    <n v="3832.9500000000003"/>
    <n v="3856.5059999999999"/>
    <n v="0.50153170783472845"/>
    <n v="202502"/>
    <n v="202303"/>
    <s v="Feb-2023"/>
    <n v="23"/>
    <s v="Late"/>
    <n v="0"/>
    <n v="0"/>
  </r>
  <r>
    <x v="183"/>
    <d v="2023-08-19T00:00:00"/>
    <s v="Aug-2023"/>
    <x v="3"/>
    <d v="2023-08-23T00:00:00"/>
    <n v="4"/>
    <x v="0"/>
    <x v="1"/>
    <s v="Abuja"/>
    <s v="Africa &gt; Nigeria &gt; Abuja"/>
    <s v="Small Business"/>
    <x v="1"/>
    <x v="1"/>
    <x v="5"/>
    <s v="MON-5517"/>
    <n v="790.63"/>
    <n v="1382.31"/>
    <s v="Medium"/>
    <n v="0.10100000000000001"/>
    <n v="7"/>
    <n v="8698.8768300000011"/>
    <n v="1063371.3527299995"/>
    <n v="5534.41"/>
    <n v="3164.4668300000012"/>
    <n v="0.36377878338116448"/>
    <n v="202308"/>
    <n v="202301"/>
    <s v="Aug-2023"/>
    <n v="7"/>
    <s v="On Time"/>
    <n v="1"/>
    <n v="0"/>
  </r>
  <r>
    <x v="184"/>
    <d v="2024-10-22T00:00:00"/>
    <s v="Oct-2024"/>
    <x v="1"/>
    <d v="2024-10-29T00:00:00"/>
    <n v="7"/>
    <x v="0"/>
    <x v="1"/>
    <s v="Port Harcourt"/>
    <s v="Africa &gt; Nigeria &gt; Port Harcourt"/>
    <s v="Enterprise"/>
    <x v="3"/>
    <x v="12"/>
    <x v="5"/>
    <s v="MON-8758"/>
    <n v="1023.06"/>
    <n v="1355.61"/>
    <s v="High"/>
    <n v="0.153"/>
    <n v="23"/>
    <n v="26408.63841"/>
    <n v="1063371.3527299995"/>
    <n v="23530.379999999997"/>
    <n v="2878.2584100000022"/>
    <n v="0.10898927711888809"/>
    <n v="202410"/>
    <n v="202301"/>
    <s v="Oct-2023"/>
    <n v="21"/>
    <s v="On Time"/>
    <n v="1"/>
    <n v="0"/>
  </r>
  <r>
    <x v="185"/>
    <d v="2023-06-22T00:00:00"/>
    <s v="Jun-2023"/>
    <x v="2"/>
    <d v="2023-07-21T00:00:00"/>
    <n v="29"/>
    <x v="3"/>
    <x v="7"/>
    <s v="Lyon"/>
    <s v="Europe &gt; France &gt; Lyon"/>
    <s v="Corporate"/>
    <x v="0"/>
    <x v="1"/>
    <x v="6"/>
    <s v="ACC-3385"/>
    <n v="734.34"/>
    <n v="887.9"/>
    <s v="Medium"/>
    <n v="2.5000000000000001E-2"/>
    <n v="12"/>
    <n v="10388.429999999998"/>
    <n v="1063371.3527299995"/>
    <n v="8812.08"/>
    <n v="1576.3499999999985"/>
    <n v="0.15174092716608753"/>
    <n v="202306"/>
    <n v="202301"/>
    <s v="Jun-2023"/>
    <n v="5"/>
    <s v="Late"/>
    <n v="0"/>
    <n v="0"/>
  </r>
  <r>
    <x v="186"/>
    <d v="2025-01-13T00:00:00"/>
    <s v="Jan-2025"/>
    <x v="0"/>
    <d v="2025-02-08T00:00:00"/>
    <n v="26"/>
    <x v="3"/>
    <x v="7"/>
    <s v="Paris"/>
    <s v="Europe &gt; France &gt; Paris"/>
    <s v="Non-Profit"/>
    <x v="5"/>
    <x v="6"/>
    <x v="5"/>
    <s v="MON-1593"/>
    <n v="594.74"/>
    <n v="1020.69"/>
    <s v="Medium"/>
    <n v="0.21099999999999999"/>
    <n v="6"/>
    <n v="4831.9464600000001"/>
    <n v="1063371.3527299995"/>
    <n v="3568.44"/>
    <n v="1263.5064600000001"/>
    <n v="0.26149016146176424"/>
    <n v="202501"/>
    <n v="202301"/>
    <s v="Jan-2023"/>
    <n v="24"/>
    <s v="Late"/>
    <n v="0"/>
    <n v="1"/>
  </r>
  <r>
    <x v="129"/>
    <d v="2023-01-29T00:00:00"/>
    <s v="Jan-2023"/>
    <x v="0"/>
    <d v="2023-02-28T00:00:00"/>
    <n v="30"/>
    <x v="1"/>
    <x v="4"/>
    <s v="Bengaluru"/>
    <s v="Asia &gt; India &gt; Bengaluru"/>
    <s v="Non-Profit"/>
    <x v="0"/>
    <x v="5"/>
    <x v="6"/>
    <s v="ACC-4631"/>
    <n v="1262.0999999999999"/>
    <n v="1395.53"/>
    <s v="High"/>
    <n v="0.23300000000000001"/>
    <n v="25"/>
    <n v="26759.28775"/>
    <n v="1063371.3527299995"/>
    <n v="31552.499999999996"/>
    <n v="-4793.2122499999969"/>
    <n v="-0.17912331205452198"/>
    <n v="202301"/>
    <n v="202301"/>
    <s v="Jan-2023"/>
    <n v="0"/>
    <s v="Late"/>
    <n v="0"/>
    <n v="1"/>
  </r>
  <r>
    <x v="187"/>
    <d v="2023-07-19T00:00:00"/>
    <s v="Jul-2023"/>
    <x v="3"/>
    <d v="2023-07-31T00:00:00"/>
    <n v="12"/>
    <x v="2"/>
    <x v="5"/>
    <s v="Rio de Janeiro"/>
    <s v="Americas &gt; Brazil &gt; Rio de Janeiro"/>
    <s v="Corporate"/>
    <x v="0"/>
    <x v="0"/>
    <x v="5"/>
    <s v="MON-7869"/>
    <n v="1334.64"/>
    <n v="2273.42"/>
    <s v="High"/>
    <n v="0.11799999999999999"/>
    <n v="14"/>
    <n v="28072.190160000002"/>
    <n v="1063371.3527299995"/>
    <n v="18684.960000000003"/>
    <n v="9387.2301599999992"/>
    <n v="0.33439607335575267"/>
    <n v="202307"/>
    <n v="202301"/>
    <s v="Jul-2023"/>
    <n v="6"/>
    <s v="Late"/>
    <n v="0"/>
    <n v="0"/>
  </r>
  <r>
    <x v="188"/>
    <d v="2024-05-19T00:00:00"/>
    <s v="May-2024"/>
    <x v="2"/>
    <d v="2024-06-08T00:00:00"/>
    <n v="20"/>
    <x v="2"/>
    <x v="5"/>
    <s v="Brasília"/>
    <s v="Americas &gt; Brazil &gt; Brasília"/>
    <s v="Small Business"/>
    <x v="0"/>
    <x v="6"/>
    <x v="5"/>
    <s v="MON-4271"/>
    <n v="1075.9000000000001"/>
    <n v="1242.1500000000001"/>
    <s v="High"/>
    <n v="1.2E-2"/>
    <n v="7"/>
    <n v="8590.7094000000016"/>
    <n v="1063371.3527299995"/>
    <n v="7531.3000000000011"/>
    <n v="1059.4094000000005"/>
    <n v="0.12332036280961853"/>
    <n v="202405"/>
    <n v="202301"/>
    <s v="May-2023"/>
    <n v="16"/>
    <s v="Late"/>
    <n v="0"/>
    <n v="0"/>
  </r>
  <r>
    <x v="189"/>
    <d v="2024-02-03T00:00:00"/>
    <s v="Feb-2024"/>
    <x v="0"/>
    <d v="2024-02-19T00:00:00"/>
    <n v="16"/>
    <x v="1"/>
    <x v="9"/>
    <s v="Shenzhen"/>
    <s v="Asia &gt; China &gt; Shenzhen"/>
    <s v="Small Business"/>
    <x v="1"/>
    <x v="10"/>
    <x v="4"/>
    <s v="LAP-5531"/>
    <n v="993.75"/>
    <n v="1310.29"/>
    <s v="Medium"/>
    <n v="0.215"/>
    <n v="19"/>
    <n v="19542.975350000001"/>
    <n v="1063371.3527299995"/>
    <n v="18881.25"/>
    <n v="661.72535000000062"/>
    <n v="3.3860010471742245E-2"/>
    <n v="202402"/>
    <n v="202301"/>
    <s v="Feb-2023"/>
    <n v="13"/>
    <s v="Late"/>
    <n v="0"/>
    <n v="1"/>
  </r>
  <r>
    <x v="190"/>
    <d v="2023-08-08T00:00:00"/>
    <s v="Aug-2023"/>
    <x v="3"/>
    <d v="2023-08-22T00:00:00"/>
    <n v="14"/>
    <x v="3"/>
    <x v="8"/>
    <s v="Birmingham"/>
    <s v="Europe &gt; United Kingdom &gt; Birmingham"/>
    <s v="Non-Profit"/>
    <x v="4"/>
    <x v="13"/>
    <x v="5"/>
    <s v="MON-7511"/>
    <n v="446.69"/>
    <n v="967.25"/>
    <s v="Low"/>
    <n v="9.4E-2"/>
    <n v="10"/>
    <n v="8763.2849999999999"/>
    <n v="1063371.3527299995"/>
    <n v="4466.8999999999996"/>
    <n v="4296.3850000000002"/>
    <n v="0.49027105702941309"/>
    <n v="202308"/>
    <n v="202301"/>
    <s v="Aug-2023"/>
    <n v="7"/>
    <s v="Late"/>
    <n v="0"/>
    <n v="0"/>
  </r>
  <r>
    <x v="191"/>
    <d v="2024-08-12T00:00:00"/>
    <s v="Aug-2024"/>
    <x v="3"/>
    <d v="2024-09-03T00:00:00"/>
    <n v="22"/>
    <x v="2"/>
    <x v="10"/>
    <s v="Austin"/>
    <s v="Americas &gt; USA &gt; Austin"/>
    <s v="Consumer"/>
    <x v="3"/>
    <x v="2"/>
    <x v="4"/>
    <s v="LAP-7979"/>
    <n v="797.8"/>
    <n v="886.22"/>
    <s v="Medium"/>
    <n v="0.23599999999999999"/>
    <n v="36"/>
    <n v="24374.594880000001"/>
    <n v="1063371.3527299995"/>
    <n v="28720.799999999999"/>
    <n v="-4346.2051199999987"/>
    <n v="-0.17830881462428633"/>
    <n v="202408"/>
    <n v="202301"/>
    <s v="Aug-2023"/>
    <n v="19"/>
    <s v="Late"/>
    <n v="0"/>
    <n v="1"/>
  </r>
  <r>
    <x v="192"/>
    <d v="2023-10-15T00:00:00"/>
    <s v="Oct-2023"/>
    <x v="1"/>
    <d v="2023-11-13T00:00:00"/>
    <n v="29"/>
    <x v="1"/>
    <x v="9"/>
    <s v="Shenzhen"/>
    <s v="Asia &gt; China &gt; Shenzhen"/>
    <s v="Non-Profit"/>
    <x v="3"/>
    <x v="1"/>
    <x v="1"/>
    <s v="PRN-4983"/>
    <n v="986.44"/>
    <n v="790.61"/>
    <s v="Medium"/>
    <n v="7.1999999999999995E-2"/>
    <n v="6"/>
    <n v="4402.1164799999997"/>
    <n v="1063371.3527299995"/>
    <n v="5918.64"/>
    <n v="-1516.5235200000006"/>
    <n v="-0.34449872621271499"/>
    <n v="202310"/>
    <n v="202301"/>
    <s v="Oct-2023"/>
    <n v="9"/>
    <s v="Late"/>
    <n v="0"/>
    <n v="0"/>
  </r>
  <r>
    <x v="193"/>
    <d v="2023-05-04T00:00:00"/>
    <s v="May-2023"/>
    <x v="2"/>
    <d v="2023-05-26T00:00:00"/>
    <n v="22"/>
    <x v="2"/>
    <x v="10"/>
    <s v="San Francisco"/>
    <s v="Americas &gt; USA &gt; San Francisco"/>
    <s v="Enterprise"/>
    <x v="1"/>
    <x v="1"/>
    <x v="2"/>
    <s v="NET-5941"/>
    <n v="249.71"/>
    <n v="361.33"/>
    <s v="Low"/>
    <n v="9.4E-2"/>
    <n v="12"/>
    <n v="3928.3797600000003"/>
    <n v="1063371.3527299995"/>
    <n v="2996.52"/>
    <n v="931.85976000000028"/>
    <n v="0.23721223937881206"/>
    <n v="202305"/>
    <n v="202301"/>
    <s v="May-2023"/>
    <n v="4"/>
    <s v="Late"/>
    <n v="0"/>
    <n v="0"/>
  </r>
  <r>
    <x v="194"/>
    <d v="2024-09-22T00:00:00"/>
    <s v="Sept-2024"/>
    <x v="3"/>
    <d v="2024-10-01T00:00:00"/>
    <n v="9"/>
    <x v="2"/>
    <x v="5"/>
    <s v="São Paulo"/>
    <s v="Americas &gt; Brazil &gt; São Paulo"/>
    <s v="Non-Profit"/>
    <x v="1"/>
    <x v="11"/>
    <x v="5"/>
    <s v="MON-6341"/>
    <n v="1378.8"/>
    <n v="1952.04"/>
    <s v="High"/>
    <n v="0.159"/>
    <n v="19"/>
    <n v="31191.64716"/>
    <n v="1063371.3527299995"/>
    <n v="26197.200000000001"/>
    <n v="4994.4471599999997"/>
    <n v="0.16012130216723058"/>
    <n v="202409"/>
    <n v="202301"/>
    <s v="Sept-2023"/>
    <n v="20"/>
    <s v="Late"/>
    <n v="0"/>
    <n v="0"/>
  </r>
  <r>
    <x v="195"/>
    <d v="2024-10-23T00:00:00"/>
    <s v="Oct-2024"/>
    <x v="1"/>
    <d v="2024-11-14T00:00:00"/>
    <n v="22"/>
    <x v="1"/>
    <x v="2"/>
    <s v="Osaka"/>
    <s v="Asia &gt; Japan &gt; Osaka"/>
    <s v="Non-Profit"/>
    <x v="4"/>
    <x v="5"/>
    <x v="3"/>
    <s v="PHN-9789"/>
    <n v="1406.4"/>
    <n v="1564.76"/>
    <s v="High"/>
    <n v="0.185"/>
    <n v="17"/>
    <n v="21679.749799999998"/>
    <n v="1063371.3527299995"/>
    <n v="23908.800000000003"/>
    <n v="-2229.0502000000051"/>
    <n v="-0.10281715520536151"/>
    <n v="202410"/>
    <n v="202303"/>
    <s v="Oct-2023"/>
    <n v="19"/>
    <s v="Late"/>
    <n v="0"/>
    <n v="0"/>
  </r>
  <r>
    <x v="196"/>
    <d v="2024-02-11T00:00:00"/>
    <s v="Feb-2024"/>
    <x v="0"/>
    <d v="2024-03-03T00:00:00"/>
    <n v="21"/>
    <x v="0"/>
    <x v="0"/>
    <s v="Kisumu"/>
    <s v="Africa &gt; Kenya &gt; Kisumu"/>
    <s v="Enterprise"/>
    <x v="1"/>
    <x v="5"/>
    <x v="3"/>
    <s v="PHN-5082"/>
    <n v="516.86"/>
    <n v="852.54"/>
    <s v="Medium"/>
    <n v="5.0999999999999997E-2"/>
    <n v="14"/>
    <n v="11326.846439999999"/>
    <n v="1063371.3527299995"/>
    <n v="7236.04"/>
    <n v="4090.8064399999994"/>
    <n v="0.36116022775355994"/>
    <n v="202402"/>
    <n v="202301"/>
    <s v="Feb-2023"/>
    <n v="13"/>
    <s v="Late"/>
    <n v="0"/>
    <n v="0"/>
  </r>
  <r>
    <x v="197"/>
    <d v="2023-01-30T00:00:00"/>
    <s v="Jan-2023"/>
    <x v="0"/>
    <d v="2023-02-21T00:00:00"/>
    <n v="22"/>
    <x v="3"/>
    <x v="6"/>
    <s v="Munich"/>
    <s v="Europe &gt; Germany &gt; Munich"/>
    <s v="Small Business"/>
    <x v="2"/>
    <x v="3"/>
    <x v="2"/>
    <s v="NET-3460"/>
    <n v="1142.8800000000001"/>
    <n v="1465.29"/>
    <s v="High"/>
    <n v="0.186"/>
    <n v="7"/>
    <n v="8349.2224200000001"/>
    <n v="1063371.3527299995"/>
    <n v="8000.1600000000008"/>
    <n v="349.06241999999929"/>
    <n v="4.1807775915017401E-2"/>
    <n v="202301"/>
    <n v="202301"/>
    <s v="Jan-2023"/>
    <n v="0"/>
    <s v="Late"/>
    <n v="0"/>
    <n v="0"/>
  </r>
  <r>
    <x v="198"/>
    <d v="2023-04-14T00:00:00"/>
    <s v="Apr-2023"/>
    <x v="2"/>
    <d v="2023-05-13T00:00:00"/>
    <n v="29"/>
    <x v="3"/>
    <x v="6"/>
    <s v="Frankfurt"/>
    <s v="Europe &gt; Germany &gt; Frankfurt"/>
    <s v="Consumer"/>
    <x v="4"/>
    <x v="1"/>
    <x v="1"/>
    <s v="PRN-7019"/>
    <n v="1320.33"/>
    <n v="2645.23"/>
    <s v="High"/>
    <n v="0.155"/>
    <n v="25"/>
    <n v="55880.483749999999"/>
    <n v="1063371.3527299995"/>
    <n v="33008.25"/>
    <n v="22872.233749999999"/>
    <n v="0.40930629470436536"/>
    <n v="202304"/>
    <n v="202301"/>
    <s v="Apr-2023"/>
    <n v="3"/>
    <s v="Late"/>
    <n v="0"/>
    <n v="0"/>
  </r>
  <r>
    <x v="199"/>
    <d v="2023-01-13T00:00:00"/>
    <s v="Jan-2023"/>
    <x v="0"/>
    <d v="2023-01-19T00:00:00"/>
    <n v="6"/>
    <x v="2"/>
    <x v="10"/>
    <s v="Chicago"/>
    <s v="Americas &gt; USA &gt; Chicago"/>
    <s v="Corporate"/>
    <x v="4"/>
    <x v="10"/>
    <x v="3"/>
    <s v="PHN-3159"/>
    <n v="833.57"/>
    <n v="881.57"/>
    <s v="Medium"/>
    <n v="5.7000000000000002E-2"/>
    <n v="18"/>
    <n v="14963.769179999999"/>
    <n v="1063371.3527299995"/>
    <n v="15004.26"/>
    <n v="-40.490820000000895"/>
    <n v="-2.7059238560107821E-3"/>
    <n v="202301"/>
    <n v="202301"/>
    <s v="Jan-2023"/>
    <n v="0"/>
    <s v="On Time"/>
    <n v="1"/>
    <n v="0"/>
  </r>
  <r>
    <x v="200"/>
    <d v="2024-01-12T00:00:00"/>
    <s v="Jan-2024"/>
    <x v="0"/>
    <d v="2024-01-29T00:00:00"/>
    <n v="17"/>
    <x v="2"/>
    <x v="10"/>
    <s v="Chicago"/>
    <s v="Americas &gt; USA &gt; Chicago"/>
    <s v="Education"/>
    <x v="3"/>
    <x v="8"/>
    <x v="1"/>
    <s v="PRN-8604"/>
    <n v="493.76"/>
    <n v="625.04"/>
    <s v="Low"/>
    <n v="0.25800000000000001"/>
    <n v="10"/>
    <n v="4637.7968000000001"/>
    <n v="1063371.3527299995"/>
    <n v="4937.6000000000004"/>
    <n v="-299.80320000000029"/>
    <n v="-6.464345311549663E-2"/>
    <n v="202401"/>
    <n v="202301"/>
    <s v="Jan-2023"/>
    <n v="12"/>
    <s v="Late"/>
    <n v="0"/>
    <n v="1"/>
  </r>
  <r>
    <x v="201"/>
    <d v="2023-08-15T00:00:00"/>
    <s v="Aug-2023"/>
    <x v="3"/>
    <d v="2023-09-07T00:00:00"/>
    <n v="23"/>
    <x v="2"/>
    <x v="10"/>
    <s v="New York"/>
    <s v="Americas &gt; USA &gt; New York"/>
    <s v="Enterprise"/>
    <x v="1"/>
    <x v="11"/>
    <x v="3"/>
    <s v="PHN-2013"/>
    <n v="590.33000000000004"/>
    <n v="973.04"/>
    <s v="Medium"/>
    <n v="0"/>
    <n v="26"/>
    <n v="25299.040000000001"/>
    <n v="1063371.3527299995"/>
    <n v="15348.580000000002"/>
    <n v="9950.4599999999991"/>
    <n v="0.39331373838691108"/>
    <n v="202308"/>
    <n v="202301"/>
    <s v="Aug-2023"/>
    <n v="7"/>
    <s v="Late"/>
    <n v="0"/>
    <n v="0"/>
  </r>
  <r>
    <x v="202"/>
    <d v="2023-01-20T00:00:00"/>
    <s v="Jan-2023"/>
    <x v="0"/>
    <d v="2023-02-03T00:00:00"/>
    <n v="14"/>
    <x v="0"/>
    <x v="0"/>
    <s v="Kisumu"/>
    <s v="Africa &gt; Kenya &gt; Kisumu"/>
    <s v="Corporate"/>
    <x v="0"/>
    <x v="12"/>
    <x v="2"/>
    <s v="NET-6036"/>
    <n v="884.36"/>
    <n v="1545.34"/>
    <s v="Medium"/>
    <n v="0.24299999999999999"/>
    <n v="41"/>
    <n v="47962.717579999997"/>
    <n v="1063371.3527299995"/>
    <n v="36258.76"/>
    <n v="11703.957579999995"/>
    <n v="0.24402198562827965"/>
    <n v="202301"/>
    <n v="202301"/>
    <s v="Jan-2023"/>
    <n v="0"/>
    <s v="Late"/>
    <n v="0"/>
    <n v="1"/>
  </r>
  <r>
    <x v="203"/>
    <d v="2025-02-04T00:00:00"/>
    <s v="Feb-2025"/>
    <x v="0"/>
    <d v="2025-02-25T00:00:00"/>
    <n v="21"/>
    <x v="3"/>
    <x v="8"/>
    <s v="Birmingham"/>
    <s v="Europe &gt; United Kingdom &gt; Birmingham"/>
    <s v="Corporate"/>
    <x v="2"/>
    <x v="14"/>
    <x v="5"/>
    <s v="MON-4959"/>
    <n v="1016.32"/>
    <n v="2253.42"/>
    <s v="High"/>
    <n v="5.5E-2"/>
    <n v="12"/>
    <n v="25553.782800000001"/>
    <n v="1063371.3527299995"/>
    <n v="12195.84"/>
    <n v="13357.942800000001"/>
    <n v="0.52273837124419797"/>
    <n v="202502"/>
    <n v="202301"/>
    <s v="Feb-2023"/>
    <n v="25"/>
    <s v="Late"/>
    <n v="0"/>
    <n v="0"/>
  </r>
  <r>
    <x v="204"/>
    <d v="2023-04-19T00:00:00"/>
    <s v="Apr-2023"/>
    <x v="2"/>
    <d v="2023-04-28T00:00:00"/>
    <n v="9"/>
    <x v="3"/>
    <x v="6"/>
    <s v="Berlin"/>
    <s v="Europe &gt; Germany &gt; Berlin"/>
    <s v="Education"/>
    <x v="1"/>
    <x v="6"/>
    <x v="5"/>
    <s v="MON-1663"/>
    <n v="1178.42"/>
    <n v="2446.56"/>
    <s v="High"/>
    <n v="2.9000000000000001E-2"/>
    <n v="11"/>
    <n v="26131.70736"/>
    <n v="1063371.3527299995"/>
    <n v="12962.62"/>
    <n v="13169.08736"/>
    <n v="0.5039505141618883"/>
    <n v="202304"/>
    <n v="202301"/>
    <s v="Apr-2023"/>
    <n v="3"/>
    <s v="Late"/>
    <n v="0"/>
    <n v="0"/>
  </r>
  <r>
    <x v="205"/>
    <d v="2023-07-02T00:00:00"/>
    <s v="Jul-2023"/>
    <x v="3"/>
    <d v="2023-08-01T00:00:00"/>
    <n v="30"/>
    <x v="3"/>
    <x v="8"/>
    <s v="Birmingham"/>
    <s v="Europe &gt; United Kingdom &gt; Birmingham"/>
    <s v="Small Business"/>
    <x v="0"/>
    <x v="5"/>
    <x v="0"/>
    <s v="CMP-7256"/>
    <n v="137.46"/>
    <n v="188.3"/>
    <s v="Low"/>
    <n v="3.7999999999999999E-2"/>
    <n v="37"/>
    <n v="6702.3501999999999"/>
    <n v="1063371.3527299995"/>
    <n v="5086.0200000000004"/>
    <n v="1616.3301999999994"/>
    <n v="0.24115872071262398"/>
    <n v="202307"/>
    <n v="202301"/>
    <s v="Jul-2023"/>
    <n v="6"/>
    <s v="Late"/>
    <n v="0"/>
    <n v="0"/>
  </r>
  <r>
    <x v="206"/>
    <d v="2025-01-21T00:00:00"/>
    <s v="Jan-2025"/>
    <x v="0"/>
    <d v="2025-02-14T00:00:00"/>
    <n v="24"/>
    <x v="0"/>
    <x v="0"/>
    <s v="Nairobi"/>
    <s v="Africa &gt; Kenya &gt; Nairobi"/>
    <s v="Small Business"/>
    <x v="0"/>
    <x v="1"/>
    <x v="6"/>
    <s v="ACC-1659"/>
    <n v="1030.44"/>
    <n v="2562.84"/>
    <s v="High"/>
    <n v="0.14799999999999999"/>
    <n v="13"/>
    <n v="28386.015839999996"/>
    <n v="1056669.0025299995"/>
    <n v="13395.720000000001"/>
    <n v="14990.295839999995"/>
    <n v="0.52808734852027039"/>
    <n v="202501"/>
    <n v="202301"/>
    <s v="Jan-2023"/>
    <n v="24"/>
    <s v="Late"/>
    <n v="0"/>
    <n v="0"/>
  </r>
  <r>
    <x v="207"/>
    <d v="2024-09-10T00:00:00"/>
    <s v="Sept-2024"/>
    <x v="3"/>
    <d v="2024-10-07T00:00:00"/>
    <n v="27"/>
    <x v="0"/>
    <x v="0"/>
    <s v="Kisumu"/>
    <s v="Africa &gt; Kenya &gt; Kisumu"/>
    <s v="Consumer"/>
    <x v="0"/>
    <x v="4"/>
    <x v="1"/>
    <s v="PRN-6068"/>
    <n v="1248.3900000000001"/>
    <n v="1805.11"/>
    <s v="High"/>
    <n v="0.20300000000000001"/>
    <n v="11"/>
    <n v="15825.399369999997"/>
    <n v="1056669.0025299995"/>
    <n v="13732.29"/>
    <n v="2093.1093699999965"/>
    <n v="0.13226265707820786"/>
    <n v="202409"/>
    <n v="202301"/>
    <s v="Sept-2023"/>
    <n v="20"/>
    <s v="Late"/>
    <n v="0"/>
    <n v="1"/>
  </r>
  <r>
    <x v="208"/>
    <d v="2025-07-21T00:00:00"/>
    <s v="Jul-2025"/>
    <x v="3"/>
    <d v="2025-08-07T00:00:00"/>
    <n v="17"/>
    <x v="0"/>
    <x v="1"/>
    <s v="Lagos"/>
    <s v="Africa &gt; Nigeria &gt; Lagos"/>
    <s v="Enterprise"/>
    <x v="4"/>
    <x v="12"/>
    <x v="6"/>
    <s v="ACC-8999"/>
    <n v="1204.95"/>
    <n v="2065.73"/>
    <s v="High"/>
    <n v="0.13600000000000001"/>
    <n v="10"/>
    <n v="17847.907199999998"/>
    <n v="1056669.0025299995"/>
    <n v="12049.5"/>
    <n v="5798.4071999999978"/>
    <n v="0.32487882949100039"/>
    <n v="202507"/>
    <n v="202301"/>
    <s v="Jul-2023"/>
    <n v="30"/>
    <s v="Late"/>
    <n v="0"/>
    <n v="0"/>
  </r>
  <r>
    <x v="209"/>
    <d v="2024-10-02T00:00:00"/>
    <s v="Oct-2024"/>
    <x v="1"/>
    <d v="2024-10-23T00:00:00"/>
    <n v="21"/>
    <x v="0"/>
    <x v="11"/>
    <s v="Durban"/>
    <s v="Africa &gt; South Africa &gt; Durban"/>
    <s v="Corporate"/>
    <x v="2"/>
    <x v="8"/>
    <x v="0"/>
    <s v="CMP-3978"/>
    <n v="1095.6099999999999"/>
    <n v="2366.5100000000002"/>
    <s v="High"/>
    <n v="0.152"/>
    <n v="9"/>
    <n v="18061.204320000004"/>
    <n v="1056669.0025299995"/>
    <n v="9860.49"/>
    <n v="8200.7143200000046"/>
    <n v="0.4540513564158607"/>
    <n v="202410"/>
    <n v="202301"/>
    <s v="Oct-2023"/>
    <n v="21"/>
    <s v="Late"/>
    <n v="0"/>
    <n v="0"/>
  </r>
  <r>
    <x v="210"/>
    <d v="2025-07-14T00:00:00"/>
    <s v="Jul-2025"/>
    <x v="3"/>
    <d v="2025-08-04T00:00:00"/>
    <n v="21"/>
    <x v="2"/>
    <x v="3"/>
    <s v="Montreal"/>
    <s v="Americas &gt; Canada &gt; Montreal"/>
    <s v="Consumer"/>
    <x v="1"/>
    <x v="10"/>
    <x v="5"/>
    <s v="MON-7868"/>
    <n v="90.3"/>
    <n v="131.76"/>
    <s v="Low"/>
    <n v="0.10199999999999999"/>
    <n v="15"/>
    <n v="1774.8072"/>
    <n v="1038607.7982099996"/>
    <n v="1354.5"/>
    <n v="420.30719999999997"/>
    <n v="0.23681851189244668"/>
    <n v="202507"/>
    <n v="202301"/>
    <s v="Jul-2023"/>
    <n v="30"/>
    <s v="Late"/>
    <n v="0"/>
    <n v="0"/>
  </r>
  <r>
    <x v="211"/>
    <d v="2024-09-09T00:00:00"/>
    <s v="Sept-2024"/>
    <x v="3"/>
    <d v="2024-10-01T00:00:00"/>
    <n v="22"/>
    <x v="1"/>
    <x v="9"/>
    <s v="Shenzhen"/>
    <s v="Asia &gt; China &gt; Shenzhen"/>
    <s v="Consumer"/>
    <x v="4"/>
    <x v="4"/>
    <x v="1"/>
    <s v="PRN-3014"/>
    <n v="1166.18"/>
    <n v="1335.02"/>
    <s v="High"/>
    <n v="0.128"/>
    <n v="6"/>
    <n v="6984.8246399999998"/>
    <n v="1038607.7982099996"/>
    <n v="6997.08"/>
    <n v="-12.25536000000011"/>
    <n v="-1.7545694604582242E-3"/>
    <n v="202409"/>
    <n v="202301"/>
    <s v="Sept-2023"/>
    <n v="20"/>
    <s v="Late"/>
    <n v="0"/>
    <n v="0"/>
  </r>
  <r>
    <x v="212"/>
    <d v="2025-01-29T00:00:00"/>
    <s v="Jan-2025"/>
    <x v="0"/>
    <d v="2025-02-06T00:00:00"/>
    <n v="8"/>
    <x v="0"/>
    <x v="0"/>
    <s v="Kisumu"/>
    <s v="Africa &gt; Kenya &gt; Kisumu"/>
    <s v="Education"/>
    <x v="0"/>
    <x v="5"/>
    <x v="3"/>
    <s v="PHN-1671"/>
    <n v="1445.27"/>
    <n v="2691.45"/>
    <s v="High"/>
    <n v="0"/>
    <n v="9"/>
    <n v="24223.05"/>
    <n v="1038607.7982099996"/>
    <n v="13007.43"/>
    <n v="11215.619999999999"/>
    <n v="0.46301436028906351"/>
    <n v="202501"/>
    <n v="202301"/>
    <s v="Jan-2023"/>
    <n v="24"/>
    <s v="Late"/>
    <n v="0"/>
    <n v="0"/>
  </r>
  <r>
    <x v="213"/>
    <d v="2023-11-10T00:00:00"/>
    <s v="Nov-2023"/>
    <x v="1"/>
    <d v="2023-11-28T00:00:00"/>
    <n v="18"/>
    <x v="2"/>
    <x v="5"/>
    <s v="Brasília"/>
    <s v="Americas &gt; Brazil &gt; Brasília"/>
    <s v="Education"/>
    <x v="2"/>
    <x v="4"/>
    <x v="6"/>
    <s v="ACC-5260"/>
    <n v="388.51"/>
    <n v="776.46"/>
    <s v="Low"/>
    <n v="0.157"/>
    <n v="12"/>
    <n v="7854.6693599999999"/>
    <n v="1038607.7982099996"/>
    <n v="4662.12"/>
    <n v="3192.54936"/>
    <n v="0.40645241876864946"/>
    <n v="202311"/>
    <n v="202301"/>
    <s v="Nov-2023"/>
    <n v="10"/>
    <s v="Late"/>
    <n v="0"/>
    <n v="0"/>
  </r>
  <r>
    <x v="214"/>
    <d v="2024-02-29T00:00:00"/>
    <s v="Feb-2024"/>
    <x v="0"/>
    <d v="2024-03-30T00:00:00"/>
    <n v="30"/>
    <x v="1"/>
    <x v="2"/>
    <s v="Nagoya"/>
    <s v="Asia &gt; Japan &gt; Nagoya"/>
    <s v="Small Business"/>
    <x v="4"/>
    <x v="2"/>
    <x v="2"/>
    <s v="NET-7588"/>
    <n v="231.11"/>
    <n v="318.17"/>
    <s v="Low"/>
    <n v="0.20100000000000001"/>
    <n v="60"/>
    <n v="15253.069799999999"/>
    <n v="1038607.7982099996"/>
    <n v="13866.6"/>
    <n v="1386.4697999999989"/>
    <n v="9.0897754889969692E-2"/>
    <n v="202402"/>
    <n v="202303"/>
    <s v="Feb-2023"/>
    <n v="11"/>
    <s v="Late"/>
    <n v="0"/>
    <n v="1"/>
  </r>
  <r>
    <x v="215"/>
    <d v="2023-12-20T00:00:00"/>
    <s v="Dec-2023"/>
    <x v="1"/>
    <d v="2024-01-14T00:00:00"/>
    <n v="25"/>
    <x v="1"/>
    <x v="4"/>
    <s v="Mumbai"/>
    <s v="Asia &gt; India &gt; Mumbai"/>
    <s v="Non-Profit"/>
    <x v="2"/>
    <x v="4"/>
    <x v="5"/>
    <s v="MON-1572"/>
    <n v="1085.6099999999999"/>
    <n v="1246.4100000000001"/>
    <s v="High"/>
    <n v="0.113"/>
    <n v="7"/>
    <n v="7738.9596900000006"/>
    <n v="1038607.7982099996"/>
    <n v="7599.2699999999995"/>
    <n v="139.68969000000106"/>
    <n v="1.8050189637310417E-2"/>
    <n v="202312"/>
    <n v="202301"/>
    <s v="Dec-2023"/>
    <n v="11"/>
    <s v="Late"/>
    <n v="0"/>
    <n v="0"/>
  </r>
  <r>
    <x v="216"/>
    <d v="2023-01-22T00:00:00"/>
    <s v="Jan-2023"/>
    <x v="0"/>
    <d v="2023-01-23T00:00:00"/>
    <n v="1"/>
    <x v="3"/>
    <x v="6"/>
    <s v="Munich"/>
    <s v="Europe &gt; Germany &gt; Munich"/>
    <s v="Corporate"/>
    <x v="4"/>
    <x v="9"/>
    <x v="5"/>
    <s v="MON-2537"/>
    <n v="150.86000000000001"/>
    <n v="346.96"/>
    <s v="Low"/>
    <n v="0.19600000000000001"/>
    <n v="8"/>
    <n v="2231.6467200000002"/>
    <n v="1038607.7982099996"/>
    <n v="1206.8800000000001"/>
    <n v="1024.7667200000001"/>
    <n v="0.45919755614365343"/>
    <n v="202301"/>
    <n v="202301"/>
    <s v="Jan-2023"/>
    <n v="0"/>
    <s v="On Time"/>
    <n v="1"/>
    <n v="0"/>
  </r>
  <r>
    <x v="217"/>
    <d v="2024-10-11T00:00:00"/>
    <s v="Oct-2024"/>
    <x v="1"/>
    <d v="2024-11-09T00:00:00"/>
    <n v="29"/>
    <x v="1"/>
    <x v="9"/>
    <s v="Shanghai"/>
    <s v="Asia &gt; China &gt; Shanghai"/>
    <s v="Non-Profit"/>
    <x v="1"/>
    <x v="9"/>
    <x v="1"/>
    <s v="PRN-5666"/>
    <n v="391.64"/>
    <n v="504.76"/>
    <s v="Low"/>
    <n v="4.0000000000000001E-3"/>
    <n v="13"/>
    <n v="6535.6324800000002"/>
    <n v="1038607.7982099996"/>
    <n v="5091.32"/>
    <n v="1444.3124800000005"/>
    <n v="0.22099046793402319"/>
    <n v="202410"/>
    <n v="202301"/>
    <s v="Oct-2023"/>
    <n v="21"/>
    <s v="Late"/>
    <n v="0"/>
    <n v="0"/>
  </r>
  <r>
    <x v="218"/>
    <d v="2024-09-19T00:00:00"/>
    <s v="Sept-2024"/>
    <x v="3"/>
    <d v="2024-10-14T00:00:00"/>
    <n v="25"/>
    <x v="2"/>
    <x v="5"/>
    <s v="Rio de Janeiro"/>
    <s v="Americas &gt; Brazil &gt; Rio de Janeiro"/>
    <s v="Small Business"/>
    <x v="0"/>
    <x v="11"/>
    <x v="1"/>
    <s v="PRN-2749"/>
    <n v="386.96"/>
    <n v="937.46"/>
    <s v="Low"/>
    <n v="0.26600000000000001"/>
    <n v="41"/>
    <n v="28211.92124"/>
    <n v="1038607.7982099996"/>
    <n v="15865.359999999999"/>
    <n v="12346.561240000001"/>
    <n v="0.43763631462626335"/>
    <n v="202409"/>
    <n v="202301"/>
    <s v="Sept-2023"/>
    <n v="20"/>
    <s v="Late"/>
    <n v="0"/>
    <n v="1"/>
  </r>
  <r>
    <x v="219"/>
    <d v="2025-08-25T00:00:00"/>
    <s v="Aug-2025"/>
    <x v="3"/>
    <d v="2025-09-24T00:00:00"/>
    <n v="30"/>
    <x v="0"/>
    <x v="0"/>
    <s v="Nairobi"/>
    <s v="Africa &gt; Kenya &gt; Nairobi"/>
    <s v="Consumer"/>
    <x v="4"/>
    <x v="5"/>
    <x v="0"/>
    <s v="CMP-4970"/>
    <n v="589.14"/>
    <n v="1300.58"/>
    <s v="Medium"/>
    <n v="5.5E-2"/>
    <n v="11"/>
    <n v="13519.529099999998"/>
    <n v="1038607.7982099996"/>
    <n v="6480.54"/>
    <n v="7038.989099999998"/>
    <n v="0.52065342275863724"/>
    <n v="202508"/>
    <n v="202301"/>
    <s v="Aug-2023"/>
    <n v="31"/>
    <s v="Late"/>
    <n v="0"/>
    <n v="0"/>
  </r>
  <r>
    <x v="220"/>
    <d v="2023-09-25T00:00:00"/>
    <s v="Sept-2023"/>
    <x v="3"/>
    <d v="2023-10-02T00:00:00"/>
    <n v="7"/>
    <x v="2"/>
    <x v="10"/>
    <s v="New York"/>
    <s v="Americas &gt; USA &gt; New York"/>
    <s v="Education"/>
    <x v="2"/>
    <x v="2"/>
    <x v="6"/>
    <s v="ACC-3551"/>
    <n v="145.58000000000001"/>
    <n v="228.15"/>
    <s v="Low"/>
    <n v="0.20399999999999999"/>
    <n v="5"/>
    <n v="908.03700000000003"/>
    <n v="1025088.2691099996"/>
    <n v="727.90000000000009"/>
    <n v="180.13699999999994"/>
    <n v="0.19838068272548359"/>
    <n v="202309"/>
    <n v="202301"/>
    <s v="Sept-2023"/>
    <n v="8"/>
    <s v="On Time"/>
    <n v="1"/>
    <n v="1"/>
  </r>
  <r>
    <x v="221"/>
    <d v="2023-08-26T00:00:00"/>
    <s v="Aug-2023"/>
    <x v="3"/>
    <d v="2023-09-10T00:00:00"/>
    <n v="15"/>
    <x v="0"/>
    <x v="11"/>
    <s v="Cape Town"/>
    <s v="Africa &gt; South Africa &gt; Cape Town"/>
    <s v="Non-Profit"/>
    <x v="4"/>
    <x v="13"/>
    <x v="0"/>
    <s v="CMP-7063"/>
    <n v="241.14"/>
    <n v="496.52"/>
    <s v="Low"/>
    <n v="9.2999999999999999E-2"/>
    <n v="10"/>
    <n v="4503.4363999999996"/>
    <n v="1025088.2691099996"/>
    <n v="2411.3999999999996"/>
    <n v="2092.0364"/>
    <n v="0.46454223268257994"/>
    <n v="202308"/>
    <n v="202301"/>
    <s v="Aug-2023"/>
    <n v="7"/>
    <s v="Late"/>
    <n v="0"/>
    <n v="0"/>
  </r>
  <r>
    <x v="222"/>
    <d v="2025-07-16T00:00:00"/>
    <s v="Jul-2025"/>
    <x v="3"/>
    <d v="2025-07-17T00:00:00"/>
    <n v="1"/>
    <x v="0"/>
    <x v="11"/>
    <s v="Durban"/>
    <s v="Africa &gt; South Africa &gt; Durban"/>
    <s v="Small Business"/>
    <x v="3"/>
    <x v="5"/>
    <x v="2"/>
    <s v="NET-1612"/>
    <n v="1198.9000000000001"/>
    <n v="2941.2"/>
    <s v="High"/>
    <n v="5.0999999999999997E-2"/>
    <n v="24"/>
    <n v="66988.771199999988"/>
    <n v="1020584.8327099996"/>
    <n v="28773.600000000002"/>
    <n v="38215.171199999982"/>
    <n v="0.57047129713583977"/>
    <n v="202507"/>
    <n v="202301"/>
    <s v="Jul-2023"/>
    <n v="30"/>
    <s v="On Time"/>
    <n v="1"/>
    <n v="0"/>
  </r>
  <r>
    <x v="223"/>
    <d v="2023-04-19T00:00:00"/>
    <s v="Apr-2023"/>
    <x v="2"/>
    <d v="2023-05-07T00:00:00"/>
    <n v="18"/>
    <x v="3"/>
    <x v="8"/>
    <s v="Birmingham"/>
    <s v="Europe &gt; United Kingdom &gt; Birmingham"/>
    <s v="Enterprise"/>
    <x v="0"/>
    <x v="13"/>
    <x v="4"/>
    <s v="LAP-9766"/>
    <n v="1089.1500000000001"/>
    <n v="1088.2"/>
    <s v="High"/>
    <n v="5.0999999999999997E-2"/>
    <n v="15"/>
    <n v="15490.527"/>
    <n v="1020584.8327099996"/>
    <n v="16337.250000000002"/>
    <n v="-846.72300000000178"/>
    <n v="-5.4660696824582002E-2"/>
    <n v="202304"/>
    <n v="202301"/>
    <s v="Apr-2023"/>
    <n v="3"/>
    <s v="Late"/>
    <n v="0"/>
    <n v="0"/>
  </r>
  <r>
    <x v="224"/>
    <d v="2023-12-19T00:00:00"/>
    <s v="Dec-2023"/>
    <x v="1"/>
    <d v="2023-12-20T00:00:00"/>
    <n v="1"/>
    <x v="2"/>
    <x v="5"/>
    <s v="Rio de Janeiro"/>
    <s v="Americas &gt; Brazil &gt; Rio de Janeiro"/>
    <s v="Consumer"/>
    <x v="3"/>
    <x v="1"/>
    <x v="3"/>
    <s v="PHN-7274"/>
    <n v="1080.43"/>
    <n v="2529.15"/>
    <s v="High"/>
    <n v="0.14699999999999999"/>
    <n v="10"/>
    <n v="21573.6495"/>
    <n v="1020584.8327099996"/>
    <n v="10804.300000000001"/>
    <n v="10769.349499999998"/>
    <n v="0.49918997247081437"/>
    <n v="202312"/>
    <n v="202301"/>
    <s v="Dec-2023"/>
    <n v="11"/>
    <s v="On Time"/>
    <n v="1"/>
    <n v="0"/>
  </r>
  <r>
    <x v="225"/>
    <d v="2023-07-30T00:00:00"/>
    <s v="Jul-2023"/>
    <x v="3"/>
    <d v="2023-08-07T00:00:00"/>
    <n v="8"/>
    <x v="1"/>
    <x v="2"/>
    <s v="Nagoya"/>
    <s v="Asia &gt; Japan &gt; Nagoya"/>
    <s v="Education"/>
    <x v="2"/>
    <x v="8"/>
    <x v="2"/>
    <s v="NET-1645"/>
    <n v="1352.44"/>
    <n v="2698.01"/>
    <s v="High"/>
    <n v="0.13100000000000001"/>
    <n v="13"/>
    <n v="30479.418970000002"/>
    <n v="1020584.8327099996"/>
    <n v="17581.72"/>
    <n v="12897.698970000001"/>
    <n v="0.42316091992090887"/>
    <n v="202307"/>
    <n v="202303"/>
    <s v="Jul-2023"/>
    <n v="4"/>
    <s v="Late"/>
    <n v="0"/>
    <n v="0"/>
  </r>
  <r>
    <x v="226"/>
    <d v="2023-10-04T00:00:00"/>
    <s v="Oct-2023"/>
    <x v="1"/>
    <d v="2023-10-29T00:00:00"/>
    <n v="25"/>
    <x v="2"/>
    <x v="10"/>
    <s v="San Francisco"/>
    <s v="Americas &gt; USA &gt; San Francisco"/>
    <s v="Small Business"/>
    <x v="3"/>
    <x v="7"/>
    <x v="6"/>
    <s v="ACC-5079"/>
    <n v="1239.8399999999999"/>
    <n v="1482.75"/>
    <s v="High"/>
    <n v="6.7000000000000004E-2"/>
    <n v="4"/>
    <n v="5533.6230000000005"/>
    <n v="1020584.8327099996"/>
    <n v="4959.3599999999997"/>
    <n v="574.26300000000083"/>
    <n v="0.10377703721413634"/>
    <n v="202310"/>
    <n v="202301"/>
    <s v="Oct-2023"/>
    <n v="9"/>
    <s v="Late"/>
    <n v="0"/>
    <n v="0"/>
  </r>
  <r>
    <x v="227"/>
    <d v="2025-08-10T00:00:00"/>
    <s v="Aug-2025"/>
    <x v="3"/>
    <d v="2025-08-30T00:00:00"/>
    <n v="20"/>
    <x v="2"/>
    <x v="10"/>
    <s v="San Francisco"/>
    <s v="Americas &gt; USA &gt; San Francisco"/>
    <s v="Corporate"/>
    <x v="2"/>
    <x v="11"/>
    <x v="1"/>
    <s v="PRN-2098"/>
    <n v="933.29"/>
    <n v="1456.81"/>
    <s v="Medium"/>
    <n v="0.123"/>
    <n v="13"/>
    <n v="16609.090809999998"/>
    <n v="1020584.8327099996"/>
    <n v="12132.77"/>
    <n v="4476.3208099999974"/>
    <n v="0.26951028573489977"/>
    <n v="202508"/>
    <n v="202301"/>
    <s v="Aug-2023"/>
    <n v="31"/>
    <s v="Late"/>
    <n v="0"/>
    <n v="0"/>
  </r>
  <r>
    <x v="228"/>
    <d v="2023-03-07T00:00:00"/>
    <s v="Mar-2023"/>
    <x v="0"/>
    <d v="2023-04-01T00:00:00"/>
    <n v="25"/>
    <x v="0"/>
    <x v="0"/>
    <s v="Nairobi"/>
    <s v="Africa &gt; Kenya &gt; Nairobi"/>
    <s v="Consumer"/>
    <x v="2"/>
    <x v="14"/>
    <x v="1"/>
    <s v="PRN-7049"/>
    <n v="1024.0999999999999"/>
    <n v="918.19"/>
    <s v="High"/>
    <n v="0.189"/>
    <n v="10"/>
    <n v="7446.5209000000004"/>
    <n v="1020584.8327099996"/>
    <n v="10241"/>
    <n v="-2794.4790999999996"/>
    <n v="-0.37527311579827827"/>
    <n v="202303"/>
    <n v="202301"/>
    <s v="Mar-2023"/>
    <n v="2"/>
    <s v="Late"/>
    <n v="0"/>
    <n v="0"/>
  </r>
  <r>
    <x v="229"/>
    <d v="2023-05-23T00:00:00"/>
    <s v="May-2023"/>
    <x v="2"/>
    <d v="2023-06-10T00:00:00"/>
    <n v="18"/>
    <x v="1"/>
    <x v="9"/>
    <s v="Shanghai"/>
    <s v="Asia &gt; China &gt; Shanghai"/>
    <s v="Corporate"/>
    <x v="3"/>
    <x v="6"/>
    <x v="0"/>
    <s v="CMP-6925"/>
    <n v="54.62"/>
    <n v="48.94"/>
    <s v="Low"/>
    <n v="0.14799999999999999"/>
    <n v="16"/>
    <n v="667.15008"/>
    <n v="1020584.8327099996"/>
    <n v="873.92"/>
    <n v="-206.76991999999996"/>
    <n v="-0.3099301434543783"/>
    <n v="202305"/>
    <n v="202301"/>
    <s v="May-2023"/>
    <n v="4"/>
    <s v="Late"/>
    <n v="0"/>
    <n v="0"/>
  </r>
  <r>
    <x v="230"/>
    <d v="2025-04-24T00:00:00"/>
    <s v="Apr-2025"/>
    <x v="2"/>
    <d v="2025-05-06T00:00:00"/>
    <n v="12"/>
    <x v="2"/>
    <x v="5"/>
    <s v="Brasília"/>
    <s v="Americas &gt; Brazil &gt; Brasília"/>
    <s v="Consumer"/>
    <x v="1"/>
    <x v="0"/>
    <x v="3"/>
    <s v="PHN-2787"/>
    <n v="394.13"/>
    <n v="932.29"/>
    <s v="Low"/>
    <n v="0.109"/>
    <n v="7"/>
    <n v="5814.6927299999998"/>
    <n v="1019917.6826299996"/>
    <n v="2758.91"/>
    <n v="3055.7827299999999"/>
    <n v="0.5255278089303268"/>
    <n v="202504"/>
    <n v="202301"/>
    <s v="Apr-2023"/>
    <n v="27"/>
    <s v="Late"/>
    <n v="0"/>
    <n v="0"/>
  </r>
  <r>
    <x v="231"/>
    <d v="2024-09-03T00:00:00"/>
    <s v="Sept-2024"/>
    <x v="3"/>
    <d v="2024-09-08T00:00:00"/>
    <n v="5"/>
    <x v="0"/>
    <x v="1"/>
    <s v="Lagos"/>
    <s v="Africa &gt; Nigeria &gt; Lagos"/>
    <s v="Small Business"/>
    <x v="4"/>
    <x v="11"/>
    <x v="1"/>
    <s v="PRN-1141"/>
    <n v="197.63"/>
    <n v="325.79000000000002"/>
    <s v="Low"/>
    <n v="0.11600000000000001"/>
    <n v="10"/>
    <n v="2879.9836"/>
    <n v="1019917.6826299996"/>
    <n v="1976.3"/>
    <n v="903.68360000000007"/>
    <n v="0.31378081458519419"/>
    <n v="202409"/>
    <n v="202301"/>
    <s v="Sept-2023"/>
    <n v="20"/>
    <s v="On Time"/>
    <n v="1"/>
    <n v="0"/>
  </r>
  <r>
    <x v="232"/>
    <d v="2024-09-05T00:00:00"/>
    <s v="Sept-2024"/>
    <x v="3"/>
    <d v="2024-09-25T00:00:00"/>
    <n v="20"/>
    <x v="1"/>
    <x v="2"/>
    <s v="Osaka"/>
    <s v="Asia &gt; Japan &gt; Osaka"/>
    <s v="Enterprise"/>
    <x v="3"/>
    <x v="14"/>
    <x v="5"/>
    <s v="MON-5249"/>
    <n v="195.54"/>
    <n v="405.97"/>
    <s v="Low"/>
    <n v="0.187"/>
    <n v="16"/>
    <n v="5280.8577599999999"/>
    <n v="1019917.6826299996"/>
    <n v="3128.64"/>
    <n v="2152.21776"/>
    <n v="0.40755079152141377"/>
    <n v="202409"/>
    <n v="202303"/>
    <s v="Sept-2023"/>
    <n v="18"/>
    <s v="Late"/>
    <n v="0"/>
    <n v="0"/>
  </r>
  <r>
    <x v="233"/>
    <d v="2023-03-14T00:00:00"/>
    <s v="Mar-2023"/>
    <x v="0"/>
    <d v="2023-03-30T00:00:00"/>
    <n v="16"/>
    <x v="0"/>
    <x v="11"/>
    <s v="Cape Town"/>
    <s v="Africa &gt; South Africa &gt; Cape Town"/>
    <s v="Consumer"/>
    <x v="3"/>
    <x v="11"/>
    <x v="0"/>
    <s v="CMP-8230"/>
    <n v="1309.77"/>
    <n v="1589.07"/>
    <s v="High"/>
    <n v="0.10199999999999999"/>
    <n v="10"/>
    <n v="14269.848599999999"/>
    <n v="1019917.6826299996"/>
    <n v="13097.7"/>
    <n v="1172.1485999999986"/>
    <n v="8.2141628328137886E-2"/>
    <n v="202303"/>
    <n v="202301"/>
    <s v="Mar-2023"/>
    <n v="2"/>
    <s v="Late"/>
    <n v="0"/>
    <n v="0"/>
  </r>
  <r>
    <x v="234"/>
    <d v="2024-01-11T00:00:00"/>
    <s v="Jan-2024"/>
    <x v="0"/>
    <d v="2024-02-02T00:00:00"/>
    <n v="22"/>
    <x v="1"/>
    <x v="2"/>
    <s v="Nagoya"/>
    <s v="Asia &gt; Japan &gt; Nagoya"/>
    <s v="Small Business"/>
    <x v="1"/>
    <x v="15"/>
    <x v="1"/>
    <s v="PRN-7816"/>
    <n v="1237.68"/>
    <n v="1432.8"/>
    <s v="High"/>
    <n v="6.8000000000000005E-2"/>
    <n v="13"/>
    <n v="17359.804799999998"/>
    <n v="1005647.8340299997"/>
    <n v="16089.84"/>
    <n v="1269.9647999999979"/>
    <n v="7.315547695559331E-2"/>
    <n v="202401"/>
    <n v="202303"/>
    <s v="Jan-2023"/>
    <n v="10"/>
    <s v="Late"/>
    <n v="0"/>
    <n v="0"/>
  </r>
  <r>
    <x v="235"/>
    <d v="2024-09-13T00:00:00"/>
    <s v="Sept-2024"/>
    <x v="3"/>
    <d v="2024-10-02T00:00:00"/>
    <n v="19"/>
    <x v="0"/>
    <x v="0"/>
    <s v="Mombasa"/>
    <s v="Africa &gt; Kenya &gt; Mombasa"/>
    <s v="Small Business"/>
    <x v="0"/>
    <x v="12"/>
    <x v="3"/>
    <s v="PHN-8804"/>
    <n v="1338.99"/>
    <n v="1765.76"/>
    <s v="High"/>
    <n v="0.126"/>
    <n v="24"/>
    <n v="37038.581760000001"/>
    <n v="1005647.8340299997"/>
    <n v="32135.760000000002"/>
    <n v="4902.8217599999989"/>
    <n v="0.1323706666677725"/>
    <n v="202409"/>
    <n v="202301"/>
    <s v="Sept-2023"/>
    <n v="20"/>
    <s v="Late"/>
    <n v="0"/>
    <n v="0"/>
  </r>
  <r>
    <x v="236"/>
    <d v="2025-07-17T00:00:00"/>
    <s v="Jul-2025"/>
    <x v="3"/>
    <d v="2025-07-23T00:00:00"/>
    <n v="6"/>
    <x v="2"/>
    <x v="3"/>
    <s v="Vancouver"/>
    <s v="Americas &gt; Canada &gt; Vancouver"/>
    <s v="Consumer"/>
    <x v="1"/>
    <x v="10"/>
    <x v="0"/>
    <s v="CMP-8851"/>
    <n v="1364.89"/>
    <n v="2757.54"/>
    <s v="High"/>
    <n v="0.17199999999999999"/>
    <n v="61"/>
    <n v="139277.83032000001"/>
    <n v="1005647.8340299997"/>
    <n v="83258.290000000008"/>
    <n v="56019.54032"/>
    <n v="0.4022143379983118"/>
    <n v="202507"/>
    <n v="202301"/>
    <s v="Jul-2023"/>
    <n v="30"/>
    <s v="On Time"/>
    <n v="1"/>
    <n v="0"/>
  </r>
  <r>
    <x v="237"/>
    <d v="2023-11-28T00:00:00"/>
    <s v="Nov-2023"/>
    <x v="1"/>
    <d v="2023-12-07T00:00:00"/>
    <n v="9"/>
    <x v="1"/>
    <x v="4"/>
    <s v="Delhi"/>
    <s v="Asia &gt; India &gt; Delhi"/>
    <s v="Enterprise"/>
    <x v="2"/>
    <x v="4"/>
    <x v="3"/>
    <s v="PHN-2447"/>
    <n v="699.33"/>
    <n v="873.75"/>
    <s v="Medium"/>
    <n v="0.23499999999999999"/>
    <n v="10"/>
    <n v="6684.1875"/>
    <n v="866370.00370999996"/>
    <n v="6993.3"/>
    <n v="-309.11250000000018"/>
    <n v="-4.6245336475076469E-2"/>
    <n v="202311"/>
    <n v="202301"/>
    <s v="Nov-2023"/>
    <n v="10"/>
    <s v="Late"/>
    <n v="0"/>
    <n v="1"/>
  </r>
  <r>
    <x v="238"/>
    <d v="2024-03-30T00:00:00"/>
    <s v="Mar-2024"/>
    <x v="0"/>
    <d v="2024-04-24T00:00:00"/>
    <n v="25"/>
    <x v="2"/>
    <x v="10"/>
    <s v="Austin"/>
    <s v="Americas &gt; USA &gt; Austin"/>
    <s v="Non-Profit"/>
    <x v="1"/>
    <x v="3"/>
    <x v="4"/>
    <s v="LAP-2846"/>
    <n v="160.82"/>
    <n v="258.52"/>
    <s v="Low"/>
    <n v="0.13"/>
    <n v="17"/>
    <n v="3823.5108"/>
    <n v="866370.00370999996"/>
    <n v="2733.94"/>
    <n v="1089.5708"/>
    <n v="0.28496605789631874"/>
    <n v="202403"/>
    <n v="202301"/>
    <s v="Mar-2023"/>
    <n v="14"/>
    <s v="Late"/>
    <n v="0"/>
    <n v="0"/>
  </r>
  <r>
    <x v="239"/>
    <d v="2023-09-19T00:00:00"/>
    <s v="Sept-2023"/>
    <x v="3"/>
    <d v="2023-10-08T00:00:00"/>
    <n v="19"/>
    <x v="1"/>
    <x v="4"/>
    <s v="Bengaluru"/>
    <s v="Asia &gt; India &gt; Bengaluru"/>
    <s v="Education"/>
    <x v="4"/>
    <x v="1"/>
    <x v="1"/>
    <s v="PRN-5005"/>
    <n v="385.32"/>
    <n v="606.76"/>
    <s v="Low"/>
    <n v="8.5999999999999993E-2"/>
    <n v="8"/>
    <n v="4436.6291200000005"/>
    <n v="866370.00370999996"/>
    <n v="3082.56"/>
    <n v="1354.0691200000006"/>
    <n v="0.30520223425842735"/>
    <n v="202309"/>
    <n v="202301"/>
    <s v="Sept-2023"/>
    <n v="8"/>
    <s v="Late"/>
    <n v="0"/>
    <n v="0"/>
  </r>
  <r>
    <x v="240"/>
    <d v="2025-05-16T00:00:00"/>
    <s v="May-2025"/>
    <x v="2"/>
    <d v="2025-05-27T00:00:00"/>
    <n v="11"/>
    <x v="1"/>
    <x v="9"/>
    <s v="Beijing"/>
    <s v="Asia &gt; China &gt; Beijing"/>
    <s v="Enterprise"/>
    <x v="1"/>
    <x v="9"/>
    <x v="3"/>
    <s v="PHN-3800"/>
    <n v="918.12"/>
    <n v="1337.69"/>
    <s v="Medium"/>
    <n v="9.5000000000000001E-2"/>
    <n v="8"/>
    <n v="9684.8756000000012"/>
    <n v="866370.00370999996"/>
    <n v="7344.96"/>
    <n v="2339.9156000000012"/>
    <n v="0.24160512707050164"/>
    <n v="202505"/>
    <n v="202301"/>
    <s v="May-2023"/>
    <n v="28"/>
    <s v="Late"/>
    <n v="0"/>
    <n v="0"/>
  </r>
  <r>
    <x v="241"/>
    <d v="2025-08-02T00:00:00"/>
    <s v="Aug-2025"/>
    <x v="3"/>
    <d v="2025-08-08T00:00:00"/>
    <n v="6"/>
    <x v="1"/>
    <x v="2"/>
    <s v="Osaka"/>
    <s v="Asia &gt; Japan &gt; Osaka"/>
    <s v="Consumer"/>
    <x v="4"/>
    <x v="13"/>
    <x v="4"/>
    <s v="LAP-4828"/>
    <n v="1225.94"/>
    <n v="1793.08"/>
    <s v="High"/>
    <n v="0.13600000000000001"/>
    <n v="22"/>
    <n v="34082.864639999993"/>
    <n v="866370.00370999996"/>
    <n v="26970.68"/>
    <n v="7112.1846399999922"/>
    <n v="0.20867332353434462"/>
    <n v="202508"/>
    <n v="202303"/>
    <s v="Aug-2023"/>
    <n v="29"/>
    <s v="On Time"/>
    <n v="1"/>
    <n v="0"/>
  </r>
  <r>
    <x v="242"/>
    <d v="2024-12-04T00:00:00"/>
    <s v="Dec-2024"/>
    <x v="1"/>
    <d v="2024-12-12T00:00:00"/>
    <n v="8"/>
    <x v="3"/>
    <x v="6"/>
    <s v="Frankfurt"/>
    <s v="Europe &gt; Germany &gt; Frankfurt"/>
    <s v="Enterprise"/>
    <x v="2"/>
    <x v="5"/>
    <x v="1"/>
    <s v="PRN-5492"/>
    <n v="72.06"/>
    <n v="122.74"/>
    <s v="Low"/>
    <n v="0.23799999999999999"/>
    <n v="8"/>
    <n v="748.22303999999997"/>
    <n v="866370.00370999996"/>
    <n v="576.48"/>
    <n v="171.74303999999995"/>
    <n v="0.22953455162246802"/>
    <n v="202412"/>
    <n v="202301"/>
    <s v="Dec-2023"/>
    <n v="23"/>
    <s v="Late"/>
    <n v="0"/>
    <n v="1"/>
  </r>
  <r>
    <x v="243"/>
    <d v="2023-04-19T00:00:00"/>
    <s v="Apr-2023"/>
    <x v="2"/>
    <d v="2023-04-28T00:00:00"/>
    <n v="9"/>
    <x v="2"/>
    <x v="5"/>
    <s v="Rio de Janeiro"/>
    <s v="Americas &gt; Brazil &gt; Rio de Janeiro"/>
    <s v="Corporate"/>
    <x v="3"/>
    <x v="12"/>
    <x v="3"/>
    <s v="PHN-7132"/>
    <n v="1013.54"/>
    <n v="927.93"/>
    <s v="High"/>
    <n v="0.17499999999999999"/>
    <n v="16"/>
    <n v="12248.675999999999"/>
    <n v="866370.00370999996"/>
    <n v="16216.64"/>
    <n v="-3967.9639999999999"/>
    <n v="-0.32395044166406234"/>
    <n v="202304"/>
    <n v="202301"/>
    <s v="Apr-2023"/>
    <n v="3"/>
    <s v="Late"/>
    <n v="0"/>
    <n v="0"/>
  </r>
  <r>
    <x v="244"/>
    <d v="2024-03-06T00:00:00"/>
    <s v="Mar-2024"/>
    <x v="0"/>
    <d v="2024-03-26T00:00:00"/>
    <n v="20"/>
    <x v="0"/>
    <x v="1"/>
    <s v="Port Harcourt"/>
    <s v="Africa &gt; Nigeria &gt; Port Harcourt"/>
    <s v="Consumer"/>
    <x v="2"/>
    <x v="2"/>
    <x v="3"/>
    <s v="PHN-4741"/>
    <n v="65.64"/>
    <n v="151.88"/>
    <s v="Low"/>
    <n v="0.16700000000000001"/>
    <n v="23"/>
    <n v="2909.8689199999999"/>
    <n v="866370.00370999996"/>
    <n v="1509.72"/>
    <n v="1400.1489199999999"/>
    <n v="0.48117250587356353"/>
    <n v="202403"/>
    <n v="202301"/>
    <s v="Mar-2023"/>
    <n v="14"/>
    <s v="Late"/>
    <n v="0"/>
    <n v="0"/>
  </r>
  <r>
    <x v="245"/>
    <d v="2024-02-16T00:00:00"/>
    <s v="Feb-2024"/>
    <x v="0"/>
    <d v="2024-03-04T00:00:00"/>
    <n v="17"/>
    <x v="2"/>
    <x v="3"/>
    <s v="Montreal"/>
    <s v="Americas &gt; Canada &gt; Montreal"/>
    <s v="Non-Profit"/>
    <x v="0"/>
    <x v="14"/>
    <x v="4"/>
    <s v="LAP-2774"/>
    <n v="1350.98"/>
    <n v="2210.4"/>
    <s v="High"/>
    <n v="0.26300000000000001"/>
    <n v="6"/>
    <n v="9774.3888000000006"/>
    <n v="866370.00370999996"/>
    <n v="8105.88"/>
    <n v="1668.5088000000005"/>
    <n v="0.17070211080615091"/>
    <n v="202402"/>
    <n v="202301"/>
    <s v="Feb-2023"/>
    <n v="13"/>
    <s v="Late"/>
    <n v="0"/>
    <n v="1"/>
  </r>
  <r>
    <x v="246"/>
    <d v="2025-04-22T00:00:00"/>
    <s v="Apr-2025"/>
    <x v="2"/>
    <d v="2025-05-02T00:00:00"/>
    <n v="10"/>
    <x v="3"/>
    <x v="6"/>
    <s v="Berlin"/>
    <s v="Europe &gt; Germany &gt; Berlin"/>
    <s v="Corporate"/>
    <x v="2"/>
    <x v="0"/>
    <x v="5"/>
    <s v="MON-2842"/>
    <n v="20.149999999999999"/>
    <n v="39.74"/>
    <s v="Low"/>
    <n v="0.151"/>
    <n v="18"/>
    <n v="607.30668000000003"/>
    <n v="866370.00370999996"/>
    <n v="362.7"/>
    <n v="244.60668000000004"/>
    <n v="0.4027729120318585"/>
    <n v="202504"/>
    <n v="202301"/>
    <s v="Apr-2023"/>
    <n v="27"/>
    <s v="Late"/>
    <n v="0"/>
    <n v="0"/>
  </r>
  <r>
    <x v="247"/>
    <d v="2024-11-08T00:00:00"/>
    <s v="Nov-2024"/>
    <x v="1"/>
    <d v="2024-11-08T00:00:00"/>
    <n v="0"/>
    <x v="0"/>
    <x v="0"/>
    <s v="Nakuru"/>
    <s v="Africa &gt; Kenya &gt; Nakuru"/>
    <s v="Enterprise"/>
    <x v="2"/>
    <x v="12"/>
    <x v="2"/>
    <s v="NET-2628"/>
    <n v="803.28"/>
    <n v="1009"/>
    <s v="Medium"/>
    <n v="0.11"/>
    <n v="4"/>
    <n v="3592.04"/>
    <n v="866370.00370999996"/>
    <n v="3213.12"/>
    <n v="378.92000000000007"/>
    <n v="0.10548880302001093"/>
    <n v="202411"/>
    <n v="202301"/>
    <s v="Nov-2023"/>
    <n v="22"/>
    <s v="On Time"/>
    <n v="1"/>
    <n v="0"/>
  </r>
  <r>
    <x v="248"/>
    <d v="2025-09-12T00:00:00"/>
    <s v="Sept-2025"/>
    <x v="3"/>
    <d v="2025-09-30T00:00:00"/>
    <n v="18"/>
    <x v="1"/>
    <x v="2"/>
    <s v="Nagoya"/>
    <s v="Asia &gt; Japan &gt; Nagoya"/>
    <s v="Non-Profit"/>
    <x v="2"/>
    <x v="9"/>
    <x v="5"/>
    <s v="MON-2998"/>
    <n v="1212.99"/>
    <n v="1653.64"/>
    <s v="High"/>
    <n v="0.107"/>
    <n v="8"/>
    <n v="11813.604160000001"/>
    <n v="866370.00370999996"/>
    <n v="9703.92"/>
    <n v="2109.6841600000007"/>
    <n v="0.17858090819931455"/>
    <n v="202509"/>
    <n v="202303"/>
    <s v="Sept-2023"/>
    <n v="30"/>
    <s v="Late"/>
    <n v="0"/>
    <n v="0"/>
  </r>
  <r>
    <x v="249"/>
    <d v="2024-09-02T00:00:00"/>
    <s v="Sept-2024"/>
    <x v="3"/>
    <d v="2024-09-08T00:00:00"/>
    <n v="6"/>
    <x v="2"/>
    <x v="10"/>
    <s v="Austin"/>
    <s v="Americas &gt; USA &gt; Austin"/>
    <s v="Consumer"/>
    <x v="4"/>
    <x v="10"/>
    <x v="0"/>
    <s v="CMP-7563"/>
    <n v="462.94"/>
    <n v="1015.7"/>
    <s v="Low"/>
    <n v="0.14299999999999999"/>
    <n v="14"/>
    <n v="12186.368600000002"/>
    <n v="866370.00370999996"/>
    <n v="6481.16"/>
    <n v="5705.2086000000018"/>
    <n v="0.46816314090483041"/>
    <n v="202409"/>
    <n v="202301"/>
    <s v="Sept-2023"/>
    <n v="20"/>
    <s v="On Time"/>
    <n v="1"/>
    <n v="0"/>
  </r>
  <r>
    <x v="250"/>
    <d v="2023-03-04T00:00:00"/>
    <s v="Mar-2023"/>
    <x v="0"/>
    <d v="2023-03-24T00:00:00"/>
    <n v="20"/>
    <x v="2"/>
    <x v="3"/>
    <s v="Montreal"/>
    <s v="Americas &gt; Canada &gt; Montreal"/>
    <s v="Consumer"/>
    <x v="3"/>
    <x v="2"/>
    <x v="4"/>
    <s v="LAP-6160"/>
    <n v="481.71"/>
    <n v="912.45"/>
    <s v="Low"/>
    <n v="0.20300000000000001"/>
    <n v="24"/>
    <n v="17453.3436"/>
    <n v="854183.63511000003"/>
    <n v="11561.039999999999"/>
    <n v="5892.3036000000011"/>
    <n v="0.33760313983619739"/>
    <n v="202303"/>
    <n v="202301"/>
    <s v="Mar-2023"/>
    <n v="2"/>
    <s v="Late"/>
    <n v="0"/>
    <n v="1"/>
  </r>
  <r>
    <x v="251"/>
    <d v="2024-03-15T00:00:00"/>
    <s v="Mar-2024"/>
    <x v="0"/>
    <d v="2024-04-09T00:00:00"/>
    <n v="25"/>
    <x v="2"/>
    <x v="3"/>
    <s v="Vancouver"/>
    <s v="Americas &gt; Canada &gt; Vancouver"/>
    <s v="Consumer"/>
    <x v="1"/>
    <x v="9"/>
    <x v="5"/>
    <s v="MON-4361"/>
    <n v="648.64"/>
    <n v="815.19"/>
    <s v="Medium"/>
    <n v="0.22500000000000001"/>
    <n v="28"/>
    <n v="17689.623"/>
    <n v="854183.63511000003"/>
    <n v="18161.919999999998"/>
    <n v="-472.29699999999866"/>
    <n v="-2.6699099240272032E-2"/>
    <n v="202403"/>
    <n v="202301"/>
    <s v="Mar-2023"/>
    <n v="14"/>
    <s v="Late"/>
    <n v="0"/>
    <n v="1"/>
  </r>
  <r>
    <x v="252"/>
    <d v="2024-07-29T00:00:00"/>
    <s v="Jul-2024"/>
    <x v="3"/>
    <d v="2024-07-31T00:00:00"/>
    <n v="2"/>
    <x v="2"/>
    <x v="10"/>
    <s v="New York"/>
    <s v="Americas &gt; USA &gt; New York"/>
    <s v="Education"/>
    <x v="2"/>
    <x v="2"/>
    <x v="1"/>
    <s v="PRN-2829"/>
    <n v="798.97"/>
    <n v="1814.06"/>
    <s v="Medium"/>
    <n v="0.122"/>
    <n v="16"/>
    <n v="25483.91488"/>
    <n v="854183.63511000003"/>
    <n v="12783.52"/>
    <n v="12700.39488"/>
    <n v="0.49836906691159061"/>
    <n v="202407"/>
    <n v="202301"/>
    <s v="Jul-2023"/>
    <n v="18"/>
    <s v="On Time"/>
    <n v="1"/>
    <n v="0"/>
  </r>
  <r>
    <x v="253"/>
    <d v="2024-10-27T00:00:00"/>
    <s v="Oct-2024"/>
    <x v="1"/>
    <d v="2024-11-20T00:00:00"/>
    <n v="24"/>
    <x v="1"/>
    <x v="2"/>
    <s v="Nagoya"/>
    <s v="Asia &gt; Japan &gt; Nagoya"/>
    <s v="Non-Profit"/>
    <x v="1"/>
    <x v="10"/>
    <x v="5"/>
    <s v="MON-8939"/>
    <n v="317.25"/>
    <n v="758.92"/>
    <s v="Low"/>
    <n v="5.2999999999999999E-2"/>
    <n v="9"/>
    <n v="6468.2751599999992"/>
    <n v="854183.63511000003"/>
    <n v="2855.25"/>
    <n v="3613.0251599999992"/>
    <n v="0.5585762928489888"/>
    <n v="202410"/>
    <n v="202303"/>
    <s v="Oct-2023"/>
    <n v="19"/>
    <s v="Late"/>
    <n v="0"/>
    <n v="0"/>
  </r>
  <r>
    <x v="254"/>
    <d v="2024-04-29T00:00:00"/>
    <s v="Apr-2024"/>
    <x v="2"/>
    <d v="2024-05-19T00:00:00"/>
    <n v="20"/>
    <x v="3"/>
    <x v="6"/>
    <s v="Frankfurt"/>
    <s v="Europe &gt; Germany &gt; Frankfurt"/>
    <s v="Enterprise"/>
    <x v="2"/>
    <x v="0"/>
    <x v="4"/>
    <s v="LAP-5009"/>
    <n v="668.97"/>
    <n v="1667.44"/>
    <s v="Medium"/>
    <n v="3.4000000000000002E-2"/>
    <n v="15"/>
    <n v="24161.205600000001"/>
    <n v="854183.63511000003"/>
    <n v="10034.550000000001"/>
    <n v="14126.6556"/>
    <n v="0.58468339013679016"/>
    <n v="202404"/>
    <n v="202301"/>
    <s v="Apr-2023"/>
    <n v="15"/>
    <s v="Late"/>
    <n v="0"/>
    <n v="0"/>
  </r>
  <r>
    <x v="255"/>
    <d v="2023-10-05T00:00:00"/>
    <s v="Oct-2023"/>
    <x v="1"/>
    <d v="2023-10-06T00:00:00"/>
    <n v="1"/>
    <x v="1"/>
    <x v="4"/>
    <s v="Bengaluru"/>
    <s v="Asia &gt; India &gt; Bengaluru"/>
    <s v="Non-Profit"/>
    <x v="1"/>
    <x v="2"/>
    <x v="0"/>
    <s v="CMP-4807"/>
    <n v="1470.26"/>
    <n v="2562.5500000000002"/>
    <s v="High"/>
    <n v="0.17299999999999999"/>
    <n v="9"/>
    <n v="19073.059649999999"/>
    <n v="854183.63511000003"/>
    <n v="13232.34"/>
    <n v="5840.7196499999991"/>
    <n v="0.30622877279157462"/>
    <n v="202310"/>
    <n v="202301"/>
    <s v="Oct-2023"/>
    <n v="9"/>
    <s v="On Time"/>
    <n v="1"/>
    <n v="0"/>
  </r>
  <r>
    <x v="256"/>
    <d v="2023-04-19T00:00:00"/>
    <s v="Apr-2023"/>
    <x v="2"/>
    <d v="2023-05-07T00:00:00"/>
    <n v="18"/>
    <x v="3"/>
    <x v="8"/>
    <s v="London"/>
    <s v="Europe &gt; United Kingdom &gt; London"/>
    <s v="Non-Profit"/>
    <x v="4"/>
    <x v="10"/>
    <x v="2"/>
    <s v="NET-2439"/>
    <n v="516.96"/>
    <n v="745.38"/>
    <s v="Medium"/>
    <n v="0.19700000000000001"/>
    <n v="4"/>
    <n v="2394.1605599999998"/>
    <n v="835110.57546000008"/>
    <n v="2067.84"/>
    <n v="326.32055999999966"/>
    <n v="0.13629852794835101"/>
    <n v="202304"/>
    <n v="202301"/>
    <s v="Apr-2023"/>
    <n v="3"/>
    <s v="Late"/>
    <n v="0"/>
    <n v="0"/>
  </r>
  <r>
    <x v="257"/>
    <d v="2025-06-27T00:00:00"/>
    <s v="Jun-2025"/>
    <x v="2"/>
    <d v="2025-07-05T00:00:00"/>
    <n v="8"/>
    <x v="3"/>
    <x v="6"/>
    <s v="Munich"/>
    <s v="Europe &gt; Germany &gt; Munich"/>
    <s v="Small Business"/>
    <x v="4"/>
    <x v="3"/>
    <x v="5"/>
    <s v="MON-7626"/>
    <n v="314.93"/>
    <n v="687.95"/>
    <s v="Low"/>
    <n v="0.20499999999999999"/>
    <n v="8"/>
    <n v="4375.3620000000001"/>
    <n v="835110.57546000008"/>
    <n v="2519.44"/>
    <n v="1855.922"/>
    <n v="0.424175645352316"/>
    <n v="202506"/>
    <n v="202301"/>
    <s v="Jun-2023"/>
    <n v="29"/>
    <s v="Late"/>
    <n v="0"/>
    <n v="1"/>
  </r>
  <r>
    <x v="258"/>
    <d v="2023-10-11T00:00:00"/>
    <s v="Oct-2023"/>
    <x v="1"/>
    <d v="2023-10-13T00:00:00"/>
    <n v="2"/>
    <x v="2"/>
    <x v="5"/>
    <s v="Brasília"/>
    <s v="Americas &gt; Brazil &gt; Brasília"/>
    <s v="Consumer"/>
    <x v="3"/>
    <x v="15"/>
    <x v="6"/>
    <s v="ACC-3567"/>
    <n v="715.94"/>
    <n v="550.07000000000005"/>
    <s v="Medium"/>
    <n v="0.14000000000000001"/>
    <n v="16"/>
    <n v="7568.9632000000001"/>
    <n v="835110.57546000008"/>
    <n v="11455.04"/>
    <n v="-3886.0768000000007"/>
    <n v="-0.51342260456491595"/>
    <n v="202310"/>
    <n v="202301"/>
    <s v="Oct-2023"/>
    <n v="9"/>
    <s v="On Time"/>
    <n v="1"/>
    <n v="0"/>
  </r>
  <r>
    <x v="259"/>
    <d v="2023-05-20T00:00:00"/>
    <s v="May-2023"/>
    <x v="2"/>
    <d v="2023-06-07T00:00:00"/>
    <n v="18"/>
    <x v="0"/>
    <x v="1"/>
    <s v="Port Harcourt"/>
    <s v="Africa &gt; Nigeria &gt; Port Harcourt"/>
    <s v="Enterprise"/>
    <x v="3"/>
    <x v="6"/>
    <x v="0"/>
    <s v="CMP-4630"/>
    <n v="1120.06"/>
    <n v="2068.21"/>
    <s v="High"/>
    <n v="7.8E-2"/>
    <n v="12"/>
    <n v="22882.675440000003"/>
    <n v="835110.57546000008"/>
    <n v="13440.72"/>
    <n v="9441.9554400000034"/>
    <n v="0.41262462795303284"/>
    <n v="202305"/>
    <n v="202301"/>
    <s v="May-2023"/>
    <n v="4"/>
    <s v="Late"/>
    <n v="0"/>
    <n v="0"/>
  </r>
  <r>
    <x v="260"/>
    <d v="2023-05-27T00:00:00"/>
    <s v="May-2023"/>
    <x v="2"/>
    <d v="2023-06-19T00:00:00"/>
    <n v="23"/>
    <x v="3"/>
    <x v="6"/>
    <s v="Berlin"/>
    <s v="Europe &gt; Germany &gt; Berlin"/>
    <s v="Education"/>
    <x v="0"/>
    <x v="7"/>
    <x v="6"/>
    <s v="ACC-1882"/>
    <n v="1471.58"/>
    <n v="2576.65"/>
    <s v="High"/>
    <n v="4.0000000000000001E-3"/>
    <n v="7"/>
    <n v="17964.4038"/>
    <n v="812227.90001999994"/>
    <n v="10301.06"/>
    <n v="7663.3438000000006"/>
    <n v="0.4265849223451546"/>
    <n v="202305"/>
    <n v="202301"/>
    <s v="May-2023"/>
    <n v="4"/>
    <s v="Late"/>
    <n v="0"/>
    <n v="0"/>
  </r>
  <r>
    <x v="261"/>
    <d v="2023-08-04T00:00:00"/>
    <s v="Aug-2023"/>
    <x v="3"/>
    <d v="2023-08-24T00:00:00"/>
    <n v="20"/>
    <x v="2"/>
    <x v="5"/>
    <s v="Brasília"/>
    <s v="Americas &gt; Brazil &gt; Brasília"/>
    <s v="Non-Profit"/>
    <x v="4"/>
    <x v="15"/>
    <x v="2"/>
    <s v="NET-9125"/>
    <n v="582.88"/>
    <n v="1044.1400000000001"/>
    <s v="Medium"/>
    <n v="0.216"/>
    <n v="10"/>
    <n v="8186.057600000001"/>
    <n v="812227.90001999994"/>
    <n v="5828.8"/>
    <n v="2357.2576000000008"/>
    <n v="0.28796005539956138"/>
    <n v="202308"/>
    <n v="202301"/>
    <s v="Aug-2023"/>
    <n v="7"/>
    <s v="Late"/>
    <n v="0"/>
    <n v="1"/>
  </r>
  <r>
    <x v="262"/>
    <d v="2025-06-21T00:00:00"/>
    <s v="Jun-2025"/>
    <x v="2"/>
    <d v="2025-06-27T00:00:00"/>
    <n v="6"/>
    <x v="0"/>
    <x v="11"/>
    <s v="Durban"/>
    <s v="Africa &gt; South Africa &gt; Durban"/>
    <s v="Enterprise"/>
    <x v="3"/>
    <x v="13"/>
    <x v="3"/>
    <s v="PHN-3819"/>
    <n v="93.91"/>
    <n v="99.04"/>
    <s v="Low"/>
    <n v="5.7000000000000002E-2"/>
    <n v="6"/>
    <n v="560.36831999999993"/>
    <n v="812227.90001999994"/>
    <n v="563.46"/>
    <n v="-3.0916800000001103"/>
    <n v="-5.5172283829323376E-3"/>
    <n v="202506"/>
    <n v="202301"/>
    <s v="Jun-2023"/>
    <n v="29"/>
    <s v="On Time"/>
    <n v="1"/>
    <n v="0"/>
  </r>
  <r>
    <x v="263"/>
    <d v="2025-04-16T00:00:00"/>
    <s v="Apr-2025"/>
    <x v="2"/>
    <d v="2025-04-26T00:00:00"/>
    <n v="10"/>
    <x v="0"/>
    <x v="1"/>
    <s v="Port Harcourt"/>
    <s v="Africa &gt; Nigeria &gt; Port Harcourt"/>
    <s v="Enterprise"/>
    <x v="2"/>
    <x v="9"/>
    <x v="4"/>
    <s v="LAP-3490"/>
    <n v="1457.44"/>
    <n v="1996.81"/>
    <s v="High"/>
    <n v="0.126"/>
    <n v="23"/>
    <n v="40139.874619999995"/>
    <n v="812227.90001999994"/>
    <n v="33521.120000000003"/>
    <n v="6618.7546199999924"/>
    <n v="0.16489225944672353"/>
    <n v="202504"/>
    <n v="202301"/>
    <s v="Apr-2023"/>
    <n v="27"/>
    <s v="Late"/>
    <n v="0"/>
    <n v="0"/>
  </r>
  <r>
    <x v="264"/>
    <d v="2025-09-02T00:00:00"/>
    <s v="Sept-2025"/>
    <x v="3"/>
    <d v="2025-09-11T00:00:00"/>
    <n v="9"/>
    <x v="2"/>
    <x v="3"/>
    <s v="Toronto"/>
    <s v="Americas &gt; Canada &gt; Toronto"/>
    <s v="Corporate"/>
    <x v="3"/>
    <x v="12"/>
    <x v="1"/>
    <s v="PRN-1276"/>
    <n v="1207.6300000000001"/>
    <n v="921.68"/>
    <s v="High"/>
    <n v="0.19600000000000001"/>
    <n v="17"/>
    <n v="12597.52224"/>
    <n v="812227.90001999994"/>
    <n v="20529.710000000003"/>
    <n v="-7932.1877600000025"/>
    <n v="-0.62966253274897988"/>
    <n v="202509"/>
    <n v="202301"/>
    <s v="Sept-2023"/>
    <n v="32"/>
    <s v="Late"/>
    <n v="0"/>
    <n v="0"/>
  </r>
  <r>
    <x v="265"/>
    <d v="2024-10-08T00:00:00"/>
    <s v="Oct-2024"/>
    <x v="1"/>
    <d v="2024-10-08T00:00:00"/>
    <n v="0"/>
    <x v="3"/>
    <x v="8"/>
    <s v="London"/>
    <s v="Europe &gt; United Kingdom &gt; London"/>
    <s v="Corporate"/>
    <x v="1"/>
    <x v="6"/>
    <x v="5"/>
    <s v="MON-9733"/>
    <n v="1108.1099999999999"/>
    <n v="2503.79"/>
    <s v="High"/>
    <n v="0.184"/>
    <n v="19"/>
    <n v="38818.760160000005"/>
    <n v="812227.90001999994"/>
    <n v="21054.089999999997"/>
    <n v="17764.670160000009"/>
    <n v="0.45763105485025896"/>
    <n v="202410"/>
    <n v="202301"/>
    <s v="Oct-2023"/>
    <n v="21"/>
    <s v="On Time"/>
    <n v="1"/>
    <n v="0"/>
  </r>
  <r>
    <x v="266"/>
    <d v="2023-05-07T00:00:00"/>
    <s v="May-2023"/>
    <x v="2"/>
    <d v="2023-05-09T00:00:00"/>
    <n v="2"/>
    <x v="0"/>
    <x v="1"/>
    <s v="Port Harcourt"/>
    <s v="Africa &gt; Nigeria &gt; Port Harcourt"/>
    <s v="Non-Profit"/>
    <x v="2"/>
    <x v="8"/>
    <x v="0"/>
    <s v="CMP-9392"/>
    <n v="1269.6500000000001"/>
    <n v="2462.77"/>
    <s v="High"/>
    <n v="0.107"/>
    <n v="8"/>
    <n v="17594.028880000002"/>
    <n v="812227.90001999994"/>
    <n v="10157.200000000001"/>
    <n v="7436.8288800000009"/>
    <n v="0.42269050089225502"/>
    <n v="202305"/>
    <n v="202301"/>
    <s v="May-2023"/>
    <n v="4"/>
    <s v="On Time"/>
    <n v="1"/>
    <n v="0"/>
  </r>
  <r>
    <x v="267"/>
    <d v="2023-12-24T00:00:00"/>
    <s v="Dec-2023"/>
    <x v="1"/>
    <d v="2024-01-01T00:00:00"/>
    <n v="8"/>
    <x v="2"/>
    <x v="5"/>
    <s v="São Paulo"/>
    <s v="Americas &gt; Brazil &gt; São Paulo"/>
    <s v="Education"/>
    <x v="4"/>
    <x v="0"/>
    <x v="3"/>
    <s v="PHN-3014"/>
    <n v="526.49"/>
    <n v="496.2"/>
    <s v="Medium"/>
    <n v="0"/>
    <n v="14"/>
    <n v="6946.8"/>
    <n v="794633.87113999983"/>
    <n v="7370.8600000000006"/>
    <n v="-424.0600000000004"/>
    <n v="-6.1043933897621985E-2"/>
    <n v="202312"/>
    <n v="202301"/>
    <s v="Dec-2023"/>
    <n v="11"/>
    <s v="Late"/>
    <n v="0"/>
    <n v="0"/>
  </r>
  <r>
    <x v="268"/>
    <d v="2024-01-10T00:00:00"/>
    <s v="Jan-2024"/>
    <x v="0"/>
    <d v="2024-01-23T00:00:00"/>
    <n v="13"/>
    <x v="3"/>
    <x v="7"/>
    <s v="Marseille"/>
    <s v="Europe &gt; France &gt; Marseille"/>
    <s v="Corporate"/>
    <x v="4"/>
    <x v="8"/>
    <x v="1"/>
    <s v="PRN-6776"/>
    <n v="720"/>
    <n v="907.59"/>
    <s v="Medium"/>
    <n v="0.154"/>
    <n v="10"/>
    <n v="7678.2113999999992"/>
    <n v="794633.87113999983"/>
    <n v="7200"/>
    <n v="478.21139999999923"/>
    <n v="6.2281614179052078E-2"/>
    <n v="202401"/>
    <n v="202301"/>
    <s v="Jan-2023"/>
    <n v="12"/>
    <s v="Late"/>
    <n v="0"/>
    <n v="0"/>
  </r>
  <r>
    <x v="269"/>
    <d v="2023-08-03T00:00:00"/>
    <s v="Aug-2023"/>
    <x v="3"/>
    <d v="2023-08-14T00:00:00"/>
    <n v="11"/>
    <x v="2"/>
    <x v="5"/>
    <s v="Brasília"/>
    <s v="Americas &gt; Brazil &gt; Brasília"/>
    <s v="Corporate"/>
    <x v="4"/>
    <x v="1"/>
    <x v="6"/>
    <s v="ACC-3951"/>
    <n v="232.73"/>
    <n v="334.19"/>
    <s v="Low"/>
    <n v="0.13400000000000001"/>
    <n v="25"/>
    <n v="7235.2134999999998"/>
    <n v="794633.87113999983"/>
    <n v="5818.25"/>
    <n v="1416.9634999999998"/>
    <n v="0.1958426658729559"/>
    <n v="202308"/>
    <n v="202301"/>
    <s v="Aug-2023"/>
    <n v="7"/>
    <s v="Late"/>
    <n v="0"/>
    <n v="0"/>
  </r>
  <r>
    <x v="270"/>
    <d v="2025-02-19T00:00:00"/>
    <s v="Feb-2025"/>
    <x v="0"/>
    <d v="2025-03-09T00:00:00"/>
    <n v="18"/>
    <x v="1"/>
    <x v="4"/>
    <s v="Delhi"/>
    <s v="Asia &gt; India &gt; Delhi"/>
    <s v="Small Business"/>
    <x v="4"/>
    <x v="7"/>
    <x v="5"/>
    <s v="MON-1436"/>
    <n v="325.87"/>
    <n v="538.79"/>
    <s v="Low"/>
    <n v="0.17399999999999999"/>
    <n v="16"/>
    <n v="7120.6486400000003"/>
    <n v="794633.87113999983"/>
    <n v="5213.92"/>
    <n v="1906.7286400000003"/>
    <n v="0.26777457172778013"/>
    <n v="202502"/>
    <n v="202301"/>
    <s v="Feb-2023"/>
    <n v="25"/>
    <s v="Late"/>
    <n v="0"/>
    <n v="0"/>
  </r>
  <r>
    <x v="271"/>
    <d v="2024-03-31T00:00:00"/>
    <s v="Mar-2024"/>
    <x v="0"/>
    <d v="2024-04-17T00:00:00"/>
    <n v="17"/>
    <x v="3"/>
    <x v="6"/>
    <s v="Frankfurt"/>
    <s v="Europe &gt; Germany &gt; Frankfurt"/>
    <s v="Education"/>
    <x v="4"/>
    <x v="10"/>
    <x v="5"/>
    <s v="MON-8651"/>
    <n v="1025.51"/>
    <n v="1436.54"/>
    <s v="High"/>
    <n v="0.13900000000000001"/>
    <n v="28"/>
    <n v="34632.106319999999"/>
    <n v="794633.87113999983"/>
    <n v="28714.28"/>
    <n v="5917.8263200000001"/>
    <n v="0.17087688127656453"/>
    <n v="202403"/>
    <n v="202301"/>
    <s v="Mar-2023"/>
    <n v="14"/>
    <s v="Late"/>
    <n v="0"/>
    <n v="0"/>
  </r>
  <r>
    <x v="272"/>
    <d v="2023-07-24T00:00:00"/>
    <s v="Jul-2023"/>
    <x v="3"/>
    <d v="2023-08-13T00:00:00"/>
    <n v="20"/>
    <x v="2"/>
    <x v="3"/>
    <s v="Montreal"/>
    <s v="Americas &gt; Canada &gt; Montreal"/>
    <s v="Education"/>
    <x v="4"/>
    <x v="0"/>
    <x v="5"/>
    <s v="MON-3307"/>
    <n v="1082.3800000000001"/>
    <n v="1766.55"/>
    <s v="High"/>
    <n v="0.16400000000000001"/>
    <n v="20"/>
    <n v="29536.716"/>
    <n v="794633.87113999983"/>
    <n v="21647.600000000002"/>
    <n v="7889.1159999999982"/>
    <n v="0.26709523157550752"/>
    <n v="202307"/>
    <n v="202301"/>
    <s v="Jul-2023"/>
    <n v="6"/>
    <s v="Late"/>
    <n v="0"/>
    <n v="0"/>
  </r>
  <r>
    <x v="273"/>
    <d v="2024-03-16T00:00:00"/>
    <s v="Mar-2024"/>
    <x v="0"/>
    <d v="2024-04-13T00:00:00"/>
    <n v="28"/>
    <x v="3"/>
    <x v="7"/>
    <s v="Paris"/>
    <s v="Europe &gt; France &gt; Paris"/>
    <s v="Small Business"/>
    <x v="1"/>
    <x v="11"/>
    <x v="1"/>
    <s v="PRN-8758"/>
    <n v="287.61"/>
    <n v="628.54"/>
    <s v="Low"/>
    <n v="0.13500000000000001"/>
    <n v="21"/>
    <n v="11417.429099999999"/>
    <n v="794633.87113999983"/>
    <n v="6039.81"/>
    <n v="5377.619099999999"/>
    <n v="0.47100087531964613"/>
    <n v="202403"/>
    <n v="202301"/>
    <s v="Mar-2023"/>
    <n v="14"/>
    <s v="Late"/>
    <n v="0"/>
    <n v="0"/>
  </r>
  <r>
    <x v="274"/>
    <d v="2024-01-25T00:00:00"/>
    <s v="Jan-2024"/>
    <x v="0"/>
    <d v="2024-01-27T00:00:00"/>
    <n v="2"/>
    <x v="2"/>
    <x v="5"/>
    <s v="São Paulo"/>
    <s v="Americas &gt; Brazil &gt; São Paulo"/>
    <s v="Non-Profit"/>
    <x v="2"/>
    <x v="13"/>
    <x v="4"/>
    <s v="LAP-7056"/>
    <n v="1410.97"/>
    <n v="1650.75"/>
    <s v="High"/>
    <n v="0.13500000000000001"/>
    <n v="6"/>
    <n v="8567.3924999999999"/>
    <n v="794633.87113999983"/>
    <n v="8465.82"/>
    <n v="101.57250000000022"/>
    <n v="1.1855707556295596E-2"/>
    <n v="202401"/>
    <n v="202301"/>
    <s v="Jan-2023"/>
    <n v="12"/>
    <s v="On Time"/>
    <n v="1"/>
    <n v="0"/>
  </r>
  <r>
    <x v="275"/>
    <d v="2024-03-27T00:00:00"/>
    <s v="Mar-2024"/>
    <x v="0"/>
    <d v="2024-04-11T00:00:00"/>
    <n v="15"/>
    <x v="2"/>
    <x v="10"/>
    <s v="San Francisco"/>
    <s v="Americas &gt; USA &gt; San Francisco"/>
    <s v="Small Business"/>
    <x v="4"/>
    <x v="7"/>
    <x v="2"/>
    <s v="NET-5523"/>
    <n v="1338.35"/>
    <n v="2247.14"/>
    <s v="High"/>
    <n v="0.115"/>
    <n v="40"/>
    <n v="79548.755999999994"/>
    <n v="794633.87113999983"/>
    <n v="53534"/>
    <n v="26014.755999999994"/>
    <n v="0.32702907384246205"/>
    <n v="202403"/>
    <n v="202301"/>
    <s v="Mar-2023"/>
    <n v="14"/>
    <s v="Late"/>
    <n v="0"/>
    <n v="0"/>
  </r>
  <r>
    <x v="276"/>
    <d v="2025-06-24T00:00:00"/>
    <s v="Jun-2025"/>
    <x v="2"/>
    <d v="2025-07-14T00:00:00"/>
    <n v="20"/>
    <x v="3"/>
    <x v="6"/>
    <s v="Berlin"/>
    <s v="Europe &gt; Germany &gt; Berlin"/>
    <s v="Corporate"/>
    <x v="4"/>
    <x v="7"/>
    <x v="6"/>
    <s v="ACC-8094"/>
    <n v="385.08"/>
    <n v="893.19"/>
    <s v="Low"/>
    <n v="0.151"/>
    <n v="8"/>
    <n v="6066.54648"/>
    <n v="794633.87113999983"/>
    <n v="3080.64"/>
    <n v="2985.9064800000001"/>
    <n v="0.49219213762621666"/>
    <n v="202506"/>
    <n v="202301"/>
    <s v="Jun-2023"/>
    <n v="29"/>
    <s v="Late"/>
    <n v="0"/>
    <n v="0"/>
  </r>
  <r>
    <x v="277"/>
    <d v="2024-06-16T00:00:00"/>
    <s v="Jun-2024"/>
    <x v="2"/>
    <d v="2024-07-03T00:00:00"/>
    <n v="17"/>
    <x v="0"/>
    <x v="11"/>
    <s v="Johannesburg"/>
    <s v="Africa &gt; South Africa &gt; Johannesburg"/>
    <s v="Enterprise"/>
    <x v="2"/>
    <x v="9"/>
    <x v="3"/>
    <s v="PHN-6832"/>
    <n v="1173.83"/>
    <n v="2328.9"/>
    <s v="High"/>
    <n v="0.12"/>
    <n v="17"/>
    <n v="34840.344000000005"/>
    <n v="794633.87113999983"/>
    <n v="19955.11"/>
    <n v="14885.234000000004"/>
    <n v="0.42724130393201637"/>
    <n v="202406"/>
    <n v="202301"/>
    <s v="Jun-2023"/>
    <n v="17"/>
    <s v="Late"/>
    <n v="0"/>
    <n v="0"/>
  </r>
  <r>
    <x v="278"/>
    <d v="2023-10-30T00:00:00"/>
    <s v="Oct-2023"/>
    <x v="1"/>
    <d v="2023-11-14T00:00:00"/>
    <n v="15"/>
    <x v="1"/>
    <x v="4"/>
    <s v="Bengaluru"/>
    <s v="Asia &gt; India &gt; Bengaluru"/>
    <s v="Corporate"/>
    <x v="1"/>
    <x v="9"/>
    <x v="4"/>
    <s v="LAP-2378"/>
    <n v="953.46"/>
    <n v="2066.75"/>
    <s v="Medium"/>
    <n v="0.13800000000000001"/>
    <n v="5"/>
    <n v="8907.6924999999992"/>
    <n v="794633.87113999983"/>
    <n v="4767.3"/>
    <n v="4140.392499999999"/>
    <n v="0.46481089238318446"/>
    <n v="202310"/>
    <n v="202301"/>
    <s v="Oct-2023"/>
    <n v="9"/>
    <s v="Late"/>
    <n v="0"/>
    <n v="0"/>
  </r>
  <r>
    <x v="279"/>
    <d v="2023-06-15T00:00:00"/>
    <s v="Jun-2023"/>
    <x v="2"/>
    <d v="2023-06-23T00:00:00"/>
    <n v="8"/>
    <x v="2"/>
    <x v="10"/>
    <s v="San Francisco"/>
    <s v="Americas &gt; USA &gt; San Francisco"/>
    <s v="Consumer"/>
    <x v="3"/>
    <x v="7"/>
    <x v="5"/>
    <s v="MON-5424"/>
    <n v="1097.0899999999999"/>
    <n v="2182.31"/>
    <s v="High"/>
    <n v="0.112"/>
    <n v="9"/>
    <n v="17441.021520000002"/>
    <n v="794633.87113999983"/>
    <n v="9873.81"/>
    <n v="7567.2115200000026"/>
    <n v="0.43387432962699546"/>
    <n v="202306"/>
    <n v="202301"/>
    <s v="Jun-2023"/>
    <n v="5"/>
    <s v="Late"/>
    <n v="0"/>
    <n v="0"/>
  </r>
  <r>
    <x v="280"/>
    <d v="2025-03-14T00:00:00"/>
    <s v="Mar-2025"/>
    <x v="0"/>
    <d v="2025-03-29T00:00:00"/>
    <n v="15"/>
    <x v="1"/>
    <x v="2"/>
    <s v="Tokyo"/>
    <s v="Asia &gt; Japan &gt; Tokyo"/>
    <s v="Non-Profit"/>
    <x v="4"/>
    <x v="10"/>
    <x v="2"/>
    <s v="NET-8430"/>
    <n v="1106.96"/>
    <n v="2726.62"/>
    <s v="High"/>
    <n v="0.317"/>
    <n v="7"/>
    <n v="13035.970220000001"/>
    <n v="794633.87113999983"/>
    <n v="7748.72"/>
    <n v="5287.2502200000008"/>
    <n v="0.40558931408789306"/>
    <n v="202503"/>
    <n v="202303"/>
    <s v="Mar-2023"/>
    <n v="24"/>
    <s v="Late"/>
    <n v="0"/>
    <n v="1"/>
  </r>
  <r>
    <x v="281"/>
    <d v="2023-08-15T00:00:00"/>
    <s v="Aug-2023"/>
    <x v="3"/>
    <d v="2023-08-25T00:00:00"/>
    <n v="10"/>
    <x v="0"/>
    <x v="0"/>
    <s v="Nairobi"/>
    <s v="Africa &gt; Kenya &gt; Nairobi"/>
    <s v="Small Business"/>
    <x v="0"/>
    <x v="13"/>
    <x v="3"/>
    <s v="PHN-1234"/>
    <n v="91.85"/>
    <n v="111.29"/>
    <s v="Low"/>
    <n v="0"/>
    <n v="6"/>
    <n v="667.74"/>
    <n v="794633.87113999983"/>
    <n v="551.09999999999991"/>
    <n v="116.6400000000001"/>
    <n v="0.17467876718483258"/>
    <n v="202308"/>
    <n v="202301"/>
    <s v="Aug-2023"/>
    <n v="7"/>
    <s v="Late"/>
    <n v="0"/>
    <n v="0"/>
  </r>
  <r>
    <x v="282"/>
    <d v="2025-05-17T00:00:00"/>
    <s v="May-2025"/>
    <x v="2"/>
    <d v="2025-05-28T00:00:00"/>
    <n v="11"/>
    <x v="1"/>
    <x v="4"/>
    <s v="Bengaluru"/>
    <s v="Asia &gt; India &gt; Bengaluru"/>
    <s v="Corporate"/>
    <x v="3"/>
    <x v="5"/>
    <x v="4"/>
    <s v="LAP-9016"/>
    <n v="623.4"/>
    <n v="1100.0899999999999"/>
    <s v="Medium"/>
    <n v="0.114"/>
    <n v="12"/>
    <n v="11696.156879999999"/>
    <n v="794633.87113999983"/>
    <n v="7480.7999999999993"/>
    <n v="4215.3568799999994"/>
    <n v="0.36040529579490388"/>
    <n v="202505"/>
    <n v="202301"/>
    <s v="May-2023"/>
    <n v="28"/>
    <s v="Late"/>
    <n v="0"/>
    <n v="0"/>
  </r>
  <r>
    <x v="283"/>
    <d v="2024-01-13T00:00:00"/>
    <s v="Jan-2024"/>
    <x v="0"/>
    <d v="2024-02-05T00:00:00"/>
    <n v="23"/>
    <x v="3"/>
    <x v="6"/>
    <s v="Frankfurt"/>
    <s v="Europe &gt; Germany &gt; Frankfurt"/>
    <s v="Education"/>
    <x v="4"/>
    <x v="5"/>
    <x v="4"/>
    <s v="LAP-9931"/>
    <n v="1017.93"/>
    <n v="1529.14"/>
    <s v="High"/>
    <n v="0.155"/>
    <n v="12"/>
    <n v="15505.479600000001"/>
    <n v="794633.87113999983"/>
    <n v="12215.16"/>
    <n v="3290.3196000000007"/>
    <n v="0.21220366508366503"/>
    <n v="202401"/>
    <n v="202301"/>
    <s v="Jan-2023"/>
    <n v="12"/>
    <s v="Late"/>
    <n v="0"/>
    <n v="0"/>
  </r>
  <r>
    <x v="284"/>
    <d v="2023-06-24T00:00:00"/>
    <s v="Jun-2023"/>
    <x v="2"/>
    <d v="2023-07-21T00:00:00"/>
    <n v="27"/>
    <x v="1"/>
    <x v="2"/>
    <s v="Nagoya"/>
    <s v="Asia &gt; Japan &gt; Nagoya"/>
    <s v="Consumer"/>
    <x v="2"/>
    <x v="1"/>
    <x v="3"/>
    <s v="PHN-6818"/>
    <n v="554.76"/>
    <n v="728.69"/>
    <s v="Medium"/>
    <n v="0.22"/>
    <n v="7"/>
    <n v="3978.6474000000003"/>
    <n v="794633.87113999983"/>
    <n v="3883.3199999999997"/>
    <n v="95.32740000000058"/>
    <n v="2.395975074343119E-2"/>
    <n v="202306"/>
    <n v="202303"/>
    <s v="Jun-2023"/>
    <n v="3"/>
    <s v="Late"/>
    <n v="0"/>
    <n v="1"/>
  </r>
  <r>
    <x v="285"/>
    <d v="2025-04-04T00:00:00"/>
    <s v="Apr-2025"/>
    <x v="2"/>
    <d v="2025-04-13T00:00:00"/>
    <n v="9"/>
    <x v="3"/>
    <x v="6"/>
    <s v="Munich"/>
    <s v="Europe &gt; Germany &gt; Munich"/>
    <s v="Consumer"/>
    <x v="2"/>
    <x v="9"/>
    <x v="3"/>
    <s v="PHN-3803"/>
    <n v="7.02"/>
    <n v="6.28"/>
    <s v="Low"/>
    <n v="0.13400000000000001"/>
    <n v="14"/>
    <n v="76.138720000000006"/>
    <n v="794633.87113999983"/>
    <n v="98.28"/>
    <n v="-22.141279999999995"/>
    <n v="-0.29080184169106066"/>
    <n v="202504"/>
    <n v="202301"/>
    <s v="Apr-2023"/>
    <n v="27"/>
    <s v="Late"/>
    <n v="0"/>
    <n v="0"/>
  </r>
  <r>
    <x v="286"/>
    <d v="2024-09-07T00:00:00"/>
    <s v="Sept-2024"/>
    <x v="3"/>
    <d v="2024-09-07T00:00:00"/>
    <n v="0"/>
    <x v="1"/>
    <x v="4"/>
    <s v="Mumbai"/>
    <s v="Asia &gt; India &gt; Mumbai"/>
    <s v="Education"/>
    <x v="3"/>
    <x v="5"/>
    <x v="2"/>
    <s v="NET-9835"/>
    <n v="1066.6500000000001"/>
    <n v="2569.77"/>
    <s v="High"/>
    <n v="0.13400000000000001"/>
    <n v="9"/>
    <n v="20028.787380000002"/>
    <n v="794633.87113999983"/>
    <n v="9599.85"/>
    <n v="10428.937380000001"/>
    <n v="0.52069739331368348"/>
    <n v="202409"/>
    <n v="202301"/>
    <s v="Sept-2023"/>
    <n v="20"/>
    <s v="On Time"/>
    <n v="1"/>
    <n v="0"/>
  </r>
  <r>
    <x v="287"/>
    <d v="2024-01-28T00:00:00"/>
    <s v="Jan-2024"/>
    <x v="0"/>
    <d v="2024-01-30T00:00:00"/>
    <n v="2"/>
    <x v="0"/>
    <x v="11"/>
    <s v="Cape Town"/>
    <s v="Africa &gt; South Africa &gt; Cape Town"/>
    <s v="Consumer"/>
    <x v="4"/>
    <x v="9"/>
    <x v="6"/>
    <s v="ACC-6223"/>
    <n v="798.45"/>
    <n v="1592.02"/>
    <s v="Medium"/>
    <n v="6.6000000000000003E-2"/>
    <n v="18"/>
    <n v="26765.040239999998"/>
    <n v="794633.87113999983"/>
    <n v="14372.1"/>
    <n v="12392.940239999998"/>
    <n v="0.46302714768494585"/>
    <n v="202401"/>
    <n v="202301"/>
    <s v="Jan-2023"/>
    <n v="12"/>
    <s v="On Time"/>
    <n v="1"/>
    <n v="0"/>
  </r>
  <r>
    <x v="288"/>
    <d v="2023-07-18T00:00:00"/>
    <s v="Jul-2023"/>
    <x v="3"/>
    <d v="2023-08-10T00:00:00"/>
    <n v="23"/>
    <x v="0"/>
    <x v="11"/>
    <s v="Johannesburg"/>
    <s v="Africa &gt; South Africa &gt; Johannesburg"/>
    <s v="Small Business"/>
    <x v="0"/>
    <x v="4"/>
    <x v="0"/>
    <s v="CMP-8659"/>
    <n v="1271.56"/>
    <n v="995.47"/>
    <s v="High"/>
    <n v="0.192"/>
    <n v="13"/>
    <n v="10456.416880000001"/>
    <n v="794633.87113999983"/>
    <n v="16530.28"/>
    <n v="-6073.8631199999982"/>
    <n v="-0.58087423155607754"/>
    <n v="202307"/>
    <n v="202301"/>
    <s v="Jul-2023"/>
    <n v="6"/>
    <s v="Late"/>
    <n v="0"/>
    <n v="0"/>
  </r>
  <r>
    <x v="289"/>
    <d v="2025-08-28T00:00:00"/>
    <s v="Aug-2025"/>
    <x v="3"/>
    <d v="2025-08-30T00:00:00"/>
    <n v="2"/>
    <x v="0"/>
    <x v="1"/>
    <s v="Port Harcourt"/>
    <s v="Africa &gt; Nigeria &gt; Port Harcourt"/>
    <s v="Small Business"/>
    <x v="0"/>
    <x v="8"/>
    <x v="6"/>
    <s v="ACC-4483"/>
    <n v="521.05999999999995"/>
    <n v="1240.31"/>
    <s v="Medium"/>
    <n v="0.14599999999999999"/>
    <n v="18"/>
    <n v="19066.045319999997"/>
    <n v="784177.45425999991"/>
    <n v="9379.0799999999981"/>
    <n v="9686.9653199999993"/>
    <n v="0.50807417885650974"/>
    <n v="202508"/>
    <n v="202301"/>
    <s v="Aug-2023"/>
    <n v="31"/>
    <s v="On Time"/>
    <n v="1"/>
    <n v="0"/>
  </r>
  <r>
    <x v="290"/>
    <d v="2025-03-30T00:00:00"/>
    <s v="Mar-2025"/>
    <x v="0"/>
    <d v="2025-04-07T00:00:00"/>
    <n v="8"/>
    <x v="2"/>
    <x v="5"/>
    <s v="São Paulo"/>
    <s v="Americas &gt; Brazil &gt; São Paulo"/>
    <s v="Non-Profit"/>
    <x v="4"/>
    <x v="4"/>
    <x v="1"/>
    <s v="PRN-8763"/>
    <n v="71.62"/>
    <n v="118.37"/>
    <s v="Low"/>
    <n v="0.156"/>
    <n v="11"/>
    <n v="1098.9470800000001"/>
    <n v="784177.45425999991"/>
    <n v="787.82"/>
    <n v="311.12708000000009"/>
    <n v="0.28311379652603474"/>
    <n v="202503"/>
    <n v="202301"/>
    <s v="Mar-2023"/>
    <n v="26"/>
    <s v="Late"/>
    <n v="0"/>
    <n v="0"/>
  </r>
  <r>
    <x v="291"/>
    <d v="2023-10-21T00:00:00"/>
    <s v="Oct-2023"/>
    <x v="1"/>
    <d v="2023-11-09T00:00:00"/>
    <n v="19"/>
    <x v="3"/>
    <x v="8"/>
    <s v="London"/>
    <s v="Europe &gt; United Kingdom &gt; London"/>
    <s v="Non-Profit"/>
    <x v="4"/>
    <x v="8"/>
    <x v="6"/>
    <s v="ACC-8557"/>
    <n v="1142.48"/>
    <n v="2105.5300000000002"/>
    <s v="High"/>
    <n v="0.20699999999999999"/>
    <n v="14"/>
    <n v="23375.594060000003"/>
    <n v="784177.45425999991"/>
    <n v="15994.720000000001"/>
    <n v="7380.8740600000019"/>
    <n v="0.31575129346680658"/>
    <n v="202310"/>
    <n v="202301"/>
    <s v="Oct-2023"/>
    <n v="9"/>
    <s v="Late"/>
    <n v="0"/>
    <n v="1"/>
  </r>
  <r>
    <x v="292"/>
    <d v="2023-08-23T00:00:00"/>
    <s v="Aug-2023"/>
    <x v="3"/>
    <d v="2023-09-22T00:00:00"/>
    <n v="30"/>
    <x v="3"/>
    <x v="8"/>
    <s v="London"/>
    <s v="Europe &gt; United Kingdom &gt; London"/>
    <s v="Consumer"/>
    <x v="3"/>
    <x v="7"/>
    <x v="6"/>
    <s v="ACC-1492"/>
    <n v="209.81"/>
    <n v="523"/>
    <s v="Low"/>
    <n v="5.8999999999999997E-2"/>
    <n v="15"/>
    <n v="7382.1450000000004"/>
    <n v="784177.45425999991"/>
    <n v="3147.15"/>
    <n v="4234.9950000000008"/>
    <n v="0.57368082041195356"/>
    <n v="202308"/>
    <n v="202301"/>
    <s v="Aug-2023"/>
    <n v="7"/>
    <s v="Late"/>
    <n v="0"/>
    <n v="0"/>
  </r>
  <r>
    <x v="293"/>
    <d v="2025-04-11T00:00:00"/>
    <s v="Apr-2025"/>
    <x v="2"/>
    <d v="2025-05-04T00:00:00"/>
    <n v="23"/>
    <x v="1"/>
    <x v="2"/>
    <s v="Osaka"/>
    <s v="Asia &gt; Japan &gt; Osaka"/>
    <s v="Small Business"/>
    <x v="1"/>
    <x v="12"/>
    <x v="0"/>
    <s v="CMP-3743"/>
    <n v="786.2"/>
    <n v="1075.3"/>
    <s v="Medium"/>
    <n v="0.08"/>
    <n v="9"/>
    <n v="8903.4839999999986"/>
    <n v="784177.45425999991"/>
    <n v="7075.8"/>
    <n v="1827.6839999999984"/>
    <n v="0.20527739478163815"/>
    <n v="202504"/>
    <n v="202303"/>
    <s v="Apr-2023"/>
    <n v="25"/>
    <s v="Late"/>
    <n v="0"/>
    <n v="0"/>
  </r>
  <r>
    <x v="294"/>
    <d v="2025-06-01T00:00:00"/>
    <s v="Jun-2025"/>
    <x v="2"/>
    <d v="2025-06-27T00:00:00"/>
    <n v="26"/>
    <x v="3"/>
    <x v="6"/>
    <s v="Munich"/>
    <s v="Europe &gt; Germany &gt; Munich"/>
    <s v="Consumer"/>
    <x v="3"/>
    <x v="6"/>
    <x v="4"/>
    <s v="LAP-1619"/>
    <n v="1362.31"/>
    <n v="3294.57"/>
    <s v="High"/>
    <n v="0.113"/>
    <n v="7"/>
    <n v="20455.985130000001"/>
    <n v="775273.97025999997"/>
    <n v="9536.17"/>
    <n v="10919.815130000001"/>
    <n v="0.5338200561157721"/>
    <n v="202506"/>
    <n v="202301"/>
    <s v="Jun-2023"/>
    <n v="29"/>
    <s v="Late"/>
    <n v="0"/>
    <n v="0"/>
  </r>
  <r>
    <x v="295"/>
    <d v="2024-03-02T00:00:00"/>
    <s v="Mar-2024"/>
    <x v="0"/>
    <d v="2024-03-16T00:00:00"/>
    <n v="14"/>
    <x v="2"/>
    <x v="3"/>
    <s v="Vancouver"/>
    <s v="Americas &gt; Canada &gt; Vancouver"/>
    <s v="Non-Profit"/>
    <x v="4"/>
    <x v="7"/>
    <x v="1"/>
    <s v="PRN-7976"/>
    <n v="248.24"/>
    <n v="464.05"/>
    <s v="Low"/>
    <n v="0.16900000000000001"/>
    <n v="11"/>
    <n v="4241.88105"/>
    <n v="775273.97025999997"/>
    <n v="2730.6400000000003"/>
    <n v="1511.2410499999996"/>
    <n v="0.3562667203975462"/>
    <n v="202403"/>
    <n v="202301"/>
    <s v="Mar-2023"/>
    <n v="14"/>
    <s v="Late"/>
    <n v="0"/>
    <n v="0"/>
  </r>
  <r>
    <x v="296"/>
    <d v="2023-06-20T00:00:00"/>
    <s v="Jun-2023"/>
    <x v="2"/>
    <d v="2023-07-08T00:00:00"/>
    <n v="18"/>
    <x v="2"/>
    <x v="10"/>
    <s v="Austin"/>
    <s v="Americas &gt; USA &gt; Austin"/>
    <s v="Non-Profit"/>
    <x v="4"/>
    <x v="9"/>
    <x v="5"/>
    <s v="MON-4326"/>
    <n v="337"/>
    <n v="511.03"/>
    <s v="Low"/>
    <n v="0.108"/>
    <n v="7"/>
    <n v="3190.8713200000002"/>
    <n v="775273.97025999997"/>
    <n v="2359"/>
    <n v="831.8713200000002"/>
    <n v="0.26070349963219458"/>
    <n v="202306"/>
    <n v="202301"/>
    <s v="Jun-2023"/>
    <n v="5"/>
    <s v="Late"/>
    <n v="0"/>
    <n v="0"/>
  </r>
  <r>
    <x v="297"/>
    <d v="2024-03-26T00:00:00"/>
    <s v="Mar-2024"/>
    <x v="0"/>
    <d v="2024-04-05T00:00:00"/>
    <n v="10"/>
    <x v="2"/>
    <x v="10"/>
    <s v="Austin"/>
    <s v="Americas &gt; USA &gt; Austin"/>
    <s v="Consumer"/>
    <x v="4"/>
    <x v="1"/>
    <x v="5"/>
    <s v="MON-5444"/>
    <n v="5.66"/>
    <n v="4.22"/>
    <s v="Low"/>
    <n v="0.11899999999999999"/>
    <n v="18"/>
    <n v="66.920760000000001"/>
    <n v="775273.97025999997"/>
    <n v="101.88"/>
    <n v="-34.959239999999994"/>
    <n v="-0.52239753403876454"/>
    <n v="202403"/>
    <n v="202301"/>
    <s v="Mar-2023"/>
    <n v="14"/>
    <s v="Late"/>
    <n v="0"/>
    <n v="0"/>
  </r>
  <r>
    <x v="298"/>
    <d v="2025-01-22T00:00:00"/>
    <s v="Jan-2025"/>
    <x v="0"/>
    <d v="2025-01-22T00:00:00"/>
    <n v="0"/>
    <x v="3"/>
    <x v="7"/>
    <s v="Lyon"/>
    <s v="Europe &gt; France &gt; Lyon"/>
    <s v="Small Business"/>
    <x v="1"/>
    <x v="5"/>
    <x v="6"/>
    <s v="ACC-5422"/>
    <n v="591.72"/>
    <n v="577.24"/>
    <s v="Medium"/>
    <n v="0"/>
    <n v="22"/>
    <n v="12699.28"/>
    <n v="775273.97025999997"/>
    <n v="13017.84"/>
    <n v="-318.55999999999949"/>
    <n v="-2.5084886702238195E-2"/>
    <n v="202501"/>
    <n v="202301"/>
    <s v="Jan-2023"/>
    <n v="24"/>
    <s v="On Time"/>
    <n v="1"/>
    <n v="0"/>
  </r>
  <r>
    <x v="299"/>
    <d v="2025-05-10T00:00:00"/>
    <s v="May-2025"/>
    <x v="2"/>
    <d v="2025-05-27T00:00:00"/>
    <n v="17"/>
    <x v="2"/>
    <x v="3"/>
    <s v="Vancouver"/>
    <s v="Americas &gt; Canada &gt; Vancouver"/>
    <s v="Education"/>
    <x v="4"/>
    <x v="0"/>
    <x v="0"/>
    <s v="CMP-9307"/>
    <n v="862.89"/>
    <n v="1426.03"/>
    <s v="Medium"/>
    <n v="5.6000000000000001E-2"/>
    <n v="19"/>
    <n v="25577.274079999999"/>
    <n v="775273.97025999997"/>
    <n v="16394.91"/>
    <n v="9182.3640799999994"/>
    <n v="0.35900479665188778"/>
    <n v="202505"/>
    <n v="202301"/>
    <s v="May-2023"/>
    <n v="28"/>
    <s v="Late"/>
    <n v="0"/>
    <n v="0"/>
  </r>
  <r>
    <x v="300"/>
    <d v="2023-10-05T00:00:00"/>
    <s v="Oct-2023"/>
    <x v="1"/>
    <d v="2023-10-31T00:00:00"/>
    <n v="26"/>
    <x v="1"/>
    <x v="9"/>
    <s v="Shanghai"/>
    <s v="Asia &gt; China &gt; Shanghai"/>
    <s v="Consumer"/>
    <x v="5"/>
    <x v="1"/>
    <x v="1"/>
    <s v="PRN-6520"/>
    <n v="649.91"/>
    <n v="1360.12"/>
    <s v="Medium"/>
    <n v="0.19400000000000001"/>
    <n v="9"/>
    <n v="9866.3104799999983"/>
    <n v="749696.69617999985"/>
    <n v="5849.19"/>
    <n v="4017.1204799999987"/>
    <n v="0.40715528749506769"/>
    <n v="202310"/>
    <n v="202301"/>
    <s v="Oct-2023"/>
    <n v="9"/>
    <s v="Late"/>
    <n v="0"/>
    <n v="0"/>
  </r>
  <r>
    <x v="301"/>
    <d v="2023-07-18T00:00:00"/>
    <s v="Jul-2023"/>
    <x v="3"/>
    <d v="2023-07-22T00:00:00"/>
    <n v="4"/>
    <x v="2"/>
    <x v="5"/>
    <s v="São Paulo"/>
    <s v="Americas &gt; Brazil &gt; São Paulo"/>
    <s v="Consumer"/>
    <x v="4"/>
    <x v="9"/>
    <x v="2"/>
    <s v="NET-1699"/>
    <n v="1269.55"/>
    <n v="2071.1"/>
    <s v="High"/>
    <n v="0.129"/>
    <n v="22"/>
    <n v="39686.4182"/>
    <n v="749696.69617999985"/>
    <n v="27930.1"/>
    <n v="11756.318200000002"/>
    <n v="0.29623026549672354"/>
    <n v="202307"/>
    <n v="202301"/>
    <s v="Jul-2023"/>
    <n v="6"/>
    <s v="On Time"/>
    <n v="1"/>
    <n v="0"/>
  </r>
  <r>
    <x v="302"/>
    <d v="2025-06-22T00:00:00"/>
    <s v="Jun-2025"/>
    <x v="2"/>
    <d v="2025-07-08T00:00:00"/>
    <n v="16"/>
    <x v="3"/>
    <x v="8"/>
    <s v="London"/>
    <s v="Europe &gt; United Kingdom &gt; London"/>
    <s v="Education"/>
    <x v="4"/>
    <x v="8"/>
    <x v="3"/>
    <s v="PHN-5316"/>
    <n v="892.73"/>
    <n v="979.84"/>
    <s v="Medium"/>
    <n v="0.17399999999999999"/>
    <n v="10"/>
    <n v="8093.4784"/>
    <n v="749696.69617999985"/>
    <n v="8927.2999999999993"/>
    <n v="-833.82159999999931"/>
    <n v="-0.10302388649112838"/>
    <n v="202506"/>
    <n v="202301"/>
    <s v="Jun-2023"/>
    <n v="29"/>
    <s v="Late"/>
    <n v="0"/>
    <n v="0"/>
  </r>
  <r>
    <x v="303"/>
    <d v="2024-06-19T00:00:00"/>
    <s v="Jun-2024"/>
    <x v="2"/>
    <d v="2024-06-20T00:00:00"/>
    <n v="1"/>
    <x v="0"/>
    <x v="0"/>
    <s v="Kisumu"/>
    <s v="Africa &gt; Kenya &gt; Kisumu"/>
    <s v="Small Business"/>
    <x v="4"/>
    <x v="1"/>
    <x v="4"/>
    <s v="LAP-4607"/>
    <n v="231.63"/>
    <n v="537.39"/>
    <s v="Low"/>
    <n v="0.08"/>
    <n v="12"/>
    <n v="5932.7856000000002"/>
    <n v="749696.69617999985"/>
    <n v="2779.56"/>
    <n v="3153.2256000000002"/>
    <n v="0.53149158129024587"/>
    <n v="202406"/>
    <n v="202301"/>
    <s v="Jun-2023"/>
    <n v="17"/>
    <s v="On Time"/>
    <n v="1"/>
    <n v="0"/>
  </r>
  <r>
    <x v="304"/>
    <d v="2025-04-09T00:00:00"/>
    <s v="Apr-2025"/>
    <x v="2"/>
    <d v="2025-04-12T00:00:00"/>
    <n v="3"/>
    <x v="3"/>
    <x v="7"/>
    <s v="Lyon"/>
    <s v="Europe &gt; France &gt; Lyon"/>
    <s v="Small Business"/>
    <x v="3"/>
    <x v="10"/>
    <x v="5"/>
    <s v="MON-5276"/>
    <n v="86.68"/>
    <n v="213.32"/>
    <s v="Low"/>
    <n v="3.7999999999999999E-2"/>
    <n v="8"/>
    <n v="1641.7107199999998"/>
    <n v="749696.69617999985"/>
    <n v="693.44"/>
    <n v="948.27071999999976"/>
    <n v="0.57761133459614611"/>
    <n v="202504"/>
    <n v="202301"/>
    <s v="Apr-2023"/>
    <n v="27"/>
    <s v="On Time"/>
    <n v="1"/>
    <n v="0"/>
  </r>
  <r>
    <x v="305"/>
    <d v="2025-03-25T00:00:00"/>
    <s v="Mar-2025"/>
    <x v="0"/>
    <d v="2025-03-26T00:00:00"/>
    <n v="1"/>
    <x v="0"/>
    <x v="1"/>
    <s v="Lagos"/>
    <s v="Africa &gt; Nigeria &gt; Lagos"/>
    <s v="Education"/>
    <x v="3"/>
    <x v="3"/>
    <x v="6"/>
    <s v="ACC-9533"/>
    <n v="1450.43"/>
    <n v="1994.67"/>
    <s v="High"/>
    <n v="0.1"/>
    <n v="24"/>
    <n v="43084.872000000003"/>
    <n v="749696.69617999985"/>
    <n v="34810.32"/>
    <n v="8274.5520000000033"/>
    <n v="0.19205237513529116"/>
    <n v="202503"/>
    <n v="202301"/>
    <s v="Mar-2023"/>
    <n v="26"/>
    <s v="On Time"/>
    <n v="1"/>
    <n v="0"/>
  </r>
  <r>
    <x v="306"/>
    <d v="2025-05-18T00:00:00"/>
    <s v="May-2025"/>
    <x v="2"/>
    <d v="2025-06-09T00:00:00"/>
    <n v="22"/>
    <x v="2"/>
    <x v="10"/>
    <s v="New York"/>
    <s v="Americas &gt; USA &gt; New York"/>
    <s v="Consumer"/>
    <x v="0"/>
    <x v="10"/>
    <x v="2"/>
    <s v="NET-3749"/>
    <n v="382.96"/>
    <n v="552.84"/>
    <s v="Low"/>
    <n v="0.17599999999999999"/>
    <n v="8"/>
    <n v="3644.3212800000006"/>
    <n v="749696.69617999985"/>
    <n v="3063.68"/>
    <n v="580.64128000000073"/>
    <n v="0.15932768693763483"/>
    <n v="202505"/>
    <n v="202301"/>
    <s v="May-2023"/>
    <n v="28"/>
    <s v="Late"/>
    <n v="0"/>
    <n v="0"/>
  </r>
  <r>
    <x v="307"/>
    <d v="2025-01-22T00:00:00"/>
    <s v="Jan-2025"/>
    <x v="0"/>
    <d v="2025-02-04T00:00:00"/>
    <n v="13"/>
    <x v="1"/>
    <x v="2"/>
    <s v="Tokyo"/>
    <s v="Asia &gt; Japan &gt; Tokyo"/>
    <s v="Small Business"/>
    <x v="3"/>
    <x v="4"/>
    <x v="1"/>
    <s v="PRN-2991"/>
    <n v="122.29"/>
    <n v="224.95"/>
    <s v="Low"/>
    <n v="0.153"/>
    <n v="28"/>
    <n v="5334.9141999999993"/>
    <n v="749696.69617999985"/>
    <n v="3424.1200000000003"/>
    <n v="1910.7941999999989"/>
    <n v="0.3581677471026618"/>
    <n v="202501"/>
    <n v="202303"/>
    <s v="Jan-2023"/>
    <n v="22"/>
    <s v="Late"/>
    <n v="0"/>
    <n v="0"/>
  </r>
  <r>
    <x v="308"/>
    <d v="2023-01-10T00:00:00"/>
    <s v="Jan-2023"/>
    <x v="0"/>
    <d v="2023-01-29T00:00:00"/>
    <n v="19"/>
    <x v="3"/>
    <x v="7"/>
    <s v="Lyon"/>
    <s v="Europe &gt; France &gt; Lyon"/>
    <s v="Non-Profit"/>
    <x v="4"/>
    <x v="14"/>
    <x v="4"/>
    <s v="LAP-4551"/>
    <n v="401.66"/>
    <n v="772.09"/>
    <s v="Low"/>
    <n v="8.8999999999999996E-2"/>
    <n v="14"/>
    <n v="9847.2358600000007"/>
    <n v="749696.69617999985"/>
    <n v="5623.2400000000007"/>
    <n v="4223.99586"/>
    <n v="0.42895244107619046"/>
    <n v="202301"/>
    <n v="202301"/>
    <s v="Jan-2023"/>
    <n v="0"/>
    <s v="Late"/>
    <n v="0"/>
    <n v="0"/>
  </r>
  <r>
    <x v="309"/>
    <d v="2024-12-29T00:00:00"/>
    <s v="Dec-2024"/>
    <x v="1"/>
    <d v="2025-01-12T00:00:00"/>
    <n v="14"/>
    <x v="3"/>
    <x v="8"/>
    <s v="Manchester"/>
    <s v="Europe &gt; United Kingdom &gt; Manchester"/>
    <s v="Corporate"/>
    <x v="4"/>
    <x v="5"/>
    <x v="5"/>
    <s v="MON-6310"/>
    <n v="1399.72"/>
    <n v="3149.21"/>
    <s v="High"/>
    <n v="0.185"/>
    <n v="12"/>
    <n v="30799.273800000003"/>
    <n v="749696.69617999985"/>
    <n v="16796.64"/>
    <n v="14002.633800000003"/>
    <n v="0.45464168703873797"/>
    <n v="202412"/>
    <n v="202301"/>
    <s v="Dec-2023"/>
    <n v="23"/>
    <s v="Late"/>
    <n v="0"/>
    <n v="0"/>
  </r>
  <r>
    <x v="310"/>
    <d v="2024-05-23T00:00:00"/>
    <s v="May-2024"/>
    <x v="2"/>
    <d v="2024-06-06T00:00:00"/>
    <n v="14"/>
    <x v="2"/>
    <x v="5"/>
    <s v="Rio de Janeiro"/>
    <s v="Americas &gt; Brazil &gt; Rio de Janeiro"/>
    <s v="Non-Profit"/>
    <x v="1"/>
    <x v="2"/>
    <x v="2"/>
    <s v="NET-1166"/>
    <n v="51.13"/>
    <n v="57.53"/>
    <s v="Low"/>
    <n v="4.4999999999999998E-2"/>
    <n v="16"/>
    <n v="879.05840000000001"/>
    <n v="749696.69617999985"/>
    <n v="818.08"/>
    <n v="60.978399999999965"/>
    <n v="6.9367859973808302E-2"/>
    <n v="202405"/>
    <n v="202301"/>
    <s v="May-2023"/>
    <n v="16"/>
    <s v="Late"/>
    <n v="0"/>
    <n v="0"/>
  </r>
  <r>
    <x v="311"/>
    <d v="2023-06-24T00:00:00"/>
    <s v="Jun-2023"/>
    <x v="2"/>
    <d v="2023-06-26T00:00:00"/>
    <n v="2"/>
    <x v="2"/>
    <x v="3"/>
    <s v="Toronto"/>
    <s v="Americas &gt; Canada &gt; Toronto"/>
    <s v="Non-Profit"/>
    <x v="0"/>
    <x v="12"/>
    <x v="6"/>
    <s v="ACC-2903"/>
    <n v="471.42"/>
    <n v="824.81"/>
    <s v="Low"/>
    <n v="8.7999999999999995E-2"/>
    <n v="15"/>
    <n v="11283.400799999999"/>
    <n v="749696.69617999985"/>
    <n v="7071.3"/>
    <n v="4212.1007999999993"/>
    <n v="0.37330064531608231"/>
    <n v="202306"/>
    <n v="202301"/>
    <s v="Jun-2023"/>
    <n v="5"/>
    <s v="On Time"/>
    <n v="1"/>
    <n v="0"/>
  </r>
  <r>
    <x v="312"/>
    <d v="2024-11-04T00:00:00"/>
    <s v="Nov-2024"/>
    <x v="1"/>
    <d v="2024-11-05T00:00:00"/>
    <n v="1"/>
    <x v="3"/>
    <x v="8"/>
    <s v="London"/>
    <s v="Europe &gt; United Kingdom &gt; London"/>
    <s v="Corporate"/>
    <x v="0"/>
    <x v="12"/>
    <x v="1"/>
    <s v="PRN-2293"/>
    <n v="840.68"/>
    <n v="1493.53"/>
    <s v="Medium"/>
    <n v="0"/>
    <n v="27"/>
    <n v="40325.31"/>
    <n v="749696.69617999985"/>
    <n v="22698.359999999997"/>
    <n v="17626.95"/>
    <n v="0.43711877230454027"/>
    <n v="202411"/>
    <n v="202301"/>
    <s v="Nov-2023"/>
    <n v="22"/>
    <s v="On Time"/>
    <n v="1"/>
    <n v="0"/>
  </r>
  <r>
    <x v="313"/>
    <d v="2024-06-08T00:00:00"/>
    <s v="Jun-2024"/>
    <x v="2"/>
    <d v="2024-06-24T00:00:00"/>
    <n v="16"/>
    <x v="0"/>
    <x v="11"/>
    <s v="Durban"/>
    <s v="Africa &gt; South Africa &gt; Durban"/>
    <s v="Education"/>
    <x v="3"/>
    <x v="10"/>
    <x v="5"/>
    <s v="MON-1389"/>
    <n v="597.85"/>
    <n v="741.92"/>
    <s v="Medium"/>
    <n v="3.1E-2"/>
    <n v="7"/>
    <n v="5032.4433599999993"/>
    <n v="749696.69617999985"/>
    <n v="4184.95"/>
    <n v="847.49335999999948"/>
    <n v="0.16840594108544515"/>
    <n v="202406"/>
    <n v="202301"/>
    <s v="Jun-2023"/>
    <n v="17"/>
    <s v="Late"/>
    <n v="0"/>
    <n v="0"/>
  </r>
  <r>
    <x v="314"/>
    <d v="2025-06-01T00:00:00"/>
    <s v="Jun-2025"/>
    <x v="2"/>
    <d v="2025-06-06T00:00:00"/>
    <n v="5"/>
    <x v="3"/>
    <x v="7"/>
    <s v="Paris"/>
    <s v="Europe &gt; France &gt; Paris"/>
    <s v="Consumer"/>
    <x v="3"/>
    <x v="3"/>
    <x v="0"/>
    <s v="CMP-4093"/>
    <n v="379.45"/>
    <n v="742.23"/>
    <s v="Low"/>
    <n v="0.09"/>
    <n v="13"/>
    <n v="8780.5809000000008"/>
    <n v="749696.69617999985"/>
    <n v="4932.8499999999995"/>
    <n v="3847.7309000000014"/>
    <n v="0.43820915083192286"/>
    <n v="202506"/>
    <n v="202301"/>
    <s v="Jun-2023"/>
    <n v="29"/>
    <s v="On Time"/>
    <n v="1"/>
    <n v="0"/>
  </r>
  <r>
    <x v="315"/>
    <d v="2023-05-06T00:00:00"/>
    <s v="May-2023"/>
    <x v="2"/>
    <d v="2023-05-14T00:00:00"/>
    <n v="8"/>
    <x v="1"/>
    <x v="2"/>
    <s v="Osaka"/>
    <s v="Asia &gt; Japan &gt; Osaka"/>
    <s v="Enterprise"/>
    <x v="2"/>
    <x v="5"/>
    <x v="3"/>
    <s v="PHN-6131"/>
    <n v="291.18"/>
    <n v="479.54"/>
    <s v="Low"/>
    <n v="0.14099999999999999"/>
    <n v="22"/>
    <n v="9062.34692"/>
    <n v="740916.11527999991"/>
    <n v="6405.96"/>
    <n v="2656.3869199999999"/>
    <n v="0.29312350801066001"/>
    <n v="202305"/>
    <n v="202303"/>
    <s v="May-2023"/>
    <n v="2"/>
    <s v="Late"/>
    <n v="0"/>
    <n v="0"/>
  </r>
  <r>
    <x v="316"/>
    <d v="2023-11-14T00:00:00"/>
    <s v="Nov-2023"/>
    <x v="1"/>
    <d v="2023-11-30T00:00:00"/>
    <n v="16"/>
    <x v="2"/>
    <x v="5"/>
    <s v="São Paulo"/>
    <s v="Americas &gt; Brazil &gt; São Paulo"/>
    <s v="Enterprise"/>
    <x v="4"/>
    <x v="11"/>
    <x v="2"/>
    <s v="NET-4104"/>
    <n v="1017.92"/>
    <n v="1175.25"/>
    <s v="High"/>
    <n v="7.4999999999999997E-2"/>
    <n v="15"/>
    <n v="16306.59375"/>
    <n v="740916.11527999991"/>
    <n v="15268.8"/>
    <n v="1037.7937500000007"/>
    <n v="6.3642583234159542E-2"/>
    <n v="202311"/>
    <n v="202301"/>
    <s v="Nov-2023"/>
    <n v="10"/>
    <s v="Late"/>
    <n v="0"/>
    <n v="0"/>
  </r>
  <r>
    <x v="317"/>
    <d v="2025-04-01T00:00:00"/>
    <s v="Apr-2025"/>
    <x v="2"/>
    <d v="2025-04-27T00:00:00"/>
    <n v="26"/>
    <x v="2"/>
    <x v="10"/>
    <s v="San Francisco"/>
    <s v="Americas &gt; USA &gt; San Francisco"/>
    <s v="Corporate"/>
    <x v="4"/>
    <x v="2"/>
    <x v="5"/>
    <s v="MON-9319"/>
    <n v="156.55000000000001"/>
    <n v="227.45"/>
    <s v="Low"/>
    <n v="1.4E-2"/>
    <n v="13"/>
    <n v="2915.4540999999999"/>
    <n v="740916.11527999991"/>
    <n v="2035.15"/>
    <n v="880.30409999999983"/>
    <n v="0.3019440779396938"/>
    <n v="202504"/>
    <n v="202301"/>
    <s v="Apr-2023"/>
    <n v="27"/>
    <s v="Late"/>
    <n v="0"/>
    <n v="0"/>
  </r>
  <r>
    <x v="318"/>
    <d v="2023-03-23T00:00:00"/>
    <s v="Mar-2023"/>
    <x v="0"/>
    <d v="2023-04-15T00:00:00"/>
    <n v="23"/>
    <x v="0"/>
    <x v="0"/>
    <s v="Mombasa"/>
    <s v="Africa &gt; Kenya &gt; Mombasa"/>
    <s v="Small Business"/>
    <x v="0"/>
    <x v="0"/>
    <x v="6"/>
    <s v="ACC-2988"/>
    <n v="875.36"/>
    <n v="1178.6199999999999"/>
    <s v="Medium"/>
    <n v="0.151"/>
    <n v="53"/>
    <n v="53034.364139999991"/>
    <n v="740916.11527999991"/>
    <n v="46394.080000000002"/>
    <n v="6640.2841399999888"/>
    <n v="0.12520719815685888"/>
    <n v="202303"/>
    <n v="202301"/>
    <s v="Mar-2023"/>
    <n v="2"/>
    <s v="Late"/>
    <n v="0"/>
    <n v="0"/>
  </r>
  <r>
    <x v="319"/>
    <d v="2024-05-28T00:00:00"/>
    <s v="May-2024"/>
    <x v="2"/>
    <d v="2024-06-18T00:00:00"/>
    <n v="21"/>
    <x v="3"/>
    <x v="6"/>
    <s v="Frankfurt"/>
    <s v="Europe &gt; Germany &gt; Frankfurt"/>
    <s v="Small Business"/>
    <x v="1"/>
    <x v="6"/>
    <x v="3"/>
    <s v="PHN-9399"/>
    <n v="986.85"/>
    <n v="2422.1"/>
    <s v="Medium"/>
    <n v="7.5999999999999998E-2"/>
    <n v="10"/>
    <n v="22380.204000000002"/>
    <n v="740916.11527999991"/>
    <n v="9868.5"/>
    <n v="12511.704000000002"/>
    <n v="0.55905227673527913"/>
    <n v="202405"/>
    <n v="202301"/>
    <s v="May-2023"/>
    <n v="16"/>
    <s v="Late"/>
    <n v="0"/>
    <n v="0"/>
  </r>
  <r>
    <x v="320"/>
    <d v="2024-01-02T00:00:00"/>
    <s v="Jan-2024"/>
    <x v="0"/>
    <d v="2024-01-03T00:00:00"/>
    <n v="1"/>
    <x v="2"/>
    <x v="10"/>
    <s v="Chicago"/>
    <s v="Americas &gt; USA &gt; Chicago"/>
    <s v="Education"/>
    <x v="2"/>
    <x v="5"/>
    <x v="2"/>
    <s v="NET-4554"/>
    <n v="404.77"/>
    <n v="433.88"/>
    <s v="Low"/>
    <n v="0.215"/>
    <n v="22"/>
    <n v="7493.1076000000012"/>
    <n v="740916.11527999991"/>
    <n v="8904.9399999999987"/>
    <n v="-1411.8323999999975"/>
    <n v="-0.18841747314558746"/>
    <n v="202401"/>
    <n v="202301"/>
    <s v="Jan-2023"/>
    <n v="12"/>
    <s v="On Time"/>
    <n v="1"/>
    <n v="1"/>
  </r>
  <r>
    <x v="321"/>
    <d v="2023-02-28T00:00:00"/>
    <s v="Feb-2023"/>
    <x v="0"/>
    <d v="2023-03-01T00:00:00"/>
    <n v="1"/>
    <x v="3"/>
    <x v="7"/>
    <s v="Marseille"/>
    <s v="Europe &gt; France &gt; Marseille"/>
    <s v="Corporate"/>
    <x v="0"/>
    <x v="11"/>
    <x v="2"/>
    <s v="NET-5195"/>
    <n v="1299.81"/>
    <n v="3149.13"/>
    <s v="High"/>
    <n v="0.10299999999999999"/>
    <n v="14"/>
    <n v="39546.774539999999"/>
    <n v="740916.11527999991"/>
    <n v="18197.34"/>
    <n v="21349.434539999998"/>
    <n v="0.53985273864511729"/>
    <n v="202302"/>
    <n v="202301"/>
    <s v="Feb-2023"/>
    <n v="1"/>
    <s v="On Time"/>
    <n v="1"/>
    <n v="0"/>
  </r>
  <r>
    <x v="322"/>
    <d v="2024-02-18T00:00:00"/>
    <s v="Feb-2024"/>
    <x v="0"/>
    <d v="2024-03-11T00:00:00"/>
    <n v="22"/>
    <x v="2"/>
    <x v="5"/>
    <s v="São Paulo"/>
    <s v="Americas &gt; Brazil &gt; São Paulo"/>
    <s v="Consumer"/>
    <x v="1"/>
    <x v="8"/>
    <x v="0"/>
    <s v="CMP-9801"/>
    <n v="80.48"/>
    <n v="65.650000000000006"/>
    <s v="Low"/>
    <n v="0.17599999999999999"/>
    <n v="13"/>
    <n v="703.2428000000001"/>
    <n v="740916.11527999991"/>
    <n v="1046.24"/>
    <n v="-342.99719999999991"/>
    <n v="-0.48773652570634191"/>
    <n v="202402"/>
    <n v="202301"/>
    <s v="Feb-2023"/>
    <n v="13"/>
    <s v="Late"/>
    <n v="0"/>
    <n v="0"/>
  </r>
  <r>
    <x v="323"/>
    <d v="2024-09-09T00:00:00"/>
    <s v="Sept-2024"/>
    <x v="3"/>
    <d v="2024-10-08T00:00:00"/>
    <n v="29"/>
    <x v="2"/>
    <x v="5"/>
    <s v="São Paulo"/>
    <s v="Americas &gt; Brazil &gt; São Paulo"/>
    <s v="Education"/>
    <x v="4"/>
    <x v="1"/>
    <x v="0"/>
    <s v="CMP-3093"/>
    <n v="1010.33"/>
    <n v="2492.14"/>
    <s v="High"/>
    <n v="5.0999999999999997E-2"/>
    <n v="11"/>
    <n v="26015.449459999996"/>
    <n v="740212.8724799999"/>
    <n v="11113.630000000001"/>
    <n v="14901.819459999995"/>
    <n v="0.57280653493656752"/>
    <n v="202409"/>
    <n v="202301"/>
    <s v="Sept-2023"/>
    <n v="20"/>
    <s v="Late"/>
    <n v="0"/>
    <n v="0"/>
  </r>
  <r>
    <x v="324"/>
    <d v="2023-05-07T00:00:00"/>
    <s v="May-2023"/>
    <x v="2"/>
    <d v="2023-05-29T00:00:00"/>
    <n v="22"/>
    <x v="0"/>
    <x v="11"/>
    <s v="Durban"/>
    <s v="Africa &gt; South Africa &gt; Durban"/>
    <s v="Education"/>
    <x v="3"/>
    <x v="11"/>
    <x v="6"/>
    <s v="ACC-2364"/>
    <n v="653.86"/>
    <n v="931.84"/>
    <s v="Medium"/>
    <n v="0.121"/>
    <n v="12"/>
    <n v="9829.0483199999999"/>
    <n v="714197.42301999987"/>
    <n v="7846.32"/>
    <n v="1982.7283200000002"/>
    <n v="0.20172129136506273"/>
    <n v="202305"/>
    <n v="202301"/>
    <s v="May-2023"/>
    <n v="4"/>
    <s v="Late"/>
    <n v="0"/>
    <n v="0"/>
  </r>
  <r>
    <x v="325"/>
    <d v="2024-01-12T00:00:00"/>
    <s v="Jan-2024"/>
    <x v="0"/>
    <d v="2024-01-29T00:00:00"/>
    <n v="17"/>
    <x v="1"/>
    <x v="4"/>
    <s v="Hyderabad"/>
    <s v="Asia &gt; India &gt; Hyderabad"/>
    <s v="Small Business"/>
    <x v="4"/>
    <x v="5"/>
    <x v="0"/>
    <s v="CMP-5138"/>
    <n v="310.02"/>
    <n v="619.51"/>
    <s v="Low"/>
    <n v="4.2000000000000003E-2"/>
    <n v="4"/>
    <n v="2373.9623200000001"/>
    <n v="714197.42301999987"/>
    <n v="1240.08"/>
    <n v="1133.8823200000002"/>
    <n v="0.47763282106347843"/>
    <n v="202401"/>
    <n v="202301"/>
    <s v="Jan-2023"/>
    <n v="12"/>
    <s v="Late"/>
    <n v="0"/>
    <n v="0"/>
  </r>
  <r>
    <x v="326"/>
    <d v="2023-06-10T00:00:00"/>
    <s v="Jun-2023"/>
    <x v="2"/>
    <d v="2023-06-18T00:00:00"/>
    <n v="8"/>
    <x v="0"/>
    <x v="0"/>
    <s v="Nakuru"/>
    <s v="Africa &gt; Kenya &gt; Nakuru"/>
    <s v="Enterprise"/>
    <x v="4"/>
    <x v="10"/>
    <x v="3"/>
    <s v="PHN-2337"/>
    <n v="894.23"/>
    <n v="1421.55"/>
    <s v="Medium"/>
    <n v="0.109"/>
    <n v="3"/>
    <n v="3799.8031499999997"/>
    <n v="711823.46069999994"/>
    <n v="2682.69"/>
    <n v="1117.1131499999997"/>
    <n v="0.29399237431549574"/>
    <n v="202306"/>
    <n v="202301"/>
    <s v="Jun-2023"/>
    <n v="5"/>
    <s v="Late"/>
    <n v="0"/>
    <n v="0"/>
  </r>
  <r>
    <x v="327"/>
    <d v="2025-05-19T00:00:00"/>
    <s v="May-2025"/>
    <x v="2"/>
    <d v="2025-05-21T00:00:00"/>
    <n v="2"/>
    <x v="2"/>
    <x v="5"/>
    <s v="São Paulo"/>
    <s v="Americas &gt; Brazil &gt; São Paulo"/>
    <s v="Small Business"/>
    <x v="3"/>
    <x v="4"/>
    <x v="5"/>
    <s v="MON-2993"/>
    <n v="383.77"/>
    <n v="952.56"/>
    <s v="Low"/>
    <n v="0.34599999999999997"/>
    <n v="10"/>
    <n v="6229.7423999999992"/>
    <n v="711823.46069999994"/>
    <n v="3837.7"/>
    <n v="2392.0423999999994"/>
    <n v="0.38397131797937578"/>
    <n v="202505"/>
    <n v="202301"/>
    <s v="May-2023"/>
    <n v="28"/>
    <s v="On Time"/>
    <n v="1"/>
    <n v="1"/>
  </r>
  <r>
    <x v="328"/>
    <d v="2023-10-22T00:00:00"/>
    <s v="Oct-2023"/>
    <x v="1"/>
    <d v="2023-11-16T00:00:00"/>
    <n v="25"/>
    <x v="2"/>
    <x v="3"/>
    <s v="Toronto"/>
    <s v="Americas &gt; Canada &gt; Toronto"/>
    <s v="Small Business"/>
    <x v="2"/>
    <x v="2"/>
    <x v="4"/>
    <s v="LAP-9024"/>
    <n v="1373.31"/>
    <n v="3154.14"/>
    <s v="High"/>
    <n v="0.2"/>
    <n v="11"/>
    <n v="27756.432000000001"/>
    <n v="711823.46069999994"/>
    <n v="15106.41"/>
    <n v="12650.022000000001"/>
    <n v="0.45575101295440279"/>
    <n v="202310"/>
    <n v="202301"/>
    <s v="Oct-2023"/>
    <n v="9"/>
    <s v="Late"/>
    <n v="0"/>
    <n v="0"/>
  </r>
  <r>
    <x v="329"/>
    <d v="2025-01-11T00:00:00"/>
    <s v="Jan-2025"/>
    <x v="0"/>
    <d v="2025-01-23T00:00:00"/>
    <n v="12"/>
    <x v="2"/>
    <x v="10"/>
    <s v="Austin"/>
    <s v="Americas &gt; USA &gt; Austin"/>
    <s v="Consumer"/>
    <x v="3"/>
    <x v="10"/>
    <x v="3"/>
    <s v="PHN-6307"/>
    <n v="100.69"/>
    <n v="226.14"/>
    <s v="Low"/>
    <n v="6.5000000000000002E-2"/>
    <n v="12"/>
    <n v="2537.2908000000002"/>
    <n v="711823.46069999994"/>
    <n v="1208.28"/>
    <n v="1329.0108000000002"/>
    <n v="0.52379128162999689"/>
    <n v="202501"/>
    <n v="202301"/>
    <s v="Jan-2023"/>
    <n v="24"/>
    <s v="Late"/>
    <n v="0"/>
    <n v="0"/>
  </r>
  <r>
    <x v="330"/>
    <d v="2025-09-14T00:00:00"/>
    <s v="Sept-2025"/>
    <x v="3"/>
    <d v="2025-09-26T00:00:00"/>
    <n v="12"/>
    <x v="3"/>
    <x v="8"/>
    <s v="London"/>
    <s v="Europe &gt; United Kingdom &gt; London"/>
    <s v="Small Business"/>
    <x v="4"/>
    <x v="13"/>
    <x v="2"/>
    <s v="NET-9003"/>
    <n v="425.15"/>
    <n v="885.92"/>
    <s v="Low"/>
    <n v="0.23899999999999999"/>
    <n v="13"/>
    <n v="8764.4065599999994"/>
    <n v="711823.46069999994"/>
    <n v="5526.95"/>
    <n v="3237.4565599999996"/>
    <n v="0.3693868532725848"/>
    <n v="202509"/>
    <n v="202301"/>
    <s v="Sept-2023"/>
    <n v="32"/>
    <s v="Late"/>
    <n v="0"/>
    <n v="1"/>
  </r>
  <r>
    <x v="331"/>
    <d v="2023-08-30T00:00:00"/>
    <s v="Aug-2023"/>
    <x v="3"/>
    <d v="2023-09-03T00:00:00"/>
    <n v="4"/>
    <x v="1"/>
    <x v="4"/>
    <s v="Delhi"/>
    <s v="Asia &gt; India &gt; Delhi"/>
    <s v="Small Business"/>
    <x v="2"/>
    <x v="4"/>
    <x v="6"/>
    <s v="ACC-3068"/>
    <n v="1082.25"/>
    <n v="2433.34"/>
    <s v="High"/>
    <n v="0.27"/>
    <n v="4"/>
    <n v="7105.3528000000006"/>
    <n v="711823.46069999994"/>
    <n v="4329"/>
    <n v="2776.3528000000006"/>
    <n v="0.3907410199251472"/>
    <n v="202308"/>
    <n v="202301"/>
    <s v="Aug-2023"/>
    <n v="7"/>
    <s v="On Time"/>
    <n v="1"/>
    <n v="1"/>
  </r>
  <r>
    <x v="332"/>
    <d v="2023-11-15T00:00:00"/>
    <s v="Nov-2023"/>
    <x v="1"/>
    <d v="2023-12-06T00:00:00"/>
    <n v="21"/>
    <x v="3"/>
    <x v="8"/>
    <s v="Manchester"/>
    <s v="Europe &gt; United Kingdom &gt; Manchester"/>
    <s v="Education"/>
    <x v="4"/>
    <x v="10"/>
    <x v="6"/>
    <s v="ACC-1060"/>
    <n v="1184.99"/>
    <n v="1154.3399999999999"/>
    <s v="High"/>
    <n v="2.8000000000000001E-2"/>
    <n v="5"/>
    <n v="5610.0923999999995"/>
    <n v="711823.46069999994"/>
    <n v="5924.95"/>
    <n v="-314.85760000000028"/>
    <n v="-5.6123424990290764E-2"/>
    <n v="202311"/>
    <n v="202301"/>
    <s v="Nov-2023"/>
    <n v="10"/>
    <s v="Late"/>
    <n v="0"/>
    <n v="0"/>
  </r>
  <r>
    <x v="333"/>
    <d v="2025-04-27T00:00:00"/>
    <s v="Apr-2025"/>
    <x v="2"/>
    <d v="2025-05-27T00:00:00"/>
    <n v="30"/>
    <x v="1"/>
    <x v="4"/>
    <s v="Not Provided"/>
    <s v="Asia &gt; India &gt; Not Provided"/>
    <s v="Enterprise"/>
    <x v="2"/>
    <x v="10"/>
    <x v="3"/>
    <s v="PHN-3854"/>
    <n v="481.32"/>
    <n v="1135.99"/>
    <s v="Low"/>
    <n v="0.14499999999999999"/>
    <n v="5"/>
    <n v="4856.35725"/>
    <n v="711823.46069999994"/>
    <n v="2406.6"/>
    <n v="2449.7572500000001"/>
    <n v="0.50444337677175621"/>
    <n v="202504"/>
    <n v="202301"/>
    <s v="Apr-2023"/>
    <n v="27"/>
    <s v="Late"/>
    <n v="0"/>
    <n v="0"/>
  </r>
  <r>
    <x v="334"/>
    <d v="2024-04-09T00:00:00"/>
    <s v="Apr-2024"/>
    <x v="2"/>
    <d v="2024-04-18T00:00:00"/>
    <n v="9"/>
    <x v="3"/>
    <x v="7"/>
    <s v="Lyon"/>
    <s v="Europe &gt; France &gt; Lyon"/>
    <s v="Consumer"/>
    <x v="1"/>
    <x v="6"/>
    <x v="1"/>
    <s v="PRN-1086"/>
    <n v="1288.8499999999999"/>
    <n v="2751.84"/>
    <s v="High"/>
    <n v="0.158"/>
    <n v="7"/>
    <n v="16219.34496"/>
    <n v="711823.46069999994"/>
    <n v="9021.9499999999989"/>
    <n v="7197.3949600000014"/>
    <n v="0.44375373837538756"/>
    <n v="202404"/>
    <n v="202301"/>
    <s v="Apr-2023"/>
    <n v="15"/>
    <s v="Late"/>
    <n v="0"/>
    <n v="0"/>
  </r>
  <r>
    <x v="335"/>
    <d v="2024-07-11T00:00:00"/>
    <s v="Jul-2024"/>
    <x v="3"/>
    <d v="2024-07-31T00:00:00"/>
    <n v="20"/>
    <x v="1"/>
    <x v="9"/>
    <s v="Shenzhen"/>
    <s v="Asia &gt; China &gt; Shenzhen"/>
    <s v="Consumer"/>
    <x v="1"/>
    <x v="3"/>
    <x v="3"/>
    <s v="PHN-7815"/>
    <n v="647.26"/>
    <n v="1374.72"/>
    <s v="Medium"/>
    <n v="6.6000000000000003E-2"/>
    <n v="22"/>
    <n v="28247.74656"/>
    <n v="711823.46069999994"/>
    <n v="14239.72"/>
    <n v="14008.02656"/>
    <n v="0.49589890401508901"/>
    <n v="202407"/>
    <n v="202301"/>
    <s v="Jul-2023"/>
    <n v="18"/>
    <s v="Late"/>
    <n v="0"/>
    <n v="0"/>
  </r>
  <r>
    <x v="336"/>
    <d v="2024-02-18T00:00:00"/>
    <s v="Feb-2024"/>
    <x v="0"/>
    <d v="2024-03-03T00:00:00"/>
    <n v="14"/>
    <x v="2"/>
    <x v="5"/>
    <s v="Not Provided"/>
    <s v="Americas &gt; Brazil &gt; Not Provided"/>
    <s v="Enterprise"/>
    <x v="3"/>
    <x v="8"/>
    <x v="1"/>
    <s v="PRN-5384"/>
    <n v="624.23"/>
    <n v="1318.37"/>
    <s v="Medium"/>
    <n v="0.21"/>
    <n v="37"/>
    <n v="38535.955099999999"/>
    <n v="711823.46069999994"/>
    <n v="23096.510000000002"/>
    <n v="15439.445099999997"/>
    <n v="0.40065038118128793"/>
    <n v="202402"/>
    <n v="202301"/>
    <s v="Feb-2023"/>
    <n v="13"/>
    <s v="Late"/>
    <n v="0"/>
    <n v="1"/>
  </r>
  <r>
    <x v="337"/>
    <d v="2023-07-25T00:00:00"/>
    <s v="Jul-2023"/>
    <x v="3"/>
    <d v="2023-08-10T00:00:00"/>
    <n v="16"/>
    <x v="0"/>
    <x v="1"/>
    <s v="Port Harcourt"/>
    <s v="Africa &gt; Nigeria &gt; Port Harcourt"/>
    <s v="Corporate"/>
    <x v="3"/>
    <x v="2"/>
    <x v="6"/>
    <s v="ACC-8178"/>
    <n v="506.83"/>
    <n v="441.74"/>
    <s v="Medium"/>
    <n v="0.24"/>
    <n v="9"/>
    <n v="3021.5016000000001"/>
    <n v="711823.46069999994"/>
    <n v="4561.47"/>
    <n v="-1539.9684000000002"/>
    <n v="-0.50966989393618067"/>
    <n v="202307"/>
    <n v="202301"/>
    <s v="Jul-2023"/>
    <n v="6"/>
    <s v="Late"/>
    <n v="0"/>
    <n v="1"/>
  </r>
  <r>
    <x v="338"/>
    <d v="2023-07-14T00:00:00"/>
    <s v="Jul-2023"/>
    <x v="3"/>
    <d v="2023-07-21T00:00:00"/>
    <n v="7"/>
    <x v="0"/>
    <x v="11"/>
    <s v="Durban"/>
    <s v="Africa &gt; South Africa &gt; Durban"/>
    <s v="Enterprise"/>
    <x v="2"/>
    <x v="15"/>
    <x v="5"/>
    <s v="MON-1018"/>
    <n v="620.74"/>
    <n v="1330.07"/>
    <s v="Medium"/>
    <n v="0.29899999999999999"/>
    <n v="28"/>
    <n v="26106.613960000002"/>
    <n v="711823.46069999994"/>
    <n v="17380.72"/>
    <n v="8725.8939600000012"/>
    <n v="0.33424073965967516"/>
    <n v="202307"/>
    <n v="202301"/>
    <s v="Jul-2023"/>
    <n v="6"/>
    <s v="On Time"/>
    <n v="1"/>
    <n v="1"/>
  </r>
  <r>
    <x v="339"/>
    <d v="2023-07-24T00:00:00"/>
    <s v="Jul-2023"/>
    <x v="3"/>
    <d v="2023-08-19T00:00:00"/>
    <n v="26"/>
    <x v="0"/>
    <x v="0"/>
    <s v="Nairobi"/>
    <s v="Africa &gt; Kenya &gt; Nairobi"/>
    <s v="Enterprise"/>
    <x v="3"/>
    <x v="12"/>
    <x v="6"/>
    <s v="ACC-1238"/>
    <n v="661.45"/>
    <n v="1634.86"/>
    <s v="Medium"/>
    <n v="0.56499999999999995"/>
    <n v="24"/>
    <n v="17067.938400000003"/>
    <n v="711823.46069999994"/>
    <n v="15874.800000000001"/>
    <n v="1193.1384000000016"/>
    <n v="6.9905244092045793E-2"/>
    <n v="202307"/>
    <n v="202301"/>
    <s v="Jul-2023"/>
    <n v="6"/>
    <s v="Late"/>
    <n v="0"/>
    <n v="1"/>
  </r>
  <r>
    <x v="340"/>
    <d v="2023-04-13T00:00:00"/>
    <s v="Apr-2023"/>
    <x v="2"/>
    <d v="2023-04-15T00:00:00"/>
    <n v="2"/>
    <x v="2"/>
    <x v="10"/>
    <s v="San Francisco"/>
    <s v="Americas &gt; USA &gt; San Francisco"/>
    <s v="Education"/>
    <x v="2"/>
    <x v="3"/>
    <x v="2"/>
    <s v="NET-1816"/>
    <n v="32.1"/>
    <n v="70.599999999999994"/>
    <s v="Low"/>
    <n v="0.28199999999999997"/>
    <n v="22"/>
    <n v="1115.1975999999997"/>
    <n v="711823.46069999994"/>
    <n v="706.2"/>
    <n v="408.99759999999969"/>
    <n v="0.36674899587301818"/>
    <n v="202304"/>
    <n v="202301"/>
    <s v="Apr-2023"/>
    <n v="3"/>
    <s v="On Time"/>
    <n v="1"/>
    <n v="1"/>
  </r>
  <r>
    <x v="341"/>
    <d v="2024-10-29T00:00:00"/>
    <s v="Oct-2024"/>
    <x v="1"/>
    <d v="2024-11-04T00:00:00"/>
    <n v="6"/>
    <x v="0"/>
    <x v="0"/>
    <s v="Nairobi"/>
    <s v="Africa &gt; Kenya &gt; Nairobi"/>
    <s v="Corporate"/>
    <x v="3"/>
    <x v="12"/>
    <x v="1"/>
    <s v="PRN-4893"/>
    <n v="805.81"/>
    <n v="1823.04"/>
    <s v="Medium"/>
    <n v="0"/>
    <n v="11"/>
    <n v="20053.439999999999"/>
    <n v="711823.46069999994"/>
    <n v="8863.91"/>
    <n v="11189.529999999999"/>
    <n v="0.55798556257679477"/>
    <n v="202410"/>
    <n v="202301"/>
    <s v="Oct-2023"/>
    <n v="21"/>
    <s v="On Time"/>
    <n v="1"/>
    <n v="0"/>
  </r>
  <r>
    <x v="342"/>
    <d v="2024-02-17T00:00:00"/>
    <s v="Feb-2024"/>
    <x v="0"/>
    <d v="2024-03-04T00:00:00"/>
    <n v="16"/>
    <x v="1"/>
    <x v="4"/>
    <s v="Delhi"/>
    <s v="Asia &gt; India &gt; Delhi"/>
    <s v="Small Business"/>
    <x v="2"/>
    <x v="9"/>
    <x v="3"/>
    <s v="PHN-1717"/>
    <n v="1231.8"/>
    <n v="2015.99"/>
    <s v="High"/>
    <n v="0.26100000000000001"/>
    <n v="6"/>
    <n v="8938.8996600000009"/>
    <n v="711823.46069999994"/>
    <n v="7390.7999999999993"/>
    <n v="1548.0996600000017"/>
    <n v="0.17318682599464391"/>
    <n v="202402"/>
    <n v="202301"/>
    <s v="Feb-2023"/>
    <n v="13"/>
    <s v="Late"/>
    <n v="0"/>
    <n v="1"/>
  </r>
  <r>
    <x v="343"/>
    <d v="2024-07-13T00:00:00"/>
    <s v="Jul-2024"/>
    <x v="3"/>
    <d v="2024-07-14T00:00:00"/>
    <n v="1"/>
    <x v="1"/>
    <x v="2"/>
    <s v="Nagoya"/>
    <s v="Asia &gt; Japan &gt; Nagoya"/>
    <s v="Small Business"/>
    <x v="2"/>
    <x v="9"/>
    <x v="2"/>
    <s v="NET-9575"/>
    <n v="105.13"/>
    <n v="244.13"/>
    <s v="Low"/>
    <n v="7.0999999999999994E-2"/>
    <n v="14"/>
    <n v="3175.1547799999998"/>
    <n v="711823.46069999994"/>
    <n v="1471.82"/>
    <n v="1703.3347799999999"/>
    <n v="0.53645724319618837"/>
    <n v="202407"/>
    <n v="202303"/>
    <s v="Jul-2023"/>
    <n v="16"/>
    <s v="On Time"/>
    <n v="1"/>
    <n v="0"/>
  </r>
  <r>
    <x v="344"/>
    <d v="2023-12-01T00:00:00"/>
    <s v="Dec-2023"/>
    <x v="1"/>
    <d v="2023-12-18T00:00:00"/>
    <n v="17"/>
    <x v="1"/>
    <x v="2"/>
    <s v="Nagoya"/>
    <s v="Asia &gt; Japan &gt; Nagoya"/>
    <s v="Small Business"/>
    <x v="4"/>
    <x v="13"/>
    <x v="4"/>
    <s v="LAP-3604"/>
    <n v="1495.79"/>
    <n v="2783.12"/>
    <s v="High"/>
    <n v="0.02"/>
    <n v="5"/>
    <n v="13637.287999999999"/>
    <n v="711823.46069999994"/>
    <n v="7478.95"/>
    <n v="6158.3379999999988"/>
    <n v="0.45158084217331185"/>
    <n v="202312"/>
    <n v="202303"/>
    <s v="Dec-2023"/>
    <n v="9"/>
    <s v="Late"/>
    <n v="0"/>
    <n v="0"/>
  </r>
  <r>
    <x v="345"/>
    <d v="2024-07-25T00:00:00"/>
    <s v="Jul-2024"/>
    <x v="3"/>
    <d v="2024-08-02T00:00:00"/>
    <n v="8"/>
    <x v="2"/>
    <x v="3"/>
    <s v="Montreal"/>
    <s v="Americas &gt; Canada &gt; Montreal"/>
    <s v="Consumer"/>
    <x v="4"/>
    <x v="1"/>
    <x v="6"/>
    <s v="ACC-6626"/>
    <n v="986.81"/>
    <n v="2050.31"/>
    <s v="Medium"/>
    <n v="0.10299999999999999"/>
    <n v="43"/>
    <n v="79082.507010000001"/>
    <n v="711823.46069999994"/>
    <n v="42432.829999999994"/>
    <n v="36649.677010000007"/>
    <n v="0.46343595310358138"/>
    <n v="202407"/>
    <n v="202301"/>
    <s v="Jul-2023"/>
    <n v="18"/>
    <s v="Late"/>
    <n v="0"/>
    <n v="0"/>
  </r>
  <r>
    <x v="346"/>
    <d v="2023-05-04T00:00:00"/>
    <s v="May-2023"/>
    <x v="2"/>
    <d v="2023-05-16T00:00:00"/>
    <n v="12"/>
    <x v="0"/>
    <x v="1"/>
    <s v="Abuja"/>
    <s v="Africa &gt; Nigeria &gt; Abuja"/>
    <s v="Small Business"/>
    <x v="2"/>
    <x v="1"/>
    <x v="3"/>
    <s v="PHN-1670"/>
    <n v="77.739999999999995"/>
    <n v="147.12"/>
    <s v="Low"/>
    <n v="0"/>
    <n v="15"/>
    <n v="2206.8000000000002"/>
    <n v="711823.46069999994"/>
    <n v="1166.0999999999999"/>
    <n v="1040.7000000000003"/>
    <n v="0.47158781946710177"/>
    <n v="202305"/>
    <n v="202301"/>
    <s v="May-2023"/>
    <n v="4"/>
    <s v="Late"/>
    <n v="0"/>
    <n v="0"/>
  </r>
  <r>
    <x v="347"/>
    <d v="2023-12-21T00:00:00"/>
    <s v="Dec-2023"/>
    <x v="1"/>
    <d v="2024-01-06T00:00:00"/>
    <n v="16"/>
    <x v="0"/>
    <x v="1"/>
    <s v="Not Provided"/>
    <s v="Africa &gt; Nigeria &gt; Not Provided"/>
    <s v="Corporate"/>
    <x v="2"/>
    <x v="11"/>
    <x v="0"/>
    <s v="CMP-4792"/>
    <n v="932.61"/>
    <n v="1982.98"/>
    <s v="Medium"/>
    <n v="0.14399999999999999"/>
    <n v="16"/>
    <n v="27158.894079999998"/>
    <n v="711823.46069999994"/>
    <n v="14921.76"/>
    <n v="12237.134079999998"/>
    <n v="0.45057556629345635"/>
    <n v="202312"/>
    <n v="202301"/>
    <s v="Dec-2023"/>
    <n v="11"/>
    <s v="Late"/>
    <n v="0"/>
    <n v="0"/>
  </r>
  <r>
    <x v="348"/>
    <d v="2025-06-17T00:00:00"/>
    <s v="Jun-2025"/>
    <x v="2"/>
    <d v="2025-07-05T00:00:00"/>
    <n v="18"/>
    <x v="1"/>
    <x v="4"/>
    <s v="Delhi"/>
    <s v="Asia &gt; India &gt; Delhi"/>
    <s v="Consumer"/>
    <x v="2"/>
    <x v="4"/>
    <x v="4"/>
    <s v="LAP-1990"/>
    <n v="982.93"/>
    <n v="2299.3000000000002"/>
    <s v="Medium"/>
    <n v="0.113"/>
    <n v="6"/>
    <n v="12236.874600000001"/>
    <n v="684664.56661999994"/>
    <n v="5897.58"/>
    <n v="6339.2946000000011"/>
    <n v="0.51804850562087157"/>
    <n v="202506"/>
    <n v="202301"/>
    <s v="Jun-2023"/>
    <n v="29"/>
    <s v="Late"/>
    <n v="0"/>
    <n v="0"/>
  </r>
  <r>
    <x v="349"/>
    <d v="2023-02-23T00:00:00"/>
    <s v="Feb-2023"/>
    <x v="0"/>
    <d v="2023-03-08T00:00:00"/>
    <n v="13"/>
    <x v="3"/>
    <x v="8"/>
    <s v="Manchester"/>
    <s v="Europe &gt; United Kingdom &gt; Manchester"/>
    <s v="Small Business"/>
    <x v="4"/>
    <x v="0"/>
    <x v="1"/>
    <s v="PRN-7410"/>
    <n v="307.37"/>
    <n v="462.61"/>
    <s v="Low"/>
    <n v="0.188"/>
    <n v="11"/>
    <n v="4132.0325200000007"/>
    <n v="684664.56661999994"/>
    <n v="3381.07"/>
    <n v="750.9625200000005"/>
    <n v="0.18174167709599739"/>
    <n v="202302"/>
    <n v="202301"/>
    <s v="Feb-2023"/>
    <n v="1"/>
    <s v="Late"/>
    <n v="0"/>
    <n v="0"/>
  </r>
  <r>
    <x v="350"/>
    <d v="2023-12-02T00:00:00"/>
    <s v="Dec-2023"/>
    <x v="1"/>
    <d v="2023-12-16T00:00:00"/>
    <n v="14"/>
    <x v="3"/>
    <x v="6"/>
    <s v="Frankfurt"/>
    <s v="Europe &gt; Germany &gt; Frankfurt"/>
    <s v="Education"/>
    <x v="4"/>
    <x v="13"/>
    <x v="5"/>
    <s v="MON-4278"/>
    <n v="879.08"/>
    <n v="1093.3900000000001"/>
    <s v="Medium"/>
    <n v="0.113"/>
    <n v="17"/>
    <n v="16487.22781"/>
    <n v="684664.56661999994"/>
    <n v="14944.36"/>
    <n v="1542.8678099999997"/>
    <n v="9.3579577341935186E-2"/>
    <n v="202312"/>
    <n v="202301"/>
    <s v="Dec-2023"/>
    <n v="11"/>
    <s v="Late"/>
    <n v="0"/>
    <n v="0"/>
  </r>
  <r>
    <x v="351"/>
    <d v="2023-07-14T00:00:00"/>
    <s v="Jul-2023"/>
    <x v="3"/>
    <d v="2023-07-14T00:00:00"/>
    <n v="0"/>
    <x v="0"/>
    <x v="1"/>
    <s v="Lagos"/>
    <s v="Africa &gt; Nigeria &gt; Lagos"/>
    <s v="Education"/>
    <x v="0"/>
    <x v="2"/>
    <x v="6"/>
    <s v="ACC-5334"/>
    <n v="956.38"/>
    <n v="1454.22"/>
    <s v="Medium"/>
    <n v="3.9E-2"/>
    <n v="19"/>
    <n v="26552.60298"/>
    <n v="684664.56661999994"/>
    <n v="18171.22"/>
    <n v="8381.3829799999985"/>
    <n v="0.31565202802576603"/>
    <n v="202307"/>
    <n v="202301"/>
    <s v="Jul-2023"/>
    <n v="6"/>
    <s v="On Time"/>
    <n v="1"/>
    <n v="0"/>
  </r>
  <r>
    <x v="352"/>
    <d v="2024-08-08T00:00:00"/>
    <s v="Aug-2024"/>
    <x v="3"/>
    <d v="2024-08-20T00:00:00"/>
    <n v="12"/>
    <x v="1"/>
    <x v="2"/>
    <s v="Osaka"/>
    <s v="Asia &gt; Japan &gt; Osaka"/>
    <s v="Small Business"/>
    <x v="0"/>
    <x v="10"/>
    <x v="2"/>
    <s v="NET-8957"/>
    <n v="1233.3599999999999"/>
    <n v="2120.4"/>
    <s v="High"/>
    <n v="0.17899999999999999"/>
    <n v="20"/>
    <n v="34816.968000000001"/>
    <n v="684664.56661999994"/>
    <n v="24667.199999999997"/>
    <n v="10149.768000000004"/>
    <n v="0.29151785991244278"/>
    <n v="202408"/>
    <n v="202303"/>
    <s v="Aug-2023"/>
    <n v="17"/>
    <s v="Late"/>
    <n v="0"/>
    <n v="0"/>
  </r>
  <r>
    <x v="353"/>
    <d v="2024-11-07T00:00:00"/>
    <s v="Nov-2024"/>
    <x v="1"/>
    <d v="2024-11-26T00:00:00"/>
    <n v="19"/>
    <x v="2"/>
    <x v="5"/>
    <s v="Rio de Janeiro"/>
    <s v="Americas &gt; Brazil &gt; Rio de Janeiro"/>
    <s v="Non-Profit"/>
    <x v="3"/>
    <x v="1"/>
    <x v="1"/>
    <s v="PRN-9960"/>
    <n v="55.35"/>
    <n v="128.68"/>
    <s v="Low"/>
    <n v="0.128"/>
    <n v="10"/>
    <n v="1122.0896000000002"/>
    <n v="684664.56661999994"/>
    <n v="553.5"/>
    <n v="568.58960000000025"/>
    <n v="0.50672388372550647"/>
    <n v="202411"/>
    <n v="202301"/>
    <s v="Nov-2023"/>
    <n v="22"/>
    <s v="Late"/>
    <n v="0"/>
    <n v="0"/>
  </r>
  <r>
    <x v="354"/>
    <d v="2024-01-01T00:00:00"/>
    <s v="Jan-2024"/>
    <x v="0"/>
    <d v="2024-01-27T00:00:00"/>
    <n v="26"/>
    <x v="3"/>
    <x v="8"/>
    <s v="Manchester"/>
    <s v="Europe &gt; United Kingdom &gt; Manchester"/>
    <s v="Education"/>
    <x v="3"/>
    <x v="14"/>
    <x v="6"/>
    <s v="ACC-3103"/>
    <n v="657.45"/>
    <n v="1325.96"/>
    <s v="Medium"/>
    <n v="0.16700000000000001"/>
    <n v="21"/>
    <n v="23195.01828"/>
    <n v="684664.56661999994"/>
    <n v="13806.45"/>
    <n v="9388.5682799999995"/>
    <n v="0.40476658249048808"/>
    <n v="202401"/>
    <n v="202301"/>
    <s v="Jan-2023"/>
    <n v="12"/>
    <s v="Late"/>
    <n v="0"/>
    <n v="0"/>
  </r>
  <r>
    <x v="355"/>
    <d v="2025-08-14T00:00:00"/>
    <s v="Aug-2025"/>
    <x v="3"/>
    <d v="2025-09-11T00:00:00"/>
    <n v="28"/>
    <x v="2"/>
    <x v="5"/>
    <s v="São Paulo"/>
    <s v="Americas &gt; Brazil &gt; São Paulo"/>
    <s v="Non-Profit"/>
    <x v="4"/>
    <x v="9"/>
    <x v="1"/>
    <s v="PRN-9490"/>
    <n v="1203.02"/>
    <n v="2439.33"/>
    <s v="High"/>
    <n v="0"/>
    <n v="18"/>
    <n v="43907.94"/>
    <n v="684664.56661999994"/>
    <n v="21654.36"/>
    <n v="22253.58"/>
    <n v="0.50682359500354612"/>
    <n v="202508"/>
    <n v="202301"/>
    <s v="Aug-2023"/>
    <n v="31"/>
    <s v="Late"/>
    <n v="0"/>
    <n v="0"/>
  </r>
  <r>
    <x v="356"/>
    <d v="2024-04-03T00:00:00"/>
    <s v="Apr-2024"/>
    <x v="2"/>
    <d v="2024-04-21T00:00:00"/>
    <n v="18"/>
    <x v="2"/>
    <x v="5"/>
    <s v="Brasília"/>
    <s v="Americas &gt; Brazil &gt; Brasília"/>
    <s v="Small Business"/>
    <x v="3"/>
    <x v="5"/>
    <x v="2"/>
    <s v="NET-3850"/>
    <n v="1176.69"/>
    <n v="2201.54"/>
    <s v="High"/>
    <n v="0.17"/>
    <n v="27"/>
    <n v="49336.511399999996"/>
    <n v="684664.56661999994"/>
    <n v="31770.63"/>
    <n v="17565.881399999995"/>
    <n v="0.35604222717701106"/>
    <n v="202404"/>
    <n v="202301"/>
    <s v="Apr-2023"/>
    <n v="15"/>
    <s v="Late"/>
    <n v="0"/>
    <n v="0"/>
  </r>
  <r>
    <x v="357"/>
    <d v="2024-11-25T00:00:00"/>
    <s v="Nov-2024"/>
    <x v="1"/>
    <d v="2024-12-07T00:00:00"/>
    <n v="12"/>
    <x v="1"/>
    <x v="9"/>
    <s v="Shanghai"/>
    <s v="Asia &gt; China &gt; Shanghai"/>
    <s v="Corporate"/>
    <x v="3"/>
    <x v="8"/>
    <x v="6"/>
    <s v="ACC-7047"/>
    <n v="769.9"/>
    <n v="814.36"/>
    <s v="Medium"/>
    <n v="0"/>
    <n v="5"/>
    <n v="4071.8"/>
    <n v="684664.56661999994"/>
    <n v="3849.5"/>
    <n v="222.30000000000018"/>
    <n v="5.4595019401738831E-2"/>
    <n v="202411"/>
    <n v="202301"/>
    <s v="Nov-2023"/>
    <n v="22"/>
    <s v="Late"/>
    <n v="0"/>
    <n v="0"/>
  </r>
  <r>
    <x v="358"/>
    <d v="2024-01-18T00:00:00"/>
    <s v="Jan-2024"/>
    <x v="0"/>
    <d v="2024-02-03T00:00:00"/>
    <n v="16"/>
    <x v="0"/>
    <x v="11"/>
    <s v="Cape Town"/>
    <s v="Africa &gt; South Africa &gt; Cape Town"/>
    <s v="Non-Profit"/>
    <x v="3"/>
    <x v="4"/>
    <x v="1"/>
    <s v="PRN-6660"/>
    <n v="666.23"/>
    <n v="1382.91"/>
    <s v="Medium"/>
    <n v="0.17599999999999999"/>
    <n v="13"/>
    <n v="14813.731920000002"/>
    <n v="684664.56661999994"/>
    <n v="8660.99"/>
    <n v="6152.7419200000022"/>
    <n v="0.41534043907553048"/>
    <n v="202401"/>
    <n v="202301"/>
    <s v="Jan-2023"/>
    <n v="12"/>
    <s v="Late"/>
    <n v="0"/>
    <n v="0"/>
  </r>
  <r>
    <x v="359"/>
    <d v="2024-06-23T00:00:00"/>
    <s v="Jun-2024"/>
    <x v="2"/>
    <d v="2024-06-25T00:00:00"/>
    <n v="2"/>
    <x v="3"/>
    <x v="8"/>
    <s v="Birmingham"/>
    <s v="Europe &gt; United Kingdom &gt; Birmingham"/>
    <s v="Small Business"/>
    <x v="2"/>
    <x v="4"/>
    <x v="6"/>
    <s v="ACC-7838"/>
    <n v="951.44"/>
    <n v="1646.43"/>
    <s v="Medium"/>
    <n v="0.11"/>
    <n v="24"/>
    <n v="35167.7448"/>
    <n v="684664.56661999994"/>
    <n v="22834.560000000001"/>
    <n v="12333.184799999999"/>
    <n v="0.35069592520473475"/>
    <n v="202406"/>
    <n v="202301"/>
    <s v="Jun-2023"/>
    <n v="17"/>
    <s v="On Time"/>
    <n v="1"/>
    <n v="0"/>
  </r>
  <r>
    <x v="360"/>
    <d v="2025-06-25T00:00:00"/>
    <s v="Jun-2025"/>
    <x v="2"/>
    <d v="2025-07-10T00:00:00"/>
    <n v="15"/>
    <x v="3"/>
    <x v="8"/>
    <s v="Birmingham"/>
    <s v="Europe &gt; United Kingdom &gt; Birmingham"/>
    <s v="Non-Profit"/>
    <x v="2"/>
    <x v="14"/>
    <x v="3"/>
    <s v="PHN-5383"/>
    <n v="546.83000000000004"/>
    <n v="400.84"/>
    <s v="Medium"/>
    <n v="7.8E-2"/>
    <n v="13"/>
    <n v="4804.4682400000002"/>
    <n v="684664.56661999994"/>
    <n v="7108.7900000000009"/>
    <n v="-2304.3217600000007"/>
    <n v="-0.47962056254533608"/>
    <n v="202506"/>
    <n v="202301"/>
    <s v="Jun-2023"/>
    <n v="29"/>
    <s v="Late"/>
    <n v="0"/>
    <n v="0"/>
  </r>
  <r>
    <x v="361"/>
    <d v="2023-07-01T00:00:00"/>
    <s v="Jul-2023"/>
    <x v="3"/>
    <d v="2023-07-08T00:00:00"/>
    <n v="7"/>
    <x v="0"/>
    <x v="1"/>
    <s v="Port Harcourt"/>
    <s v="Africa &gt; Nigeria &gt; Port Harcourt"/>
    <s v="Corporate"/>
    <x v="0"/>
    <x v="8"/>
    <x v="4"/>
    <s v="LAP-3904"/>
    <n v="834.26"/>
    <n v="1780.56"/>
    <s v="Medium"/>
    <n v="1.4E-2"/>
    <n v="47"/>
    <n v="82514.711519999997"/>
    <n v="684664.56661999994"/>
    <n v="39210.22"/>
    <n v="43304.491519999996"/>
    <n v="0.5248093427497933"/>
    <n v="202307"/>
    <n v="202301"/>
    <s v="Jul-2023"/>
    <n v="6"/>
    <s v="On Time"/>
    <n v="1"/>
    <n v="0"/>
  </r>
  <r>
    <x v="362"/>
    <d v="2024-03-09T00:00:00"/>
    <s v="Mar-2024"/>
    <x v="0"/>
    <d v="2024-03-26T00:00:00"/>
    <n v="17"/>
    <x v="1"/>
    <x v="9"/>
    <s v="Shenzhen"/>
    <s v="Asia &gt; China &gt; Shenzhen"/>
    <s v="Enterprise"/>
    <x v="1"/>
    <x v="11"/>
    <x v="5"/>
    <s v="MON-5749"/>
    <n v="1029.67"/>
    <n v="1118.43"/>
    <s v="High"/>
    <n v="0.27200000000000002"/>
    <n v="9"/>
    <n v="7327.9533600000004"/>
    <n v="684664.56661999994"/>
    <n v="9267.0300000000007"/>
    <n v="-1939.0766400000002"/>
    <n v="-0.26461367106736061"/>
    <n v="202403"/>
    <n v="202301"/>
    <s v="Mar-2023"/>
    <n v="14"/>
    <s v="Late"/>
    <n v="0"/>
    <n v="1"/>
  </r>
  <r>
    <x v="363"/>
    <d v="2023-06-05T00:00:00"/>
    <s v="Jun-2023"/>
    <x v="2"/>
    <d v="2023-06-28T00:00:00"/>
    <n v="23"/>
    <x v="3"/>
    <x v="8"/>
    <s v="Birmingham"/>
    <s v="Europe &gt; United Kingdom &gt; Birmingham"/>
    <s v="Corporate"/>
    <x v="4"/>
    <x v="11"/>
    <x v="1"/>
    <s v="PRN-3690"/>
    <n v="605.82000000000005"/>
    <n v="771.12"/>
    <s v="Medium"/>
    <n v="0.13200000000000001"/>
    <n v="19"/>
    <n v="12717.311040000001"/>
    <n v="684664.56661999994"/>
    <n v="11510.580000000002"/>
    <n v="1206.7310399999988"/>
    <n v="9.4888851597986767E-2"/>
    <n v="202306"/>
    <n v="202301"/>
    <s v="Jun-2023"/>
    <n v="5"/>
    <s v="Late"/>
    <n v="0"/>
    <n v="0"/>
  </r>
  <r>
    <x v="364"/>
    <d v="2025-03-21T00:00:00"/>
    <s v="Mar-2025"/>
    <x v="0"/>
    <d v="2025-04-09T00:00:00"/>
    <n v="19"/>
    <x v="1"/>
    <x v="2"/>
    <s v="Tokyo"/>
    <s v="Asia &gt; Japan &gt; Tokyo"/>
    <s v="Small Business"/>
    <x v="3"/>
    <x v="6"/>
    <x v="0"/>
    <s v="CMP-7055"/>
    <n v="1055.45"/>
    <n v="1210.04"/>
    <s v="High"/>
    <n v="8.9999999999999993E-3"/>
    <n v="18"/>
    <n v="21584.693520000001"/>
    <n v="684664.56661999994"/>
    <n v="18998.100000000002"/>
    <n v="2586.5935199999985"/>
    <n v="0.1198346188053727"/>
    <n v="202503"/>
    <n v="202303"/>
    <s v="Mar-2023"/>
    <n v="24"/>
    <s v="Late"/>
    <n v="0"/>
    <n v="0"/>
  </r>
  <r>
    <x v="365"/>
    <d v="2024-06-02T00:00:00"/>
    <s v="Jun-2024"/>
    <x v="2"/>
    <d v="2024-06-15T00:00:00"/>
    <n v="13"/>
    <x v="0"/>
    <x v="0"/>
    <s v="Mombasa"/>
    <s v="Africa &gt; Kenya &gt; Mombasa"/>
    <s v="Education"/>
    <x v="1"/>
    <x v="7"/>
    <x v="3"/>
    <s v="PHN-6866"/>
    <n v="1295.18"/>
    <n v="3024.03"/>
    <s v="High"/>
    <n v="0.192"/>
    <n v="8"/>
    <n v="19547.329920000004"/>
    <n v="663079.87309999997"/>
    <n v="10361.44"/>
    <n v="9185.8899200000033"/>
    <n v="0.46993067378483178"/>
    <n v="202406"/>
    <n v="202301"/>
    <s v="Jun-2023"/>
    <n v="17"/>
    <s v="Late"/>
    <n v="0"/>
    <n v="0"/>
  </r>
  <r>
    <x v="366"/>
    <d v="2025-03-15T00:00:00"/>
    <s v="Mar-2025"/>
    <x v="0"/>
    <d v="2025-03-29T00:00:00"/>
    <n v="14"/>
    <x v="1"/>
    <x v="4"/>
    <s v="Mumbai"/>
    <s v="Asia &gt; India &gt; Mumbai"/>
    <s v="Enterprise"/>
    <x v="4"/>
    <x v="0"/>
    <x v="0"/>
    <s v="CMP-3259"/>
    <n v="935.83"/>
    <n v="2303.46"/>
    <s v="Medium"/>
    <n v="0.105"/>
    <n v="9"/>
    <n v="18554.370299999999"/>
    <n v="663079.87309999997"/>
    <n v="8422.4700000000012"/>
    <n v="10131.900299999998"/>
    <n v="0.54606543559174292"/>
    <n v="202503"/>
    <n v="202301"/>
    <s v="Mar-2023"/>
    <n v="26"/>
    <s v="Late"/>
    <n v="0"/>
    <n v="0"/>
  </r>
  <r>
    <x v="367"/>
    <d v="2023-09-25T00:00:00"/>
    <s v="Sept-2023"/>
    <x v="3"/>
    <d v="2023-10-09T00:00:00"/>
    <n v="14"/>
    <x v="2"/>
    <x v="10"/>
    <s v="New York"/>
    <s v="Americas &gt; USA &gt; New York"/>
    <s v="Small Business"/>
    <x v="2"/>
    <x v="1"/>
    <x v="4"/>
    <s v="LAP-6750"/>
    <n v="1279.56"/>
    <n v="3083.8"/>
    <s v="High"/>
    <n v="0.106"/>
    <n v="5"/>
    <n v="13784.586000000001"/>
    <n v="644525.50280000002"/>
    <n v="6397.7999999999993"/>
    <n v="7386.7860000000019"/>
    <n v="0.53587289455047848"/>
    <n v="202309"/>
    <n v="202301"/>
    <s v="Sept-2023"/>
    <n v="8"/>
    <s v="Late"/>
    <n v="0"/>
    <n v="0"/>
  </r>
  <r>
    <x v="368"/>
    <d v="2025-06-24T00:00:00"/>
    <s v="Jun-2025"/>
    <x v="2"/>
    <d v="2025-07-23T00:00:00"/>
    <n v="29"/>
    <x v="2"/>
    <x v="3"/>
    <s v="Vancouver"/>
    <s v="Americas &gt; Canada &gt; Vancouver"/>
    <s v="Non-Profit"/>
    <x v="2"/>
    <x v="2"/>
    <x v="1"/>
    <s v="PRN-3775"/>
    <n v="255.4"/>
    <n v="322.70999999999998"/>
    <s v="Low"/>
    <n v="0.115"/>
    <n v="16"/>
    <n v="4569.5735999999997"/>
    <n v="644525.50280000002"/>
    <n v="4086.4"/>
    <n v="483.17359999999962"/>
    <n v="0.10573713048412212"/>
    <n v="202506"/>
    <n v="202301"/>
    <s v="Jun-2023"/>
    <n v="29"/>
    <s v="Late"/>
    <n v="0"/>
    <n v="0"/>
  </r>
  <r>
    <x v="369"/>
    <d v="2023-12-26T00:00:00"/>
    <s v="Dec-2023"/>
    <x v="1"/>
    <d v="2024-01-03T00:00:00"/>
    <n v="8"/>
    <x v="3"/>
    <x v="7"/>
    <s v="Lyon"/>
    <s v="Europe &gt; France &gt; Lyon"/>
    <s v="Small Business"/>
    <x v="0"/>
    <x v="12"/>
    <x v="4"/>
    <s v="LAP-2942"/>
    <n v="492.75"/>
    <n v="731.29"/>
    <s v="Low"/>
    <n v="5.8000000000000003E-2"/>
    <n v="6"/>
    <n v="4133.25108"/>
    <n v="644525.50280000002"/>
    <n v="2956.5"/>
    <n v="1176.75108"/>
    <n v="0.28470350753528384"/>
    <n v="202312"/>
    <n v="202301"/>
    <s v="Dec-2023"/>
    <n v="11"/>
    <s v="Late"/>
    <n v="0"/>
    <n v="0"/>
  </r>
  <r>
    <x v="370"/>
    <d v="2023-02-05T00:00:00"/>
    <s v="Feb-2023"/>
    <x v="0"/>
    <d v="2023-02-28T00:00:00"/>
    <n v="23"/>
    <x v="2"/>
    <x v="10"/>
    <s v="Austin"/>
    <s v="Americas &gt; USA &gt; Austin"/>
    <s v="Non-Profit"/>
    <x v="3"/>
    <x v="4"/>
    <x v="3"/>
    <s v="PHN-2036"/>
    <n v="1214.49"/>
    <n v="1533.95"/>
    <s v="High"/>
    <n v="0"/>
    <n v="11"/>
    <n v="16873.45"/>
    <n v="644525.50280000002"/>
    <n v="13359.39"/>
    <n v="3514.0600000000013"/>
    <n v="0.20825972163369086"/>
    <n v="202302"/>
    <n v="202301"/>
    <s v="Feb-2023"/>
    <n v="1"/>
    <s v="Late"/>
    <n v="0"/>
    <n v="0"/>
  </r>
  <r>
    <x v="371"/>
    <d v="2023-04-06T00:00:00"/>
    <s v="Apr-2023"/>
    <x v="2"/>
    <d v="2023-04-08T00:00:00"/>
    <n v="2"/>
    <x v="0"/>
    <x v="1"/>
    <s v="Abuja"/>
    <s v="Africa &gt; Nigeria &gt; Abuja"/>
    <s v="Small Business"/>
    <x v="2"/>
    <x v="11"/>
    <x v="5"/>
    <s v="MON-4373"/>
    <n v="720.35"/>
    <n v="1571.66"/>
    <s v="Medium"/>
    <n v="0.107"/>
    <n v="23"/>
    <n v="32280.32474"/>
    <n v="644525.50280000002"/>
    <n v="16568.05"/>
    <n v="15712.274740000001"/>
    <n v="0.4867446305622265"/>
    <n v="202304"/>
    <n v="202301"/>
    <s v="Apr-2023"/>
    <n v="3"/>
    <s v="On Time"/>
    <n v="1"/>
    <n v="0"/>
  </r>
  <r>
    <x v="372"/>
    <d v="2025-04-04T00:00:00"/>
    <s v="Apr-2025"/>
    <x v="2"/>
    <d v="2025-04-10T00:00:00"/>
    <n v="6"/>
    <x v="3"/>
    <x v="8"/>
    <s v="Birmingham"/>
    <s v="Europe &gt; United Kingdom &gt; Birmingham"/>
    <s v="Non-Profit"/>
    <x v="4"/>
    <x v="13"/>
    <x v="1"/>
    <s v="PRN-8657"/>
    <n v="290.14"/>
    <n v="250.73"/>
    <s v="Low"/>
    <n v="3.4000000000000002E-2"/>
    <n v="17"/>
    <n v="4117.4880599999997"/>
    <n v="644525.50280000002"/>
    <n v="4932.38"/>
    <n v="-814.89194000000043"/>
    <n v="-0.19790997038131072"/>
    <n v="202504"/>
    <n v="202301"/>
    <s v="Apr-2023"/>
    <n v="27"/>
    <s v="On Time"/>
    <n v="1"/>
    <n v="0"/>
  </r>
  <r>
    <x v="373"/>
    <d v="2024-05-17T00:00:00"/>
    <s v="May-2024"/>
    <x v="2"/>
    <d v="2024-05-27T00:00:00"/>
    <n v="10"/>
    <x v="2"/>
    <x v="10"/>
    <s v="Austin"/>
    <s v="Americas &gt; USA &gt; Austin"/>
    <s v="Non-Profit"/>
    <x v="1"/>
    <x v="0"/>
    <x v="3"/>
    <s v="PHN-7974"/>
    <n v="1484.23"/>
    <n v="3472.81"/>
    <s v="High"/>
    <n v="0.25600000000000001"/>
    <n v="12"/>
    <n v="31005.24768"/>
    <n v="644525.50280000002"/>
    <n v="17810.760000000002"/>
    <n v="13194.487679999998"/>
    <n v="0.42555659661803413"/>
    <n v="202405"/>
    <n v="202301"/>
    <s v="May-2023"/>
    <n v="16"/>
    <s v="Late"/>
    <n v="0"/>
    <n v="1"/>
  </r>
  <r>
    <x v="374"/>
    <d v="2024-03-03T00:00:00"/>
    <s v="Mar-2024"/>
    <x v="0"/>
    <d v="2024-03-19T00:00:00"/>
    <n v="16"/>
    <x v="1"/>
    <x v="9"/>
    <s v="Beijing"/>
    <s v="Asia &gt; China &gt; Beijing"/>
    <s v="Consumer"/>
    <x v="3"/>
    <x v="3"/>
    <x v="3"/>
    <s v="PHN-4915"/>
    <n v="988.83"/>
    <n v="1206.04"/>
    <s v="Medium"/>
    <n v="6.3E-2"/>
    <n v="34"/>
    <n v="38422.022320000004"/>
    <n v="644525.50280000002"/>
    <n v="33620.22"/>
    <n v="4801.8023200000025"/>
    <n v="0.12497526236406606"/>
    <n v="202403"/>
    <n v="202301"/>
    <s v="Mar-2023"/>
    <n v="14"/>
    <s v="Late"/>
    <n v="0"/>
    <n v="0"/>
  </r>
  <r>
    <x v="375"/>
    <d v="2025-06-27T00:00:00"/>
    <s v="Jun-2025"/>
    <x v="2"/>
    <d v="2025-07-11T00:00:00"/>
    <n v="14"/>
    <x v="1"/>
    <x v="9"/>
    <s v="Shanghai"/>
    <s v="Asia &gt; China &gt; Shanghai"/>
    <s v="Small Business"/>
    <x v="2"/>
    <x v="4"/>
    <x v="2"/>
    <s v="NET-3535"/>
    <n v="1227.7"/>
    <n v="2197.23"/>
    <s v="High"/>
    <n v="9.9000000000000005E-2"/>
    <n v="22"/>
    <n v="43553.493060000001"/>
    <n v="644525.50280000002"/>
    <n v="27009.4"/>
    <n v="16544.093059999999"/>
    <n v="0.37985685871873898"/>
    <n v="202506"/>
    <n v="202301"/>
    <s v="Jun-2023"/>
    <n v="29"/>
    <s v="Late"/>
    <n v="0"/>
    <n v="0"/>
  </r>
  <r>
    <x v="376"/>
    <d v="2023-03-13T00:00:00"/>
    <s v="Mar-2023"/>
    <x v="0"/>
    <d v="2023-04-04T00:00:00"/>
    <n v="22"/>
    <x v="0"/>
    <x v="11"/>
    <s v="Durban"/>
    <s v="Africa &gt; South Africa &gt; Durban"/>
    <s v="Small Business"/>
    <x v="0"/>
    <x v="8"/>
    <x v="0"/>
    <s v="CMP-2574"/>
    <n v="1113.7"/>
    <n v="1620.6"/>
    <s v="High"/>
    <n v="0.13900000000000001"/>
    <n v="11"/>
    <n v="15348.702599999999"/>
    <n v="644525.50280000002"/>
    <n v="12250.7"/>
    <n v="3098.002599999998"/>
    <n v="0.20184133348182787"/>
    <n v="202303"/>
    <n v="202301"/>
    <s v="Mar-2023"/>
    <n v="2"/>
    <s v="Late"/>
    <n v="0"/>
    <n v="0"/>
  </r>
  <r>
    <x v="377"/>
    <d v="2025-01-07T00:00:00"/>
    <s v="Jan-2025"/>
    <x v="0"/>
    <d v="2025-01-20T00:00:00"/>
    <n v="13"/>
    <x v="0"/>
    <x v="11"/>
    <s v="Cape Town"/>
    <s v="Africa &gt; South Africa &gt; Cape Town"/>
    <s v="Corporate"/>
    <x v="4"/>
    <x v="11"/>
    <x v="2"/>
    <s v="NET-7901"/>
    <n v="432.13"/>
    <n v="1034.6600000000001"/>
    <s v="Low"/>
    <n v="9.1999999999999998E-2"/>
    <n v="7"/>
    <n v="6576.298960000001"/>
    <n v="629176.80019999994"/>
    <n v="3024.91"/>
    <n v="3551.3889600000011"/>
    <n v="0.54002851476204794"/>
    <n v="202501"/>
    <n v="202301"/>
    <s v="Jan-2023"/>
    <n v="24"/>
    <s v="Late"/>
    <n v="0"/>
    <n v="0"/>
  </r>
  <r>
    <x v="378"/>
    <d v="2025-02-06T00:00:00"/>
    <s v="Feb-2025"/>
    <x v="0"/>
    <d v="2025-02-15T00:00:00"/>
    <n v="9"/>
    <x v="2"/>
    <x v="5"/>
    <s v="São Paulo"/>
    <s v="Americas &gt; Brazil &gt; São Paulo"/>
    <s v="Non-Profit"/>
    <x v="3"/>
    <x v="9"/>
    <x v="2"/>
    <s v="NET-5482"/>
    <n v="837.39"/>
    <n v="1905.42"/>
    <s v="Medium"/>
    <n v="3.2000000000000001E-2"/>
    <n v="18"/>
    <n v="33200.038079999998"/>
    <n v="629176.80019999994"/>
    <n v="15073.02"/>
    <n v="18127.018079999998"/>
    <n v="0.54599389423350919"/>
    <n v="202502"/>
    <n v="202301"/>
    <s v="Feb-2023"/>
    <n v="25"/>
    <s v="Late"/>
    <n v="0"/>
    <n v="0"/>
  </r>
  <r>
    <x v="379"/>
    <d v="2025-01-31T00:00:00"/>
    <s v="Jan-2025"/>
    <x v="0"/>
    <d v="2025-02-17T00:00:00"/>
    <n v="17"/>
    <x v="3"/>
    <x v="8"/>
    <s v="London"/>
    <s v="Europe &gt; United Kingdom &gt; London"/>
    <s v="Enterprise"/>
    <x v="0"/>
    <x v="10"/>
    <x v="0"/>
    <s v="CMP-5820"/>
    <n v="378.26"/>
    <n v="541.55999999999995"/>
    <s v="Low"/>
    <n v="0.16300000000000001"/>
    <n v="25"/>
    <n v="11332.142999999998"/>
    <n v="629176.80019999994"/>
    <n v="9456.5"/>
    <n v="1875.6429999999982"/>
    <n v="0.16551529573885526"/>
    <n v="202501"/>
    <n v="202301"/>
    <s v="Jan-2023"/>
    <n v="24"/>
    <s v="Late"/>
    <n v="0"/>
    <n v="0"/>
  </r>
  <r>
    <x v="380"/>
    <d v="2025-08-07T00:00:00"/>
    <s v="Aug-2025"/>
    <x v="3"/>
    <d v="2025-09-06T00:00:00"/>
    <n v="30"/>
    <x v="2"/>
    <x v="3"/>
    <s v="Montreal"/>
    <s v="Americas &gt; Canada &gt; Montreal"/>
    <s v="Education"/>
    <x v="4"/>
    <x v="12"/>
    <x v="2"/>
    <s v="NET-1336"/>
    <n v="833.73"/>
    <n v="1116.5999999999999"/>
    <s v="Medium"/>
    <n v="0.17599999999999999"/>
    <n v="14"/>
    <n v="12881.097599999999"/>
    <n v="617844.65720000002"/>
    <n v="11672.220000000001"/>
    <n v="1208.877599999998"/>
    <n v="9.3848958958279924E-2"/>
    <n v="202508"/>
    <n v="202301"/>
    <s v="Aug-2023"/>
    <n v="31"/>
    <s v="Late"/>
    <n v="0"/>
    <n v="0"/>
  </r>
  <r>
    <x v="381"/>
    <d v="2025-07-23T00:00:00"/>
    <s v="Jul-2025"/>
    <x v="3"/>
    <d v="2025-08-17T00:00:00"/>
    <n v="25"/>
    <x v="3"/>
    <x v="8"/>
    <s v="Birmingham"/>
    <s v="Europe &gt; United Kingdom &gt; Birmingham"/>
    <s v="Education"/>
    <x v="1"/>
    <x v="2"/>
    <x v="1"/>
    <s v="PRN-5876"/>
    <n v="1142.06"/>
    <n v="1455"/>
    <s v="High"/>
    <n v="7.8E-2"/>
    <n v="28"/>
    <n v="37562.28"/>
    <n v="617844.65720000002"/>
    <n v="31977.68"/>
    <n v="5584.5999999999985"/>
    <n v="0.1486757459877302"/>
    <n v="202507"/>
    <n v="202301"/>
    <s v="Jul-2023"/>
    <n v="30"/>
    <s v="Late"/>
    <n v="0"/>
    <n v="0"/>
  </r>
  <r>
    <x v="382"/>
    <d v="2023-06-20T00:00:00"/>
    <s v="Jun-2023"/>
    <x v="2"/>
    <d v="2023-07-08T00:00:00"/>
    <n v="18"/>
    <x v="2"/>
    <x v="10"/>
    <s v="New York"/>
    <s v="Americas &gt; USA &gt; New York"/>
    <s v="Consumer"/>
    <x v="2"/>
    <x v="7"/>
    <x v="2"/>
    <s v="NET-3828"/>
    <n v="1145.53"/>
    <n v="1278.3"/>
    <s v="High"/>
    <n v="0.09"/>
    <n v="41"/>
    <n v="47693.373"/>
    <n v="617844.65720000002"/>
    <n v="46966.729999999996"/>
    <n v="726.64300000000367"/>
    <n v="1.5235722581416158E-2"/>
    <n v="202306"/>
    <n v="202301"/>
    <s v="Jun-2023"/>
    <n v="5"/>
    <s v="Late"/>
    <n v="0"/>
    <n v="0"/>
  </r>
  <r>
    <x v="383"/>
    <d v="2024-07-18T00:00:00"/>
    <s v="Jul-2024"/>
    <x v="3"/>
    <d v="2024-08-07T00:00:00"/>
    <n v="20"/>
    <x v="3"/>
    <x v="7"/>
    <s v="Marseille"/>
    <s v="Europe &gt; France &gt; Marseille"/>
    <s v="Corporate"/>
    <x v="0"/>
    <x v="9"/>
    <x v="5"/>
    <s v="MON-7622"/>
    <n v="941.35"/>
    <n v="899.83"/>
    <s v="Medium"/>
    <n v="5.8000000000000003E-2"/>
    <n v="18"/>
    <n v="15257.51748"/>
    <n v="617844.65720000002"/>
    <n v="16944.3"/>
    <n v="-1686.7825199999988"/>
    <n v="-0.11055419220139073"/>
    <n v="202407"/>
    <n v="202301"/>
    <s v="Jul-2023"/>
    <n v="18"/>
    <s v="Late"/>
    <n v="0"/>
    <n v="0"/>
  </r>
  <r>
    <x v="384"/>
    <d v="2023-05-20T00:00:00"/>
    <s v="May-2023"/>
    <x v="2"/>
    <d v="2023-06-19T00:00:00"/>
    <n v="30"/>
    <x v="1"/>
    <x v="4"/>
    <s v="Delhi"/>
    <s v="Asia &gt; India &gt; Delhi"/>
    <s v="Non-Profit"/>
    <x v="2"/>
    <x v="10"/>
    <x v="4"/>
    <s v="LAP-2806"/>
    <n v="1161.2"/>
    <n v="878.73"/>
    <s v="High"/>
    <n v="0.19"/>
    <n v="31"/>
    <n v="22064.910300000003"/>
    <n v="617844.65720000002"/>
    <n v="35997.200000000004"/>
    <n v="-13932.289700000001"/>
    <n v="-0.63142290227212028"/>
    <n v="202305"/>
    <n v="202301"/>
    <s v="May-2023"/>
    <n v="4"/>
    <s v="Late"/>
    <n v="0"/>
    <n v="0"/>
  </r>
  <r>
    <x v="385"/>
    <d v="2025-05-12T00:00:00"/>
    <s v="May-2025"/>
    <x v="2"/>
    <d v="2025-05-26T00:00:00"/>
    <n v="14"/>
    <x v="1"/>
    <x v="4"/>
    <s v="Hyderabad"/>
    <s v="Asia &gt; India &gt; Hyderabad"/>
    <s v="Corporate"/>
    <x v="2"/>
    <x v="3"/>
    <x v="1"/>
    <s v="PRN-8850"/>
    <n v="320.12"/>
    <n v="594.41999999999996"/>
    <s v="Low"/>
    <n v="0.104"/>
    <n v="18"/>
    <n v="9586.8057599999993"/>
    <n v="617844.65720000002"/>
    <n v="5762.16"/>
    <n v="3824.6457599999994"/>
    <n v="0.39894891538931104"/>
    <n v="202505"/>
    <n v="202301"/>
    <s v="May-2023"/>
    <n v="28"/>
    <s v="Late"/>
    <n v="0"/>
    <n v="0"/>
  </r>
  <r>
    <x v="386"/>
    <d v="2024-05-07T00:00:00"/>
    <s v="May-2024"/>
    <x v="2"/>
    <d v="2024-05-12T00:00:00"/>
    <n v="5"/>
    <x v="0"/>
    <x v="1"/>
    <s v="Abuja"/>
    <s v="Africa &gt; Nigeria &gt; Abuja"/>
    <s v="Non-Profit"/>
    <x v="3"/>
    <x v="4"/>
    <x v="4"/>
    <s v="LAP-9100"/>
    <n v="1163.99"/>
    <n v="1617.85"/>
    <s v="High"/>
    <n v="0.127"/>
    <n v="14"/>
    <n v="19773.362699999998"/>
    <n v="617844.65720000002"/>
    <n v="16295.86"/>
    <n v="3477.5026999999973"/>
    <n v="0.17586804797749436"/>
    <n v="202405"/>
    <n v="202301"/>
    <s v="May-2023"/>
    <n v="16"/>
    <s v="On Time"/>
    <n v="1"/>
    <n v="0"/>
  </r>
  <r>
    <x v="387"/>
    <d v="2023-09-30T00:00:00"/>
    <s v="Sept-2023"/>
    <x v="3"/>
    <d v="2023-10-03T00:00:00"/>
    <n v="3"/>
    <x v="1"/>
    <x v="9"/>
    <s v="Beijing"/>
    <s v="Asia &gt; China &gt; Beijing"/>
    <s v="Non-Profit"/>
    <x v="0"/>
    <x v="1"/>
    <x v="4"/>
    <s v="LAP-5763"/>
    <n v="1019.36"/>
    <n v="972.91"/>
    <s v="High"/>
    <n v="0.14699999999999999"/>
    <n v="17"/>
    <n v="14108.16791"/>
    <n v="617844.65720000002"/>
    <n v="17329.12"/>
    <n v="-3220.9520899999989"/>
    <n v="-0.22830406545678819"/>
    <n v="202309"/>
    <n v="202301"/>
    <s v="Sept-2023"/>
    <n v="8"/>
    <s v="On Time"/>
    <n v="1"/>
    <n v="0"/>
  </r>
  <r>
    <x v="388"/>
    <d v="2023-10-26T00:00:00"/>
    <s v="Oct-2023"/>
    <x v="1"/>
    <d v="2023-11-05T00:00:00"/>
    <n v="10"/>
    <x v="0"/>
    <x v="11"/>
    <s v="Cape Town"/>
    <s v="Africa &gt; South Africa &gt; Cape Town"/>
    <s v="Non-Profit"/>
    <x v="1"/>
    <x v="2"/>
    <x v="4"/>
    <s v="LAP-7320"/>
    <n v="20.38"/>
    <n v="42.56"/>
    <s v="Low"/>
    <n v="7.1999999999999995E-2"/>
    <n v="11"/>
    <n v="434.45248000000004"/>
    <n v="617844.65720000002"/>
    <n v="224.17999999999998"/>
    <n v="210.27248000000006"/>
    <n v="0.48399419885921713"/>
    <n v="202310"/>
    <n v="202301"/>
    <s v="Oct-2023"/>
    <n v="9"/>
    <s v="Late"/>
    <n v="0"/>
    <n v="0"/>
  </r>
  <r>
    <x v="389"/>
    <d v="2025-06-15T00:00:00"/>
    <s v="Jun-2025"/>
    <x v="2"/>
    <d v="2025-06-30T00:00:00"/>
    <n v="15"/>
    <x v="0"/>
    <x v="11"/>
    <s v="Johannesburg"/>
    <s v="Africa &gt; South Africa &gt; Johannesburg"/>
    <s v="Small Business"/>
    <x v="4"/>
    <x v="0"/>
    <x v="5"/>
    <s v="MON-5891"/>
    <n v="1487.59"/>
    <n v="1480.83"/>
    <s v="High"/>
    <n v="8.9999999999999993E-3"/>
    <n v="11"/>
    <n v="16142.527829999999"/>
    <n v="617844.65720000002"/>
    <n v="16363.49"/>
    <n v="-220.9621700000007"/>
    <n v="-1.3688201273492908E-2"/>
    <n v="202506"/>
    <n v="202301"/>
    <s v="Jun-2023"/>
    <n v="29"/>
    <s v="Late"/>
    <n v="0"/>
    <n v="0"/>
  </r>
  <r>
    <x v="390"/>
    <d v="2024-08-10T00:00:00"/>
    <s v="Aug-2024"/>
    <x v="3"/>
    <d v="2024-09-07T00:00:00"/>
    <n v="28"/>
    <x v="3"/>
    <x v="7"/>
    <s v="Marseille"/>
    <s v="Europe &gt; France &gt; Marseille"/>
    <s v="Non-Profit"/>
    <x v="4"/>
    <x v="9"/>
    <x v="1"/>
    <s v="PRN-1183"/>
    <n v="229.96"/>
    <n v="564.26"/>
    <s v="Low"/>
    <n v="0.105"/>
    <n v="5"/>
    <n v="2525.0635000000002"/>
    <n v="617844.65720000002"/>
    <n v="1149.8"/>
    <n v="1375.2635000000002"/>
    <n v="0.54464511486542821"/>
    <n v="202408"/>
    <n v="202301"/>
    <s v="Aug-2023"/>
    <n v="19"/>
    <s v="Late"/>
    <n v="0"/>
    <n v="0"/>
  </r>
  <r>
    <x v="391"/>
    <d v="2023-10-09T00:00:00"/>
    <s v="Oct-2023"/>
    <x v="1"/>
    <d v="2023-10-26T00:00:00"/>
    <n v="17"/>
    <x v="1"/>
    <x v="9"/>
    <s v="Shanghai"/>
    <s v="Asia &gt; China &gt; Shanghai"/>
    <s v="Consumer"/>
    <x v="2"/>
    <x v="0"/>
    <x v="0"/>
    <s v="CMP-2096"/>
    <n v="1132.03"/>
    <n v="2137.21"/>
    <s v="High"/>
    <n v="0.35699999999999998"/>
    <n v="35"/>
    <n v="48097.911050000002"/>
    <n v="617844.65720000002"/>
    <n v="39621.049999999996"/>
    <n v="8476.8610500000068"/>
    <n v="0.17624177152284051"/>
    <n v="202310"/>
    <n v="202301"/>
    <s v="Oct-2023"/>
    <n v="9"/>
    <s v="Late"/>
    <n v="0"/>
    <n v="1"/>
  </r>
  <r>
    <x v="392"/>
    <d v="2024-03-09T00:00:00"/>
    <s v="Mar-2024"/>
    <x v="0"/>
    <d v="2024-03-26T00:00:00"/>
    <n v="17"/>
    <x v="2"/>
    <x v="10"/>
    <s v="San Francisco"/>
    <s v="Americas &gt; USA &gt; San Francisco"/>
    <s v="Education"/>
    <x v="4"/>
    <x v="2"/>
    <x v="3"/>
    <s v="PHN-3398"/>
    <n v="1137.4100000000001"/>
    <n v="1680.93"/>
    <s v="High"/>
    <n v="0.254"/>
    <n v="9"/>
    <n v="11285.764020000001"/>
    <n v="569746.74615000014"/>
    <n v="10236.69"/>
    <n v="1049.07402"/>
    <n v="9.2955516183121464E-2"/>
    <n v="202403"/>
    <n v="202301"/>
    <s v="Mar-2023"/>
    <n v="14"/>
    <s v="Late"/>
    <n v="0"/>
    <n v="1"/>
  </r>
  <r>
    <x v="393"/>
    <d v="2023-05-29T00:00:00"/>
    <s v="May-2023"/>
    <x v="2"/>
    <d v="2023-06-20T00:00:00"/>
    <n v="22"/>
    <x v="3"/>
    <x v="8"/>
    <s v="London"/>
    <s v="Europe &gt; United Kingdom &gt; London"/>
    <s v="Small Business"/>
    <x v="4"/>
    <x v="11"/>
    <x v="0"/>
    <s v="CMP-8545"/>
    <n v="1295.3900000000001"/>
    <n v="2905.06"/>
    <s v="High"/>
    <n v="0.14799999999999999"/>
    <n v="8"/>
    <n v="19800.88896"/>
    <n v="569746.74615000014"/>
    <n v="10363.120000000001"/>
    <n v="9437.7689599999994"/>
    <n v="0.47663359857556614"/>
    <n v="202305"/>
    <n v="202301"/>
    <s v="May-2023"/>
    <n v="4"/>
    <s v="Late"/>
    <n v="0"/>
    <n v="0"/>
  </r>
  <r>
    <x v="394"/>
    <d v="2025-05-27T00:00:00"/>
    <s v="May-2025"/>
    <x v="2"/>
    <d v="2025-06-08T00:00:00"/>
    <n v="12"/>
    <x v="1"/>
    <x v="2"/>
    <s v="Osaka"/>
    <s v="Asia &gt; Japan &gt; Osaka"/>
    <s v="Corporate"/>
    <x v="0"/>
    <x v="10"/>
    <x v="6"/>
    <s v="ACC-1249"/>
    <n v="653.6"/>
    <n v="842.09"/>
    <s v="Medium"/>
    <n v="9.8000000000000004E-2"/>
    <n v="19"/>
    <n v="14431.738420000001"/>
    <n v="549945.85719000013"/>
    <n v="12418.4"/>
    <n v="2013.3384200000019"/>
    <n v="0.13950768517324622"/>
    <n v="202505"/>
    <n v="202303"/>
    <s v="May-2023"/>
    <n v="26"/>
    <s v="Late"/>
    <n v="0"/>
    <n v="0"/>
  </r>
  <r>
    <x v="395"/>
    <d v="2025-08-21T00:00:00"/>
    <s v="Aug-2025"/>
    <x v="3"/>
    <d v="2025-09-14T00:00:00"/>
    <n v="24"/>
    <x v="3"/>
    <x v="6"/>
    <s v="Berlin"/>
    <s v="Europe &gt; Germany &gt; Berlin"/>
    <s v="Non-Profit"/>
    <x v="1"/>
    <x v="8"/>
    <x v="5"/>
    <s v="MON-9662"/>
    <n v="1397.67"/>
    <n v="3131.37"/>
    <s v="High"/>
    <n v="0.10299999999999999"/>
    <n v="20"/>
    <n v="56176.777799999996"/>
    <n v="549945.85719000013"/>
    <n v="27953.4"/>
    <n v="28223.377799999995"/>
    <n v="0.50240293062874808"/>
    <n v="202508"/>
    <n v="202301"/>
    <s v="Aug-2023"/>
    <n v="31"/>
    <s v="Late"/>
    <n v="0"/>
    <n v="0"/>
  </r>
  <r>
    <x v="396"/>
    <d v="2024-12-12T00:00:00"/>
    <s v="Dec-2024"/>
    <x v="1"/>
    <d v="2024-12-20T00:00:00"/>
    <n v="8"/>
    <x v="1"/>
    <x v="2"/>
    <s v="Tokyo"/>
    <s v="Asia &gt; Japan &gt; Tokyo"/>
    <s v="Corporate"/>
    <x v="0"/>
    <x v="5"/>
    <x v="4"/>
    <s v="LAP-8347"/>
    <n v="1202.47"/>
    <n v="1444.72"/>
    <s v="High"/>
    <n v="0.24099999999999999"/>
    <n v="17"/>
    <n v="18641.222160000001"/>
    <n v="549945.85719000013"/>
    <n v="20441.990000000002"/>
    <n v="-1800.7678400000004"/>
    <n v="-9.6601382921343834E-2"/>
    <n v="202412"/>
    <n v="202303"/>
    <s v="Dec-2023"/>
    <n v="21"/>
    <s v="Late"/>
    <n v="0"/>
    <n v="1"/>
  </r>
  <r>
    <x v="397"/>
    <d v="2025-09-14T00:00:00"/>
    <s v="Sept-2025"/>
    <x v="3"/>
    <d v="2025-09-23T00:00:00"/>
    <n v="9"/>
    <x v="0"/>
    <x v="11"/>
    <s v="Durban"/>
    <s v="Africa &gt; South Africa &gt; Durban"/>
    <s v="Non-Profit"/>
    <x v="1"/>
    <x v="14"/>
    <x v="0"/>
    <s v="CMP-6898"/>
    <n v="1310.3"/>
    <n v="2875.8"/>
    <s v="High"/>
    <n v="8.3000000000000004E-2"/>
    <n v="5"/>
    <n v="13185.543"/>
    <n v="549945.85719000013"/>
    <n v="6551.5"/>
    <n v="6634.0429999999997"/>
    <n v="0.50313005691157353"/>
    <n v="202509"/>
    <n v="202301"/>
    <s v="Sept-2023"/>
    <n v="32"/>
    <s v="Late"/>
    <n v="0"/>
    <n v="0"/>
  </r>
  <r>
    <x v="398"/>
    <d v="2024-09-06T00:00:00"/>
    <s v="Sept-2024"/>
    <x v="3"/>
    <d v="2024-10-04T00:00:00"/>
    <n v="28"/>
    <x v="0"/>
    <x v="11"/>
    <s v="Cape Town"/>
    <s v="Africa &gt; South Africa &gt; Cape Town"/>
    <s v="Corporate"/>
    <x v="2"/>
    <x v="14"/>
    <x v="5"/>
    <s v="MON-3504"/>
    <n v="1174.17"/>
    <n v="1641.61"/>
    <s v="High"/>
    <n v="0.122"/>
    <n v="9"/>
    <n v="12972.00222"/>
    <n v="536760.31419000006"/>
    <n v="10567.53"/>
    <n v="2404.4722199999997"/>
    <n v="0.18535860380079394"/>
    <n v="202409"/>
    <n v="202301"/>
    <s v="Sept-2023"/>
    <n v="20"/>
    <s v="Late"/>
    <n v="0"/>
    <n v="0"/>
  </r>
  <r>
    <x v="399"/>
    <d v="2025-04-12T00:00:00"/>
    <s v="Apr-2025"/>
    <x v="2"/>
    <d v="2025-04-30T00:00:00"/>
    <n v="18"/>
    <x v="0"/>
    <x v="0"/>
    <s v="Kisumu"/>
    <s v="Africa &gt; Kenya &gt; Kisumu"/>
    <s v="Corporate"/>
    <x v="2"/>
    <x v="9"/>
    <x v="2"/>
    <s v="NET-3432"/>
    <n v="1119.04"/>
    <n v="1299.02"/>
    <s v="High"/>
    <n v="2.5000000000000001E-2"/>
    <n v="14"/>
    <n v="17731.623"/>
    <n v="536760.31419000006"/>
    <n v="15666.56"/>
    <n v="2065.0630000000001"/>
    <n v="0.11646215352085933"/>
    <n v="202504"/>
    <n v="202301"/>
    <s v="Apr-2023"/>
    <n v="27"/>
    <s v="Late"/>
    <n v="0"/>
    <n v="0"/>
  </r>
  <r>
    <x v="400"/>
    <d v="2024-08-12T00:00:00"/>
    <s v="Aug-2024"/>
    <x v="3"/>
    <d v="2024-08-15T00:00:00"/>
    <n v="3"/>
    <x v="2"/>
    <x v="10"/>
    <s v="Chicago"/>
    <s v="Americas &gt; USA &gt; Chicago"/>
    <s v="Corporate"/>
    <x v="2"/>
    <x v="14"/>
    <x v="1"/>
    <s v="PRN-5591"/>
    <n v="850.7"/>
    <n v="1118.56"/>
    <s v="Medium"/>
    <n v="0.18"/>
    <n v="19"/>
    <n v="17427.164800000002"/>
    <n v="536760.31419000006"/>
    <n v="16163.300000000001"/>
    <n v="1263.8648000000012"/>
    <n v="7.2522685962090688E-2"/>
    <n v="202408"/>
    <n v="202301"/>
    <s v="Aug-2023"/>
    <n v="19"/>
    <s v="On Time"/>
    <n v="1"/>
    <n v="0"/>
  </r>
  <r>
    <x v="401"/>
    <d v="2024-11-05T00:00:00"/>
    <s v="Nov-2024"/>
    <x v="1"/>
    <d v="2024-11-08T00:00:00"/>
    <n v="3"/>
    <x v="2"/>
    <x v="3"/>
    <s v="Toronto"/>
    <s v="Americas &gt; Canada &gt; Toronto"/>
    <s v="Education"/>
    <x v="2"/>
    <x v="7"/>
    <x v="0"/>
    <s v="CMP-2015"/>
    <n v="1020.4"/>
    <n v="1184.71"/>
    <s v="High"/>
    <n v="0.106"/>
    <n v="16"/>
    <n v="16946.091840000001"/>
    <n v="536760.31419000006"/>
    <n v="16326.4"/>
    <n v="619.69184000000132"/>
    <n v="3.6568422138328345E-2"/>
    <n v="202411"/>
    <n v="202301"/>
    <s v="Nov-2023"/>
    <n v="22"/>
    <s v="On Time"/>
    <n v="1"/>
    <n v="0"/>
  </r>
  <r>
    <x v="402"/>
    <d v="2024-07-24T00:00:00"/>
    <s v="Jul-2024"/>
    <x v="3"/>
    <d v="2024-08-08T00:00:00"/>
    <n v="15"/>
    <x v="3"/>
    <x v="7"/>
    <s v="Marseille"/>
    <s v="Europe &gt; France &gt; Marseille"/>
    <s v="Enterprise"/>
    <x v="2"/>
    <x v="10"/>
    <x v="4"/>
    <s v="LAP-9901"/>
    <n v="501.5"/>
    <n v="1201.47"/>
    <s v="Medium"/>
    <n v="0.126"/>
    <n v="5"/>
    <n v="5250.4239000000007"/>
    <n v="519814.22235000005"/>
    <n v="2507.5"/>
    <n v="2742.9239000000007"/>
    <n v="0.52241951359394057"/>
    <n v="202407"/>
    <n v="202301"/>
    <s v="Jul-2023"/>
    <n v="18"/>
    <s v="Late"/>
    <n v="0"/>
    <n v="0"/>
  </r>
  <r>
    <x v="403"/>
    <d v="2025-01-20T00:00:00"/>
    <s v="Jan-2025"/>
    <x v="0"/>
    <d v="2025-02-03T00:00:00"/>
    <n v="14"/>
    <x v="2"/>
    <x v="5"/>
    <s v="Brasília"/>
    <s v="Americas &gt; Brazil &gt; Brasília"/>
    <s v="Enterprise"/>
    <x v="2"/>
    <x v="9"/>
    <x v="0"/>
    <s v="CMP-8658"/>
    <n v="974.11"/>
    <n v="880.99"/>
    <s v="Medium"/>
    <n v="0.111"/>
    <n v="10"/>
    <n v="7832.0010999999995"/>
    <n v="519814.22235000005"/>
    <n v="9741.1"/>
    <n v="-1909.0989000000009"/>
    <n v="-0.2437562093805121"/>
    <n v="202501"/>
    <n v="202301"/>
    <s v="Jan-2023"/>
    <n v="24"/>
    <s v="Late"/>
    <n v="0"/>
    <n v="0"/>
  </r>
  <r>
    <x v="404"/>
    <d v="2023-03-06T00:00:00"/>
    <s v="Mar-2023"/>
    <x v="0"/>
    <d v="2023-04-04T00:00:00"/>
    <n v="29"/>
    <x v="1"/>
    <x v="9"/>
    <s v="Beijing"/>
    <s v="Asia &gt; China &gt; Beijing"/>
    <s v="Small Business"/>
    <x v="4"/>
    <x v="0"/>
    <x v="5"/>
    <s v="MON-2073"/>
    <n v="1126.29"/>
    <n v="2050.87"/>
    <s v="High"/>
    <n v="6.4000000000000001E-2"/>
    <n v="7"/>
    <n v="13437.300239999999"/>
    <n v="511982.22125000006"/>
    <n v="7884.03"/>
    <n v="5553.2702399999989"/>
    <n v="0.41327276616690373"/>
    <n v="202303"/>
    <n v="202301"/>
    <s v="Mar-2023"/>
    <n v="2"/>
    <s v="Late"/>
    <n v="0"/>
    <n v="0"/>
  </r>
  <r>
    <x v="405"/>
    <d v="2024-12-20T00:00:00"/>
    <s v="Dec-2024"/>
    <x v="1"/>
    <d v="2025-01-14T00:00:00"/>
    <n v="25"/>
    <x v="1"/>
    <x v="4"/>
    <s v="Delhi"/>
    <s v="Asia &gt; India &gt; Delhi"/>
    <s v="Small Business"/>
    <x v="0"/>
    <x v="12"/>
    <x v="1"/>
    <s v="PRN-9378"/>
    <n v="1361.34"/>
    <n v="1737.9"/>
    <s v="High"/>
    <n v="7.6999999999999999E-2"/>
    <n v="14"/>
    <n v="22457.143800000002"/>
    <n v="511982.22125000006"/>
    <n v="19058.759999999998"/>
    <n v="3398.3838000000032"/>
    <n v="0.15132751654731813"/>
    <n v="202412"/>
    <n v="202301"/>
    <s v="Dec-2023"/>
    <n v="23"/>
    <s v="Late"/>
    <n v="0"/>
    <n v="0"/>
  </r>
  <r>
    <x v="406"/>
    <d v="2025-02-21T00:00:00"/>
    <s v="Feb-2025"/>
    <x v="0"/>
    <d v="2025-03-21T00:00:00"/>
    <n v="28"/>
    <x v="0"/>
    <x v="1"/>
    <s v="Abuja"/>
    <s v="Africa &gt; Nigeria &gt; Abuja"/>
    <s v="Enterprise"/>
    <x v="2"/>
    <x v="2"/>
    <x v="3"/>
    <s v="PHN-5887"/>
    <n v="1437.39"/>
    <n v="1388.31"/>
    <s v="High"/>
    <n v="0.13800000000000001"/>
    <n v="18"/>
    <n v="21541.017959999997"/>
    <n v="511982.22125000006"/>
    <n v="25873.02"/>
    <n v="-4332.002040000003"/>
    <n v="-0.20110479681341872"/>
    <n v="202502"/>
    <n v="202301"/>
    <s v="Feb-2023"/>
    <n v="25"/>
    <s v="Late"/>
    <n v="0"/>
    <n v="0"/>
  </r>
  <r>
    <x v="407"/>
    <d v="2025-03-08T00:00:00"/>
    <s v="Mar-2025"/>
    <x v="0"/>
    <d v="2025-03-15T00:00:00"/>
    <n v="7"/>
    <x v="1"/>
    <x v="4"/>
    <s v="Bengaluru"/>
    <s v="Asia &gt; India &gt; Bengaluru"/>
    <s v="Corporate"/>
    <x v="3"/>
    <x v="11"/>
    <x v="4"/>
    <s v="LAP-8119"/>
    <n v="475.66"/>
    <n v="529.14"/>
    <s v="Low"/>
    <n v="0.19600000000000001"/>
    <n v="11"/>
    <n v="4679.7141600000004"/>
    <n v="511982.22125000006"/>
    <n v="5232.26"/>
    <n v="-552.54583999999977"/>
    <n v="-0.11807256193613323"/>
    <n v="202503"/>
    <n v="202301"/>
    <s v="Mar-2023"/>
    <n v="26"/>
    <s v="On Time"/>
    <n v="1"/>
    <n v="0"/>
  </r>
  <r>
    <x v="408"/>
    <d v="2023-12-16T00:00:00"/>
    <s v="Dec-2023"/>
    <x v="1"/>
    <d v="2023-12-19T00:00:00"/>
    <n v="3"/>
    <x v="1"/>
    <x v="9"/>
    <s v="Beijing"/>
    <s v="Asia &gt; China &gt; Beijing"/>
    <s v="Education"/>
    <x v="0"/>
    <x v="8"/>
    <x v="6"/>
    <s v="ACC-9644"/>
    <n v="1415.05"/>
    <n v="1972.38"/>
    <s v="High"/>
    <n v="0"/>
    <n v="12"/>
    <n v="23668.560000000001"/>
    <n v="511982.22125000006"/>
    <n v="16980.599999999999"/>
    <n v="6687.9600000000028"/>
    <n v="0.28256725377462771"/>
    <n v="202312"/>
    <n v="202301"/>
    <s v="Dec-2023"/>
    <n v="11"/>
    <s v="On Time"/>
    <n v="1"/>
    <n v="0"/>
  </r>
  <r>
    <x v="409"/>
    <d v="2024-08-30T00:00:00"/>
    <s v="Aug-2024"/>
    <x v="3"/>
    <d v="2024-09-05T00:00:00"/>
    <n v="6"/>
    <x v="1"/>
    <x v="2"/>
    <s v="Nagoya"/>
    <s v="Asia &gt; Japan &gt; Nagoya"/>
    <s v="Education"/>
    <x v="1"/>
    <x v="13"/>
    <x v="4"/>
    <s v="LAP-7009"/>
    <n v="466.16"/>
    <n v="876.81"/>
    <s v="Low"/>
    <n v="0.24099999999999999"/>
    <n v="8"/>
    <n v="5323.9903199999999"/>
    <n v="511982.22125000006"/>
    <n v="3729.28"/>
    <n v="1594.7103199999997"/>
    <n v="0.29953291124691594"/>
    <n v="202408"/>
    <n v="202303"/>
    <s v="Aug-2023"/>
    <n v="17"/>
    <s v="On Time"/>
    <n v="1"/>
    <n v="1"/>
  </r>
  <r>
    <x v="410"/>
    <d v="2024-05-18T00:00:00"/>
    <s v="May-2024"/>
    <x v="2"/>
    <d v="2024-05-21T00:00:00"/>
    <n v="3"/>
    <x v="3"/>
    <x v="7"/>
    <s v="Marseille"/>
    <s v="Europe &gt; France &gt; Marseille"/>
    <s v="Non-Profit"/>
    <x v="2"/>
    <x v="14"/>
    <x v="1"/>
    <s v="PRN-1725"/>
    <n v="663.66"/>
    <n v="824.26"/>
    <s v="Medium"/>
    <n v="0.23899999999999999"/>
    <n v="11"/>
    <n v="6899.8804600000003"/>
    <n v="511982.22125000006"/>
    <n v="7300.2599999999993"/>
    <n v="-400.379539999999"/>
    <n v="-5.8027025587048933E-2"/>
    <n v="202405"/>
    <n v="202301"/>
    <s v="May-2023"/>
    <n v="16"/>
    <s v="On Time"/>
    <n v="1"/>
    <n v="1"/>
  </r>
  <r>
    <x v="411"/>
    <d v="2023-03-17T00:00:00"/>
    <s v="Mar-2023"/>
    <x v="0"/>
    <d v="2023-04-06T00:00:00"/>
    <n v="20"/>
    <x v="3"/>
    <x v="6"/>
    <s v="Munich"/>
    <s v="Europe &gt; Germany &gt; Munich"/>
    <s v="Consumer"/>
    <x v="0"/>
    <x v="7"/>
    <x v="3"/>
    <s v="PHN-8483"/>
    <n v="692.18"/>
    <n v="1159.3499999999999"/>
    <s v="Medium"/>
    <n v="0.112"/>
    <n v="2"/>
    <n v="2059.0056"/>
    <n v="511982.22125000006"/>
    <n v="1384.36"/>
    <n v="674.64560000000006"/>
    <n v="0.32765602968734037"/>
    <n v="202303"/>
    <n v="202301"/>
    <s v="Mar-2023"/>
    <n v="2"/>
    <s v="Late"/>
    <n v="0"/>
    <n v="0"/>
  </r>
  <r>
    <x v="412"/>
    <d v="2023-08-25T00:00:00"/>
    <s v="Aug-2023"/>
    <x v="3"/>
    <d v="2023-09-16T00:00:00"/>
    <n v="22"/>
    <x v="0"/>
    <x v="1"/>
    <s v="Abuja"/>
    <s v="Africa &gt; Nigeria &gt; Abuja"/>
    <s v="Corporate"/>
    <x v="2"/>
    <x v="4"/>
    <x v="3"/>
    <s v="PHN-3971"/>
    <n v="1196.83"/>
    <n v="2513.5100000000002"/>
    <s v="High"/>
    <n v="8.3000000000000004E-2"/>
    <n v="7"/>
    <n v="16134.22069"/>
    <n v="511982.22125000006"/>
    <n v="8377.81"/>
    <n v="7756.4106900000006"/>
    <n v="0.48074281609445374"/>
    <n v="202308"/>
    <n v="202301"/>
    <s v="Aug-2023"/>
    <n v="7"/>
    <s v="Late"/>
    <n v="0"/>
    <n v="0"/>
  </r>
  <r>
    <x v="413"/>
    <d v="2024-06-06T00:00:00"/>
    <s v="Jun-2024"/>
    <x v="2"/>
    <d v="2024-06-24T00:00:00"/>
    <n v="18"/>
    <x v="1"/>
    <x v="4"/>
    <s v="Bengaluru"/>
    <s v="Asia &gt; India &gt; Bengaluru"/>
    <s v="Small Business"/>
    <x v="4"/>
    <x v="10"/>
    <x v="2"/>
    <s v="NET-6578"/>
    <n v="1253.25"/>
    <n v="3087.13"/>
    <s v="High"/>
    <n v="7.1999999999999995E-2"/>
    <n v="11"/>
    <n v="31513.423040000001"/>
    <n v="511982.22125000006"/>
    <n v="13785.75"/>
    <n v="17727.673040000001"/>
    <n v="0.562543555408064"/>
    <n v="202406"/>
    <n v="202301"/>
    <s v="Jun-2023"/>
    <n v="17"/>
    <s v="Late"/>
    <n v="0"/>
    <n v="0"/>
  </r>
  <r>
    <x v="414"/>
    <d v="2023-08-29T00:00:00"/>
    <s v="Aug-2023"/>
    <x v="3"/>
    <d v="2023-09-13T00:00:00"/>
    <n v="15"/>
    <x v="2"/>
    <x v="3"/>
    <s v="Vancouver"/>
    <s v="Americas &gt; Canada &gt; Vancouver"/>
    <s v="Small Business"/>
    <x v="2"/>
    <x v="7"/>
    <x v="1"/>
    <s v="PRN-9975"/>
    <n v="1287.6400000000001"/>
    <n v="2717.15"/>
    <s v="High"/>
    <n v="3.2000000000000001E-2"/>
    <n v="7"/>
    <n v="18411.4084"/>
    <n v="511982.22125000006"/>
    <n v="9013.4800000000014"/>
    <n v="9397.9283999999989"/>
    <n v="0.51044049405802105"/>
    <n v="202308"/>
    <n v="202301"/>
    <s v="Aug-2023"/>
    <n v="7"/>
    <s v="Late"/>
    <n v="0"/>
    <n v="0"/>
  </r>
  <r>
    <x v="415"/>
    <d v="2024-11-30T00:00:00"/>
    <s v="Nov-2024"/>
    <x v="1"/>
    <d v="2024-12-10T00:00:00"/>
    <n v="10"/>
    <x v="1"/>
    <x v="4"/>
    <s v="Hyderabad"/>
    <s v="Asia &gt; India &gt; Hyderabad"/>
    <s v="Small Business"/>
    <x v="0"/>
    <x v="9"/>
    <x v="6"/>
    <s v="ACC-1075"/>
    <n v="851.49"/>
    <n v="901.79"/>
    <s v="Medium"/>
    <n v="0.245"/>
    <n v="16"/>
    <n v="10893.6232"/>
    <n v="511982.22125000006"/>
    <n v="13623.84"/>
    <n v="-2730.2168000000001"/>
    <n v="-0.25062522816100341"/>
    <n v="202411"/>
    <n v="202301"/>
    <s v="Nov-2023"/>
    <n v="22"/>
    <s v="Late"/>
    <n v="0"/>
    <n v="1"/>
  </r>
  <r>
    <x v="416"/>
    <d v="2025-06-05T00:00:00"/>
    <s v="Jun-2025"/>
    <x v="2"/>
    <d v="2025-06-14T00:00:00"/>
    <n v="9"/>
    <x v="1"/>
    <x v="4"/>
    <s v="Delhi"/>
    <s v="Asia &gt; India &gt; Delhi"/>
    <s v="Non-Profit"/>
    <x v="0"/>
    <x v="8"/>
    <x v="6"/>
    <s v="ACC-2902"/>
    <n v="618.69000000000005"/>
    <n v="796.15"/>
    <s v="Medium"/>
    <n v="0.09"/>
    <n v="11"/>
    <n v="7969.4615000000003"/>
    <n v="511982.22125000006"/>
    <n v="6805.59"/>
    <n v="1163.8715000000002"/>
    <n v="0.14604142325049191"/>
    <n v="202506"/>
    <n v="202301"/>
    <s v="Jun-2023"/>
    <n v="29"/>
    <s v="Late"/>
    <n v="0"/>
    <n v="0"/>
  </r>
  <r>
    <x v="417"/>
    <d v="2025-03-14T00:00:00"/>
    <s v="Mar-2025"/>
    <x v="0"/>
    <d v="2025-04-08T00:00:00"/>
    <n v="25"/>
    <x v="1"/>
    <x v="9"/>
    <s v="Not Provided"/>
    <s v="Asia &gt; China &gt; Not Provided"/>
    <s v="Corporate"/>
    <x v="3"/>
    <x v="14"/>
    <x v="1"/>
    <s v="PRN-5815"/>
    <n v="80.59"/>
    <n v="157.82"/>
    <s v="Low"/>
    <n v="0.217"/>
    <n v="6"/>
    <n v="741.43835999999999"/>
    <n v="511982.22125000006"/>
    <n v="483.54"/>
    <n v="257.89835999999997"/>
    <n v="0.34783519967863541"/>
    <n v="202503"/>
    <n v="202301"/>
    <s v="Mar-2023"/>
    <n v="26"/>
    <s v="Late"/>
    <n v="0"/>
    <n v="1"/>
  </r>
  <r>
    <x v="418"/>
    <d v="2024-01-16T00:00:00"/>
    <s v="Jan-2024"/>
    <x v="0"/>
    <d v="2024-02-11T00:00:00"/>
    <n v="26"/>
    <x v="3"/>
    <x v="6"/>
    <s v="Frankfurt"/>
    <s v="Europe &gt; Germany &gt; Frankfurt"/>
    <s v="Non-Profit"/>
    <x v="3"/>
    <x v="6"/>
    <x v="5"/>
    <s v="MON-4195"/>
    <n v="504.93"/>
    <n v="819.06"/>
    <s v="Medium"/>
    <n v="0.22600000000000001"/>
    <n v="15"/>
    <n v="9509.2865999999995"/>
    <n v="511982.22125000006"/>
    <n v="7573.95"/>
    <n v="1935.3365999999996"/>
    <n v="0.20352069312959814"/>
    <n v="202401"/>
    <n v="202301"/>
    <s v="Jan-2023"/>
    <n v="12"/>
    <s v="Late"/>
    <n v="0"/>
    <n v="1"/>
  </r>
  <r>
    <x v="419"/>
    <d v="2023-10-12T00:00:00"/>
    <s v="Oct-2023"/>
    <x v="1"/>
    <d v="2023-10-29T00:00:00"/>
    <n v="17"/>
    <x v="1"/>
    <x v="2"/>
    <s v="Nagoya"/>
    <s v="Asia &gt; Japan &gt; Nagoya"/>
    <s v="Non-Profit"/>
    <x v="4"/>
    <x v="10"/>
    <x v="3"/>
    <s v="PHN-8478"/>
    <n v="1102.19"/>
    <n v="1711.16"/>
    <s v="High"/>
    <n v="0.151"/>
    <n v="10"/>
    <n v="14527.748400000002"/>
    <n v="511982.22125000006"/>
    <n v="11021.900000000001"/>
    <n v="3505.8484000000008"/>
    <n v="0.24132083675127525"/>
    <n v="202310"/>
    <n v="202303"/>
    <s v="Oct-2023"/>
    <n v="7"/>
    <s v="Late"/>
    <n v="0"/>
    <n v="0"/>
  </r>
  <r>
    <x v="420"/>
    <d v="2025-02-25T00:00:00"/>
    <s v="Feb-2025"/>
    <x v="0"/>
    <d v="2025-03-17T00:00:00"/>
    <n v="20"/>
    <x v="2"/>
    <x v="10"/>
    <s v="San Francisco"/>
    <s v="Americas &gt; USA &gt; San Francisco"/>
    <s v="Non-Profit"/>
    <x v="2"/>
    <x v="10"/>
    <x v="3"/>
    <s v="PHN-1044"/>
    <n v="1205.26"/>
    <n v="1696.35"/>
    <s v="High"/>
    <n v="1.9E-2"/>
    <n v="6"/>
    <n v="9984.7160999999978"/>
    <n v="511982.22125000006"/>
    <n v="7231.5599999999995"/>
    <n v="2753.1560999999983"/>
    <n v="0.27573704374028213"/>
    <n v="202502"/>
    <n v="202301"/>
    <s v="Feb-2023"/>
    <n v="25"/>
    <s v="Late"/>
    <n v="0"/>
    <n v="0"/>
  </r>
  <r>
    <x v="421"/>
    <d v="2025-07-03T00:00:00"/>
    <s v="Jul-2025"/>
    <x v="3"/>
    <d v="2025-07-06T00:00:00"/>
    <n v="3"/>
    <x v="0"/>
    <x v="1"/>
    <s v="Lagos"/>
    <s v="Africa &gt; Nigeria &gt; Lagos"/>
    <s v="Consumer"/>
    <x v="1"/>
    <x v="15"/>
    <x v="4"/>
    <s v="LAP-8910"/>
    <n v="1313.3"/>
    <n v="2884.34"/>
    <s v="High"/>
    <n v="0.157"/>
    <n v="42"/>
    <n v="102122.94203999999"/>
    <n v="511982.22125000006"/>
    <n v="55158.6"/>
    <n v="46964.342039999996"/>
    <n v="0.45988042551305253"/>
    <n v="202507"/>
    <n v="202301"/>
    <s v="Jul-2023"/>
    <n v="30"/>
    <s v="On Time"/>
    <n v="1"/>
    <n v="0"/>
  </r>
  <r>
    <x v="422"/>
    <d v="2025-09-15T00:00:00"/>
    <s v="Sept-2025"/>
    <x v="3"/>
    <d v="2025-09-25T00:00:00"/>
    <n v="10"/>
    <x v="1"/>
    <x v="4"/>
    <s v="Delhi"/>
    <s v="Asia &gt; India &gt; Delhi"/>
    <s v="Consumer"/>
    <x v="0"/>
    <x v="8"/>
    <x v="3"/>
    <s v="PHN-2859"/>
    <n v="1488.91"/>
    <n v="1483.74"/>
    <s v="High"/>
    <n v="0.16800000000000001"/>
    <n v="24"/>
    <n v="29627.320319999999"/>
    <n v="511982.22125000006"/>
    <n v="35733.840000000004"/>
    <n v="-6106.5196800000049"/>
    <n v="-0.20611110333450519"/>
    <n v="202509"/>
    <n v="202301"/>
    <s v="Sept-2023"/>
    <n v="32"/>
    <s v="Late"/>
    <n v="0"/>
    <n v="0"/>
  </r>
  <r>
    <x v="423"/>
    <d v="2024-02-19T00:00:00"/>
    <s v="Feb-2024"/>
    <x v="0"/>
    <d v="2024-03-06T00:00:00"/>
    <n v="16"/>
    <x v="1"/>
    <x v="9"/>
    <s v="Beijing"/>
    <s v="Asia &gt; China &gt; Beijing"/>
    <s v="Education"/>
    <x v="2"/>
    <x v="7"/>
    <x v="1"/>
    <s v="PRN-6308"/>
    <n v="1477.84"/>
    <n v="3197.47"/>
    <s v="High"/>
    <n v="0.24299999999999999"/>
    <n v="24"/>
    <n v="58091.634960000003"/>
    <n v="511982.22125000006"/>
    <n v="35468.159999999996"/>
    <n v="22623.474960000007"/>
    <n v="0.38944462443823091"/>
    <n v="202402"/>
    <n v="202301"/>
    <s v="Feb-2023"/>
    <n v="13"/>
    <s v="Late"/>
    <n v="0"/>
    <n v="1"/>
  </r>
  <r>
    <x v="424"/>
    <d v="2024-02-27T00:00:00"/>
    <s v="Feb-2024"/>
    <x v="0"/>
    <d v="2024-03-26T00:00:00"/>
    <n v="28"/>
    <x v="1"/>
    <x v="4"/>
    <s v="Mumbai"/>
    <s v="Asia &gt; India &gt; Mumbai"/>
    <s v="Education"/>
    <x v="2"/>
    <x v="3"/>
    <x v="4"/>
    <s v="LAP-8469"/>
    <n v="1035.19"/>
    <n v="2322.6999999999998"/>
    <s v="High"/>
    <n v="0.17299999999999999"/>
    <n v="8"/>
    <n v="15366.983199999999"/>
    <n v="511982.22125000006"/>
    <n v="8281.52"/>
    <n v="7085.4631999999983"/>
    <n v="0.46108355217047409"/>
    <n v="202402"/>
    <n v="202301"/>
    <s v="Feb-2023"/>
    <n v="13"/>
    <s v="Late"/>
    <n v="0"/>
    <n v="0"/>
  </r>
  <r>
    <x v="425"/>
    <d v="2025-08-28T00:00:00"/>
    <s v="Aug-2025"/>
    <x v="3"/>
    <d v="2025-09-05T00:00:00"/>
    <n v="8"/>
    <x v="0"/>
    <x v="1"/>
    <s v="Port Harcourt"/>
    <s v="Africa &gt; Nigeria &gt; Port Harcourt"/>
    <s v="Small Business"/>
    <x v="2"/>
    <x v="6"/>
    <x v="4"/>
    <s v="LAP-7553"/>
    <n v="1271.0999999999999"/>
    <n v="1932.42"/>
    <s v="High"/>
    <n v="0.25"/>
    <n v="21"/>
    <n v="30435.614999999998"/>
    <n v="511982.22125000006"/>
    <n v="26693.1"/>
    <n v="3742.5149999999994"/>
    <n v="0.12296498690760807"/>
    <n v="202508"/>
    <n v="202301"/>
    <s v="Aug-2023"/>
    <n v="31"/>
    <s v="Late"/>
    <n v="0"/>
    <n v="1"/>
  </r>
  <r>
    <x v="426"/>
    <d v="2024-08-18T00:00:00"/>
    <s v="Aug-2024"/>
    <x v="3"/>
    <d v="2024-09-12T00:00:00"/>
    <n v="25"/>
    <x v="1"/>
    <x v="4"/>
    <s v="Mumbai"/>
    <s v="Asia &gt; India &gt; Mumbai"/>
    <s v="Consumer"/>
    <x v="2"/>
    <x v="0"/>
    <x v="3"/>
    <s v="PHN-3077"/>
    <n v="1154.03"/>
    <n v="1590.36"/>
    <s v="High"/>
    <n v="0.314"/>
    <n v="18"/>
    <n v="19637.76528"/>
    <n v="511982.22125000006"/>
    <n v="20772.54"/>
    <n v="-1134.7747200000013"/>
    <n v="-5.7785328616576745E-2"/>
    <n v="202408"/>
    <n v="202301"/>
    <s v="Aug-2023"/>
    <n v="19"/>
    <s v="Late"/>
    <n v="0"/>
    <n v="1"/>
  </r>
  <r>
    <x v="427"/>
    <d v="2024-02-25T00:00:00"/>
    <s v="Feb-2024"/>
    <x v="0"/>
    <d v="2024-03-09T00:00:00"/>
    <n v="13"/>
    <x v="3"/>
    <x v="7"/>
    <s v="Marseille"/>
    <s v="Europe &gt; France &gt; Marseille"/>
    <s v="Small Business"/>
    <x v="3"/>
    <x v="6"/>
    <x v="5"/>
    <s v="MON-3350"/>
    <n v="322.44"/>
    <n v="395.61"/>
    <s v="Low"/>
    <n v="0"/>
    <n v="34"/>
    <n v="13450.74"/>
    <n v="511982.22125000006"/>
    <n v="10962.96"/>
    <n v="2487.7800000000007"/>
    <n v="0.18495487980586947"/>
    <n v="202402"/>
    <n v="202301"/>
    <s v="Feb-2023"/>
    <n v="13"/>
    <s v="Late"/>
    <n v="0"/>
    <n v="0"/>
  </r>
  <r>
    <x v="428"/>
    <d v="2025-05-07T00:00:00"/>
    <s v="May-2025"/>
    <x v="2"/>
    <d v="2025-05-13T00:00:00"/>
    <n v="6"/>
    <x v="1"/>
    <x v="4"/>
    <s v="Bengaluru"/>
    <s v="Asia &gt; India &gt; Bengaluru"/>
    <s v="Enterprise"/>
    <x v="4"/>
    <x v="1"/>
    <x v="3"/>
    <s v="PHN-5683"/>
    <n v="935.98"/>
    <n v="2077.69"/>
    <s v="Medium"/>
    <n v="0.17499999999999999"/>
    <n v="24"/>
    <n v="41138.261999999995"/>
    <n v="511982.22125000006"/>
    <n v="22463.52"/>
    <n v="18674.741999999995"/>
    <n v="0.45395067978321491"/>
    <n v="202505"/>
    <n v="202301"/>
    <s v="May-2023"/>
    <n v="28"/>
    <s v="On Time"/>
    <n v="1"/>
    <n v="0"/>
  </r>
  <r>
    <x v="429"/>
    <d v="2024-11-01T00:00:00"/>
    <s v="Nov-2024"/>
    <x v="1"/>
    <d v="2024-11-12T00:00:00"/>
    <n v="11"/>
    <x v="3"/>
    <x v="6"/>
    <s v="Frankfurt"/>
    <s v="Europe &gt; Germany &gt; Frankfurt"/>
    <s v="Consumer"/>
    <x v="1"/>
    <x v="5"/>
    <x v="1"/>
    <s v="PRN-2409"/>
    <n v="599.84"/>
    <n v="1330.85"/>
    <s v="Medium"/>
    <n v="0.115"/>
    <n v="11"/>
    <n v="12955.824749999998"/>
    <n v="511982.22125000006"/>
    <n v="6598.2400000000007"/>
    <n v="6357.5847499999973"/>
    <n v="0.49071246892252063"/>
    <n v="202411"/>
    <n v="202301"/>
    <s v="Nov-2023"/>
    <n v="22"/>
    <s v="Late"/>
    <n v="0"/>
    <n v="0"/>
  </r>
  <r>
    <x v="430"/>
    <d v="2024-12-28T00:00:00"/>
    <s v="Dec-2024"/>
    <x v="1"/>
    <d v="2025-01-08T00:00:00"/>
    <n v="11"/>
    <x v="1"/>
    <x v="9"/>
    <s v="Shenzhen"/>
    <s v="Asia &gt; China &gt; Shenzhen"/>
    <s v="Enterprise"/>
    <x v="1"/>
    <x v="11"/>
    <x v="4"/>
    <s v="LAP-8825"/>
    <n v="1201.31"/>
    <n v="2764.65"/>
    <s v="High"/>
    <n v="0"/>
    <n v="21"/>
    <n v="58057.65"/>
    <n v="511982.22125000006"/>
    <n v="25227.51"/>
    <n v="32830.14"/>
    <n v="0.56547483406579491"/>
    <n v="202412"/>
    <n v="202301"/>
    <s v="Dec-2023"/>
    <n v="23"/>
    <s v="Late"/>
    <n v="0"/>
    <n v="0"/>
  </r>
  <r>
    <x v="431"/>
    <d v="2023-10-21T00:00:00"/>
    <s v="Oct-2023"/>
    <x v="1"/>
    <d v="2023-10-21T00:00:00"/>
    <n v="0"/>
    <x v="3"/>
    <x v="8"/>
    <s v="Manchester"/>
    <s v="Europe &gt; United Kingdom &gt; Manchester"/>
    <s v="Enterprise"/>
    <x v="3"/>
    <x v="1"/>
    <x v="5"/>
    <s v="MON-8697"/>
    <n v="384.19"/>
    <n v="278.35000000000002"/>
    <s v="Low"/>
    <n v="5.6000000000000001E-2"/>
    <n v="10"/>
    <n v="2627.6239999999998"/>
    <n v="511982.22125000006"/>
    <n v="3841.9"/>
    <n v="-1214.2760000000003"/>
    <n v="-0.46211938998882657"/>
    <n v="202310"/>
    <n v="202301"/>
    <s v="Oct-2023"/>
    <n v="9"/>
    <s v="On Time"/>
    <n v="1"/>
    <n v="0"/>
  </r>
  <r>
    <x v="432"/>
    <d v="2024-12-10T00:00:00"/>
    <s v="Dec-2024"/>
    <x v="1"/>
    <d v="2024-12-19T00:00:00"/>
    <n v="9"/>
    <x v="0"/>
    <x v="1"/>
    <s v="Lagos"/>
    <s v="Africa &gt; Nigeria &gt; Lagos"/>
    <s v="Corporate"/>
    <x v="0"/>
    <x v="7"/>
    <x v="5"/>
    <s v="MON-4789"/>
    <n v="488.68"/>
    <n v="984.36"/>
    <s v="Low"/>
    <n v="5.8999999999999997E-2"/>
    <n v="14"/>
    <n v="12967.958640000001"/>
    <n v="511982.22125000006"/>
    <n v="6841.52"/>
    <n v="6126.4386400000003"/>
    <n v="0.47242891576649876"/>
    <n v="202412"/>
    <n v="202301"/>
    <s v="Dec-2023"/>
    <n v="23"/>
    <s v="Late"/>
    <n v="0"/>
    <n v="0"/>
  </r>
  <r>
    <x v="433"/>
    <d v="2024-09-07T00:00:00"/>
    <s v="Sept-2024"/>
    <x v="3"/>
    <d v="2024-09-18T00:00:00"/>
    <n v="11"/>
    <x v="1"/>
    <x v="9"/>
    <s v="Beijing"/>
    <s v="Asia &gt; China &gt; Beijing"/>
    <s v="Consumer"/>
    <x v="3"/>
    <x v="7"/>
    <x v="2"/>
    <s v="NET-7998"/>
    <n v="181.74"/>
    <n v="190.84"/>
    <s v="Low"/>
    <n v="0.214"/>
    <n v="13"/>
    <n v="1950.0031200000001"/>
    <n v="511982.22125000006"/>
    <n v="2362.62"/>
    <n v="-412.61687999999981"/>
    <n v="-0.21159806144310159"/>
    <n v="202409"/>
    <n v="202301"/>
    <s v="Sept-2023"/>
    <n v="20"/>
    <s v="Late"/>
    <n v="0"/>
    <n v="1"/>
  </r>
  <r>
    <x v="434"/>
    <d v="2023-10-18T00:00:00"/>
    <s v="Oct-2023"/>
    <x v="1"/>
    <d v="2023-10-20T00:00:00"/>
    <n v="2"/>
    <x v="0"/>
    <x v="0"/>
    <s v="Kisumu"/>
    <s v="Africa &gt; Kenya &gt; Kisumu"/>
    <s v="Consumer"/>
    <x v="0"/>
    <x v="1"/>
    <x v="3"/>
    <s v="PHN-8891"/>
    <n v="774.12"/>
    <n v="908.3"/>
    <s v="Medium"/>
    <n v="0"/>
    <n v="30"/>
    <n v="27249"/>
    <n v="511982.22125000006"/>
    <n v="23223.599999999999"/>
    <n v="4025.4000000000015"/>
    <n v="0.14772652207420461"/>
    <n v="202310"/>
    <n v="202301"/>
    <s v="Oct-2023"/>
    <n v="9"/>
    <s v="On Time"/>
    <n v="1"/>
    <n v="0"/>
  </r>
  <r>
    <x v="435"/>
    <d v="2024-12-24T00:00:00"/>
    <s v="Dec-2024"/>
    <x v="1"/>
    <d v="2025-01-13T00:00:00"/>
    <n v="20"/>
    <x v="1"/>
    <x v="4"/>
    <s v="Bengaluru"/>
    <s v="Asia &gt; India &gt; Bengaluru"/>
    <s v="Corporate"/>
    <x v="2"/>
    <x v="14"/>
    <x v="2"/>
    <s v="NET-9832"/>
    <n v="126.15"/>
    <n v="284.23"/>
    <s v="Low"/>
    <n v="0.113"/>
    <n v="22"/>
    <n v="5546.4642200000008"/>
    <n v="511982.22125000006"/>
    <n v="2775.3"/>
    <n v="2771.1642200000006"/>
    <n v="0.49962716968541088"/>
    <n v="202412"/>
    <n v="202301"/>
    <s v="Dec-2023"/>
    <n v="23"/>
    <s v="Late"/>
    <n v="0"/>
    <n v="0"/>
  </r>
  <r>
    <x v="436"/>
    <d v="2023-04-21T00:00:00"/>
    <s v="Apr-2023"/>
    <x v="2"/>
    <d v="2023-04-23T00:00:00"/>
    <n v="2"/>
    <x v="1"/>
    <x v="2"/>
    <s v="Nagoya"/>
    <s v="Asia &gt; Japan &gt; Nagoya"/>
    <s v="Small Business"/>
    <x v="4"/>
    <x v="12"/>
    <x v="0"/>
    <s v="CMP-8604"/>
    <n v="607.04"/>
    <n v="1229.3399999999999"/>
    <s v="Medium"/>
    <n v="0.14699999999999999"/>
    <n v="7"/>
    <n v="7340.3891399999993"/>
    <n v="511982.22125000006"/>
    <n v="4249.28"/>
    <n v="3091.1091399999996"/>
    <n v="0.42110970972310058"/>
    <n v="202304"/>
    <n v="202303"/>
    <s v="Apr-2023"/>
    <n v="1"/>
    <s v="On Time"/>
    <n v="1"/>
    <n v="0"/>
  </r>
  <r>
    <x v="437"/>
    <d v="2023-12-30T00:00:00"/>
    <s v="Dec-2023"/>
    <x v="1"/>
    <d v="2024-01-08T00:00:00"/>
    <n v="9"/>
    <x v="3"/>
    <x v="7"/>
    <s v="Marseille"/>
    <s v="Europe &gt; France &gt; Marseille"/>
    <s v="Consumer"/>
    <x v="2"/>
    <x v="4"/>
    <x v="6"/>
    <s v="ACC-6594"/>
    <n v="861.1"/>
    <n v="1224.72"/>
    <s v="Medium"/>
    <n v="0.17399999999999999"/>
    <n v="24"/>
    <n v="24278.849280000002"/>
    <n v="504641.83211000008"/>
    <n v="20666.400000000001"/>
    <n v="3612.4492800000007"/>
    <n v="0.14878997098827909"/>
    <n v="202312"/>
    <n v="202301"/>
    <s v="Dec-2023"/>
    <n v="11"/>
    <s v="Late"/>
    <n v="0"/>
    <n v="0"/>
  </r>
  <r>
    <x v="438"/>
    <d v="2023-02-21T00:00:00"/>
    <s v="Feb-2023"/>
    <x v="0"/>
    <d v="2023-03-12T00:00:00"/>
    <n v="19"/>
    <x v="0"/>
    <x v="0"/>
    <s v="Nakuru"/>
    <s v="Africa &gt; Kenya &gt; Nakuru"/>
    <s v="Corporate"/>
    <x v="1"/>
    <x v="9"/>
    <x v="2"/>
    <s v="NET-2499"/>
    <n v="352.65"/>
    <n v="485.86"/>
    <s v="Low"/>
    <n v="4.1000000000000002E-2"/>
    <n v="6"/>
    <n v="2795.6384399999997"/>
    <n v="504641.83211000008"/>
    <n v="2115.8999999999996"/>
    <n v="679.73844000000008"/>
    <n v="0.24314247159943908"/>
    <n v="202302"/>
    <n v="202301"/>
    <s v="Feb-2023"/>
    <n v="1"/>
    <s v="Late"/>
    <n v="0"/>
    <n v="0"/>
  </r>
  <r>
    <x v="439"/>
    <d v="2023-05-17T00:00:00"/>
    <s v="May-2023"/>
    <x v="2"/>
    <d v="2023-06-03T00:00:00"/>
    <n v="17"/>
    <x v="1"/>
    <x v="9"/>
    <s v="Beijing"/>
    <s v="Asia &gt; China &gt; Beijing"/>
    <s v="Non-Profit"/>
    <x v="3"/>
    <x v="12"/>
    <x v="1"/>
    <s v="PRN-1923"/>
    <n v="979.59"/>
    <n v="2210.94"/>
    <s v="Medium"/>
    <n v="0.15"/>
    <n v="11"/>
    <n v="20672.289000000001"/>
    <n v="504641.83211000008"/>
    <n v="10775.49"/>
    <n v="9896.7990000000009"/>
    <n v="0.47874712858358359"/>
    <n v="202305"/>
    <n v="202301"/>
    <s v="May-2023"/>
    <n v="4"/>
    <s v="Late"/>
    <n v="0"/>
    <n v="0"/>
  </r>
  <r>
    <x v="440"/>
    <d v="2024-03-23T00:00:00"/>
    <s v="Mar-2024"/>
    <x v="0"/>
    <d v="2024-03-26T00:00:00"/>
    <n v="3"/>
    <x v="1"/>
    <x v="4"/>
    <s v="Bengaluru"/>
    <s v="Asia &gt; India &gt; Bengaluru"/>
    <s v="Education"/>
    <x v="4"/>
    <x v="3"/>
    <x v="3"/>
    <s v="PHN-4346"/>
    <n v="382.21"/>
    <n v="571.89"/>
    <s v="Low"/>
    <n v="0.14799999999999999"/>
    <n v="26"/>
    <n v="12668.50728"/>
    <n v="504641.83211000008"/>
    <n v="9937.4599999999991"/>
    <n v="2731.0472800000007"/>
    <n v="0.2155776698578809"/>
    <n v="202403"/>
    <n v="202301"/>
    <s v="Mar-2023"/>
    <n v="14"/>
    <s v="On Time"/>
    <n v="1"/>
    <n v="0"/>
  </r>
  <r>
    <x v="441"/>
    <d v="2023-09-20T00:00:00"/>
    <s v="Sept-2023"/>
    <x v="3"/>
    <d v="2023-09-28T00:00:00"/>
    <n v="8"/>
    <x v="1"/>
    <x v="4"/>
    <s v="Not Provided"/>
    <s v="Asia &gt; India &gt; Not Provided"/>
    <s v="Corporate"/>
    <x v="5"/>
    <x v="5"/>
    <x v="6"/>
    <s v="ACC-1375"/>
    <n v="1362.06"/>
    <n v="3398.37"/>
    <s v="High"/>
    <n v="0.157"/>
    <n v="11"/>
    <n v="31513.085009999999"/>
    <n v="504641.83211000008"/>
    <n v="14982.66"/>
    <n v="16530.425009999999"/>
    <n v="0.52455749745714919"/>
    <n v="202309"/>
    <n v="202301"/>
    <s v="Sept-2023"/>
    <n v="8"/>
    <s v="Late"/>
    <n v="0"/>
    <n v="0"/>
  </r>
  <r>
    <x v="442"/>
    <d v="2024-08-22T00:00:00"/>
    <s v="Aug-2024"/>
    <x v="3"/>
    <d v="2024-09-04T00:00:00"/>
    <n v="13"/>
    <x v="3"/>
    <x v="6"/>
    <s v="Frankfurt"/>
    <s v="Europe &gt; Germany &gt; Frankfurt"/>
    <s v="Non-Profit"/>
    <x v="0"/>
    <x v="4"/>
    <x v="1"/>
    <s v="PRN-4892"/>
    <n v="90.04"/>
    <n v="194.62"/>
    <s v="Low"/>
    <n v="4.2999999999999997E-2"/>
    <n v="32"/>
    <n v="5960.04288"/>
    <n v="504641.83211000008"/>
    <n v="2881.28"/>
    <n v="3078.7628799999998"/>
    <n v="0.51656723650954672"/>
    <n v="202408"/>
    <n v="202301"/>
    <s v="Aug-2023"/>
    <n v="19"/>
    <s v="Late"/>
    <n v="0"/>
    <n v="0"/>
  </r>
  <r>
    <x v="443"/>
    <d v="2024-09-25T00:00:00"/>
    <s v="Sept-2024"/>
    <x v="3"/>
    <d v="2024-10-03T00:00:00"/>
    <n v="8"/>
    <x v="2"/>
    <x v="3"/>
    <s v="Toronto"/>
    <s v="Americas &gt; Canada &gt; Toronto"/>
    <s v="Consumer"/>
    <x v="1"/>
    <x v="6"/>
    <x v="1"/>
    <s v="PRN-9557"/>
    <n v="558.19000000000005"/>
    <n v="1031.6400000000001"/>
    <s v="Medium"/>
    <n v="0"/>
    <n v="21"/>
    <n v="21664.440000000002"/>
    <n v="504641.83211000008"/>
    <n v="11721.990000000002"/>
    <n v="9942.4500000000007"/>
    <n v="0.45892947152107322"/>
    <n v="202409"/>
    <n v="202301"/>
    <s v="Sept-2023"/>
    <n v="20"/>
    <s v="Late"/>
    <n v="0"/>
    <n v="0"/>
  </r>
  <r>
    <x v="444"/>
    <d v="2023-06-13T00:00:00"/>
    <s v="Jun-2023"/>
    <x v="2"/>
    <d v="2023-06-24T00:00:00"/>
    <n v="11"/>
    <x v="2"/>
    <x v="3"/>
    <s v="Toronto"/>
    <s v="Americas &gt; Canada &gt; Toronto"/>
    <s v="Corporate"/>
    <x v="1"/>
    <x v="0"/>
    <x v="1"/>
    <s v="PRN-8008"/>
    <n v="247.07"/>
    <n v="495.19"/>
    <s v="Low"/>
    <n v="2.8000000000000001E-2"/>
    <n v="4"/>
    <n v="1925.29872"/>
    <n v="504641.83211000008"/>
    <n v="988.28"/>
    <n v="937.01872000000003"/>
    <n v="0.48668744764968214"/>
    <n v="202306"/>
    <n v="202301"/>
    <s v="Jun-2023"/>
    <n v="5"/>
    <s v="Late"/>
    <n v="0"/>
    <n v="0"/>
  </r>
  <r>
    <x v="445"/>
    <d v="2023-12-24T00:00:00"/>
    <s v="Dec-2023"/>
    <x v="1"/>
    <d v="2024-01-13T00:00:00"/>
    <n v="20"/>
    <x v="1"/>
    <x v="2"/>
    <s v="Nagoya"/>
    <s v="Asia &gt; Japan &gt; Nagoya"/>
    <s v="Education"/>
    <x v="4"/>
    <x v="5"/>
    <x v="4"/>
    <s v="LAP-1946"/>
    <n v="625.37"/>
    <n v="1319.04"/>
    <s v="Medium"/>
    <n v="7.3999999999999996E-2"/>
    <n v="8"/>
    <n v="9771.4483199999995"/>
    <n v="504641.83211000008"/>
    <n v="5002.96"/>
    <n v="4768.4883199999995"/>
    <n v="0.48800220436513547"/>
    <n v="202312"/>
    <n v="202303"/>
    <s v="Dec-2023"/>
    <n v="9"/>
    <s v="Late"/>
    <n v="0"/>
    <n v="0"/>
  </r>
  <r>
    <x v="446"/>
    <d v="2025-03-30T00:00:00"/>
    <s v="Mar-2025"/>
    <x v="0"/>
    <d v="2025-04-29T00:00:00"/>
    <n v="30"/>
    <x v="0"/>
    <x v="11"/>
    <s v="Durban"/>
    <s v="Africa &gt; South Africa &gt; Durban"/>
    <s v="Consumer"/>
    <x v="2"/>
    <x v="1"/>
    <x v="5"/>
    <s v="MON-7106"/>
    <n v="194.6"/>
    <n v="314.87"/>
    <s v="Low"/>
    <n v="0.29299999999999998"/>
    <n v="25"/>
    <n v="5565.3272500000003"/>
    <n v="504641.83211000008"/>
    <n v="4865"/>
    <n v="700.32725000000028"/>
    <n v="0.1258375686712763"/>
    <n v="202503"/>
    <n v="202301"/>
    <s v="Mar-2023"/>
    <n v="26"/>
    <s v="Late"/>
    <n v="0"/>
    <n v="1"/>
  </r>
  <r>
    <x v="447"/>
    <d v="2024-06-03T00:00:00"/>
    <s v="Jun-2024"/>
    <x v="2"/>
    <d v="2024-06-24T00:00:00"/>
    <n v="21"/>
    <x v="2"/>
    <x v="3"/>
    <s v="Toronto"/>
    <s v="Americas &gt; Canada &gt; Toronto"/>
    <s v="Small Business"/>
    <x v="4"/>
    <x v="3"/>
    <x v="5"/>
    <s v="MON-5386"/>
    <n v="1205.5"/>
    <n v="2210.17"/>
    <s v="High"/>
    <n v="0.104"/>
    <n v="23"/>
    <n v="45547.183360000003"/>
    <n v="504641.83211000008"/>
    <n v="27726.5"/>
    <n v="17820.683360000003"/>
    <n v="0.39125763758314652"/>
    <n v="202406"/>
    <n v="202301"/>
    <s v="Jun-2023"/>
    <n v="17"/>
    <s v="Late"/>
    <n v="0"/>
    <n v="0"/>
  </r>
  <r>
    <x v="448"/>
    <d v="2024-06-11T00:00:00"/>
    <s v="Jun-2024"/>
    <x v="2"/>
    <d v="2024-07-09T00:00:00"/>
    <n v="28"/>
    <x v="0"/>
    <x v="1"/>
    <s v="Port Harcourt"/>
    <s v="Africa &gt; Nigeria &gt; Port Harcourt"/>
    <s v="Corporate"/>
    <x v="2"/>
    <x v="2"/>
    <x v="3"/>
    <s v="PHN-2436"/>
    <n v="895.54"/>
    <n v="1045"/>
    <s v="Medium"/>
    <n v="0.216"/>
    <n v="15"/>
    <n v="12289.2"/>
    <n v="504641.83211000008"/>
    <n v="13433.099999999999"/>
    <n v="-1143.8999999999978"/>
    <n v="-9.3081730299775234E-2"/>
    <n v="202406"/>
    <n v="202301"/>
    <s v="Jun-2023"/>
    <n v="17"/>
    <s v="Late"/>
    <n v="0"/>
    <n v="1"/>
  </r>
  <r>
    <x v="449"/>
    <d v="2023-07-22T00:00:00"/>
    <s v="Jul-2023"/>
    <x v="3"/>
    <d v="2023-07-23T00:00:00"/>
    <n v="1"/>
    <x v="1"/>
    <x v="4"/>
    <s v="Delhi"/>
    <s v="Asia &gt; India &gt; Delhi"/>
    <s v="Small Business"/>
    <x v="3"/>
    <x v="6"/>
    <x v="1"/>
    <s v="PRN-2301"/>
    <n v="946.99"/>
    <n v="2132.19"/>
    <s v="Medium"/>
    <n v="0.16500000000000001"/>
    <n v="7"/>
    <n v="12462.65055"/>
    <n v="504641.83211000008"/>
    <n v="6628.93"/>
    <n v="5833.72055"/>
    <n v="0.46809629513362228"/>
    <n v="202307"/>
    <n v="202301"/>
    <s v="Jul-2023"/>
    <n v="6"/>
    <s v="On Time"/>
    <n v="1"/>
    <n v="0"/>
  </r>
  <r>
    <x v="450"/>
    <d v="2023-01-19T00:00:00"/>
    <s v="Jan-2023"/>
    <x v="0"/>
    <d v="2023-02-03T00:00:00"/>
    <n v="15"/>
    <x v="3"/>
    <x v="8"/>
    <s v="London"/>
    <s v="Europe &gt; United Kingdom &gt; London"/>
    <s v="Enterprise"/>
    <x v="3"/>
    <x v="3"/>
    <x v="6"/>
    <s v="ACC-3645"/>
    <n v="873.06"/>
    <n v="2101.5500000000002"/>
    <s v="Medium"/>
    <n v="6.6000000000000003E-2"/>
    <n v="10"/>
    <n v="19628.476999999999"/>
    <n v="504641.83211000008"/>
    <n v="8730.5999999999985"/>
    <n v="10897.877"/>
    <n v="0.55520746719167269"/>
    <n v="202301"/>
    <n v="202301"/>
    <s v="Jan-2023"/>
    <n v="0"/>
    <s v="Late"/>
    <n v="0"/>
    <n v="0"/>
  </r>
  <r>
    <x v="451"/>
    <d v="2024-05-01T00:00:00"/>
    <s v="May-2024"/>
    <x v="2"/>
    <d v="2024-05-16T00:00:00"/>
    <n v="15"/>
    <x v="1"/>
    <x v="4"/>
    <s v="Bengaluru"/>
    <s v="Asia &gt; India &gt; Bengaluru"/>
    <s v="Small Business"/>
    <x v="0"/>
    <x v="4"/>
    <x v="0"/>
    <s v="CMP-6811"/>
    <n v="901.19"/>
    <n v="2125.44"/>
    <s v="Medium"/>
    <n v="7.0999999999999994E-2"/>
    <n v="12"/>
    <n v="23694.405119999999"/>
    <n v="504641.83211000008"/>
    <n v="10814.28"/>
    <n v="12880.125119999999"/>
    <n v="0.54359352154100415"/>
    <n v="202405"/>
    <n v="202301"/>
    <s v="May-2023"/>
    <n v="16"/>
    <s v="Late"/>
    <n v="0"/>
    <n v="0"/>
  </r>
  <r>
    <x v="452"/>
    <d v="2025-06-09T00:00:00"/>
    <s v="Jun-2025"/>
    <x v="2"/>
    <d v="2025-06-24T00:00:00"/>
    <n v="15"/>
    <x v="1"/>
    <x v="2"/>
    <s v="Nagoya"/>
    <s v="Asia &gt; Japan &gt; Nagoya"/>
    <s v="Corporate"/>
    <x v="4"/>
    <x v="5"/>
    <x v="3"/>
    <s v="PHN-5675"/>
    <n v="400.39"/>
    <n v="712.75"/>
    <s v="Low"/>
    <n v="0.115"/>
    <n v="19"/>
    <n v="11984.891250000001"/>
    <n v="480947.42699000012"/>
    <n v="7607.41"/>
    <n v="4377.4812500000007"/>
    <n v="0.36524997671547504"/>
    <n v="202506"/>
    <n v="202303"/>
    <s v="Jun-2023"/>
    <n v="27"/>
    <s v="Late"/>
    <n v="0"/>
    <n v="0"/>
  </r>
  <r>
    <x v="453"/>
    <d v="2023-05-24T00:00:00"/>
    <s v="May-2023"/>
    <x v="2"/>
    <d v="2023-06-21T00:00:00"/>
    <n v="28"/>
    <x v="2"/>
    <x v="10"/>
    <s v="Austin"/>
    <s v="Americas &gt; USA &gt; Austin"/>
    <s v="Small Business"/>
    <x v="2"/>
    <x v="3"/>
    <x v="5"/>
    <s v="MON-6882"/>
    <n v="813.97"/>
    <n v="1568.83"/>
    <s v="Medium"/>
    <n v="1.7000000000000001E-2"/>
    <n v="15"/>
    <n v="23132.398349999996"/>
    <n v="480947.42699000012"/>
    <n v="12209.550000000001"/>
    <n v="10922.848349999995"/>
    <n v="0.4721883215364911"/>
    <n v="202305"/>
    <n v="202301"/>
    <s v="May-2023"/>
    <n v="4"/>
    <s v="Late"/>
    <n v="0"/>
    <n v="0"/>
  </r>
  <r>
    <x v="454"/>
    <d v="2024-12-27T00:00:00"/>
    <s v="Dec-2024"/>
    <x v="1"/>
    <d v="2024-12-29T00:00:00"/>
    <n v="2"/>
    <x v="2"/>
    <x v="3"/>
    <s v="Vancouver"/>
    <s v="Americas &gt; Canada &gt; Vancouver"/>
    <s v="Enterprise"/>
    <x v="2"/>
    <x v="0"/>
    <x v="6"/>
    <s v="ACC-8620"/>
    <n v="1146.72"/>
    <n v="2074.34"/>
    <s v="High"/>
    <n v="0.111"/>
    <n v="8"/>
    <n v="14752.706080000002"/>
    <n v="480947.42699000012"/>
    <n v="9173.76"/>
    <n v="5578.9460800000015"/>
    <n v="0.37816425337472737"/>
    <n v="202412"/>
    <n v="202301"/>
    <s v="Dec-2023"/>
    <n v="23"/>
    <s v="On Time"/>
    <n v="1"/>
    <n v="0"/>
  </r>
  <r>
    <x v="455"/>
    <d v="2023-12-05T00:00:00"/>
    <s v="Dec-2023"/>
    <x v="1"/>
    <d v="2023-12-12T00:00:00"/>
    <n v="7"/>
    <x v="2"/>
    <x v="5"/>
    <s v="Brasília"/>
    <s v="Americas &gt; Brazil &gt; Brasília"/>
    <s v="Corporate"/>
    <x v="4"/>
    <x v="9"/>
    <x v="3"/>
    <s v="PHN-6506"/>
    <n v="307.43"/>
    <n v="495.19"/>
    <s v="Low"/>
    <n v="0"/>
    <n v="42"/>
    <n v="20797.98"/>
    <n v="480947.42699000012"/>
    <n v="12912.06"/>
    <n v="7885.92"/>
    <n v="0.37916759223732305"/>
    <n v="202312"/>
    <n v="202301"/>
    <s v="Dec-2023"/>
    <n v="11"/>
    <s v="On Time"/>
    <n v="1"/>
    <n v="0"/>
  </r>
  <r>
    <x v="456"/>
    <d v="2023-05-02T00:00:00"/>
    <s v="May-2023"/>
    <x v="2"/>
    <d v="2023-05-19T00:00:00"/>
    <n v="17"/>
    <x v="1"/>
    <x v="9"/>
    <s v="Shanghai"/>
    <s v="Asia &gt; China &gt; Shanghai"/>
    <s v="Non-Profit"/>
    <x v="4"/>
    <x v="1"/>
    <x v="5"/>
    <s v="MON-5086"/>
    <n v="714.28"/>
    <n v="757.59"/>
    <s v="Medium"/>
    <n v="0.13600000000000001"/>
    <n v="12"/>
    <n v="7854.6931199999999"/>
    <n v="480947.42699000012"/>
    <n v="8571.36"/>
    <n v="-716.66688000000067"/>
    <n v="-9.1240595787910383E-2"/>
    <n v="202305"/>
    <n v="202301"/>
    <s v="May-2023"/>
    <n v="4"/>
    <s v="Late"/>
    <n v="0"/>
    <n v="0"/>
  </r>
  <r>
    <x v="457"/>
    <d v="2023-11-30T00:00:00"/>
    <s v="Nov-2023"/>
    <x v="1"/>
    <d v="2023-12-10T00:00:00"/>
    <n v="10"/>
    <x v="3"/>
    <x v="6"/>
    <s v="Munich"/>
    <s v="Europe &gt; Germany &gt; Munich"/>
    <s v="Small Business"/>
    <x v="4"/>
    <x v="9"/>
    <x v="4"/>
    <s v="LAP-4899"/>
    <n v="174.74"/>
    <n v="415.96"/>
    <s v="Low"/>
    <n v="0.125"/>
    <n v="21"/>
    <n v="7643.2649999999994"/>
    <n v="480947.42699000012"/>
    <n v="3669.54"/>
    <n v="3973.7249999999995"/>
    <n v="0.51989889137691803"/>
    <n v="202311"/>
    <n v="202301"/>
    <s v="Nov-2023"/>
    <n v="10"/>
    <s v="Late"/>
    <n v="0"/>
    <n v="0"/>
  </r>
  <r>
    <x v="458"/>
    <d v="2024-05-05T00:00:00"/>
    <s v="May-2024"/>
    <x v="2"/>
    <d v="2024-05-18T00:00:00"/>
    <n v="13"/>
    <x v="3"/>
    <x v="7"/>
    <s v="Marseille"/>
    <s v="Europe &gt; France &gt; Marseille"/>
    <s v="Corporate"/>
    <x v="2"/>
    <x v="8"/>
    <x v="0"/>
    <s v="CMP-3313"/>
    <n v="1264.04"/>
    <n v="1870.89"/>
    <s v="High"/>
    <n v="0"/>
    <n v="13"/>
    <n v="24321.57"/>
    <n v="480947.42699000012"/>
    <n v="16432.52"/>
    <n v="7889.0499999999993"/>
    <n v="0.32436433996653996"/>
    <n v="202405"/>
    <n v="202301"/>
    <s v="May-2023"/>
    <n v="16"/>
    <s v="Late"/>
    <n v="0"/>
    <n v="0"/>
  </r>
  <r>
    <x v="459"/>
    <d v="2023-07-09T00:00:00"/>
    <s v="Jul-2023"/>
    <x v="3"/>
    <d v="2023-07-19T00:00:00"/>
    <n v="10"/>
    <x v="1"/>
    <x v="2"/>
    <s v="Tokyo"/>
    <s v="Asia &gt; Japan &gt; Tokyo"/>
    <s v="Enterprise"/>
    <x v="3"/>
    <x v="13"/>
    <x v="0"/>
    <s v="CMP-6649"/>
    <n v="141.26"/>
    <n v="206.88"/>
    <s v="Low"/>
    <n v="0.107"/>
    <n v="9"/>
    <n v="1662.6945600000001"/>
    <n v="456625.85699000012"/>
    <n v="1271.3399999999999"/>
    <n v="391.35456000000022"/>
    <n v="0.23537369365062469"/>
    <n v="202307"/>
    <n v="202303"/>
    <s v="Jul-2023"/>
    <n v="4"/>
    <s v="Late"/>
    <n v="0"/>
    <n v="0"/>
  </r>
  <r>
    <x v="460"/>
    <d v="2023-05-17T00:00:00"/>
    <s v="May-2023"/>
    <x v="2"/>
    <d v="2023-06-15T00:00:00"/>
    <n v="29"/>
    <x v="0"/>
    <x v="11"/>
    <s v="Durban"/>
    <s v="Africa &gt; South Africa &gt; Durban"/>
    <s v="Enterprise"/>
    <x v="0"/>
    <x v="11"/>
    <x v="6"/>
    <s v="ACC-5206"/>
    <n v="40.89"/>
    <n v="62.82"/>
    <s v="Low"/>
    <n v="0.129"/>
    <n v="17"/>
    <n v="930.17574000000002"/>
    <n v="454963.16243000008"/>
    <n v="695.13"/>
    <n v="235.04574000000002"/>
    <n v="0.25268960465470752"/>
    <n v="202305"/>
    <n v="202301"/>
    <s v="May-2023"/>
    <n v="4"/>
    <s v="Late"/>
    <n v="0"/>
    <n v="0"/>
  </r>
  <r>
    <x v="461"/>
    <d v="2024-03-07T00:00:00"/>
    <s v="Mar-2024"/>
    <x v="0"/>
    <d v="2024-04-03T00:00:00"/>
    <n v="27"/>
    <x v="3"/>
    <x v="6"/>
    <s v="Frankfurt"/>
    <s v="Europe &gt; Germany &gt; Frankfurt"/>
    <s v="Corporate"/>
    <x v="4"/>
    <x v="12"/>
    <x v="1"/>
    <s v="PRN-6911"/>
    <n v="738.16"/>
    <n v="956.49"/>
    <s v="Medium"/>
    <n v="0.152"/>
    <n v="5"/>
    <n v="4055.5175999999997"/>
    <n v="454963.16243000008"/>
    <n v="3690.7999999999997"/>
    <n v="364.71759999999995"/>
    <n v="8.9931208780847108E-2"/>
    <n v="202403"/>
    <n v="202301"/>
    <s v="Mar-2023"/>
    <n v="14"/>
    <s v="Late"/>
    <n v="0"/>
    <n v="0"/>
  </r>
  <r>
    <x v="462"/>
    <d v="2025-04-10T00:00:00"/>
    <s v="Apr-2025"/>
    <x v="2"/>
    <d v="2025-04-19T00:00:00"/>
    <n v="9"/>
    <x v="0"/>
    <x v="11"/>
    <s v="Durban"/>
    <s v="Africa &gt; South Africa &gt; Durban"/>
    <s v="Enterprise"/>
    <x v="5"/>
    <x v="3"/>
    <x v="2"/>
    <s v="NET-5270"/>
    <n v="113.74"/>
    <n v="165.7"/>
    <s v="Low"/>
    <n v="0.124"/>
    <n v="13"/>
    <n v="1886.9915999999998"/>
    <n v="454963.16243000008"/>
    <n v="1478.62"/>
    <n v="408.37159999999994"/>
    <n v="0.21641410592394794"/>
    <n v="202504"/>
    <n v="202301"/>
    <s v="Apr-2023"/>
    <n v="27"/>
    <s v="Late"/>
    <n v="0"/>
    <n v="0"/>
  </r>
  <r>
    <x v="463"/>
    <d v="2025-07-27T00:00:00"/>
    <s v="Jul-2025"/>
    <x v="3"/>
    <d v="2025-08-15T00:00:00"/>
    <n v="19"/>
    <x v="1"/>
    <x v="2"/>
    <s v="Tokyo"/>
    <s v="Asia &gt; Japan &gt; Tokyo"/>
    <s v="Small Business"/>
    <x v="2"/>
    <x v="1"/>
    <x v="0"/>
    <s v="CMP-5658"/>
    <n v="275.43"/>
    <n v="608.36"/>
    <s v="Low"/>
    <n v="0.25700000000000001"/>
    <n v="4"/>
    <n v="1808.04592"/>
    <n v="454963.16243000008"/>
    <n v="1101.72"/>
    <n v="706.32592"/>
    <n v="0.39065706915231446"/>
    <n v="202507"/>
    <n v="202303"/>
    <s v="Jul-2023"/>
    <n v="28"/>
    <s v="Late"/>
    <n v="0"/>
    <n v="1"/>
  </r>
  <r>
    <x v="464"/>
    <d v="2024-11-22T00:00:00"/>
    <s v="Nov-2024"/>
    <x v="1"/>
    <d v="2024-12-15T00:00:00"/>
    <n v="23"/>
    <x v="0"/>
    <x v="0"/>
    <s v="Mombasa"/>
    <s v="Africa &gt; Kenya &gt; Mombasa"/>
    <s v="Non-Profit"/>
    <x v="3"/>
    <x v="0"/>
    <x v="0"/>
    <s v="CMP-3938"/>
    <n v="1335.76"/>
    <n v="2665.91"/>
    <s v="High"/>
    <n v="0.21099999999999999"/>
    <n v="40"/>
    <n v="84136.119600000005"/>
    <n v="453155.11651000002"/>
    <n v="53430.400000000001"/>
    <n v="30705.719600000004"/>
    <n v="0.36495288522909253"/>
    <n v="202411"/>
    <n v="202301"/>
    <s v="Nov-2023"/>
    <n v="22"/>
    <s v="Late"/>
    <n v="0"/>
    <n v="1"/>
  </r>
  <r>
    <x v="465"/>
    <d v="2024-06-23T00:00:00"/>
    <s v="Jun-2024"/>
    <x v="2"/>
    <d v="2024-06-28T00:00:00"/>
    <n v="5"/>
    <x v="0"/>
    <x v="1"/>
    <s v="Port Harcourt"/>
    <s v="Africa &gt; Nigeria &gt; Port Harcourt"/>
    <s v="Non-Profit"/>
    <x v="4"/>
    <x v="12"/>
    <x v="6"/>
    <s v="ACC-7671"/>
    <n v="242.31"/>
    <n v="587.95000000000005"/>
    <s v="Low"/>
    <n v="0.22900000000000001"/>
    <n v="6"/>
    <n v="2719.8567000000003"/>
    <n v="369018.99690999999"/>
    <n v="1453.8600000000001"/>
    <n v="1265.9967000000001"/>
    <n v="0.46546448568411714"/>
    <n v="202406"/>
    <n v="202301"/>
    <s v="Jun-2023"/>
    <n v="17"/>
    <s v="On Time"/>
    <n v="1"/>
    <n v="1"/>
  </r>
  <r>
    <x v="466"/>
    <d v="2023-12-18T00:00:00"/>
    <s v="Dec-2023"/>
    <x v="1"/>
    <d v="2024-01-14T00:00:00"/>
    <n v="27"/>
    <x v="1"/>
    <x v="4"/>
    <s v="Mumbai"/>
    <s v="Asia &gt; India &gt; Mumbai"/>
    <s v="Consumer"/>
    <x v="3"/>
    <x v="14"/>
    <x v="2"/>
    <s v="NET-6014"/>
    <n v="1408.3"/>
    <n v="2193.13"/>
    <s v="High"/>
    <n v="7.0999999999999994E-2"/>
    <n v="7"/>
    <n v="14261.92439"/>
    <n v="369018.99690999999"/>
    <n v="9858.1"/>
    <n v="4403.8243899999998"/>
    <n v="0.30878191957656281"/>
    <n v="202312"/>
    <n v="202301"/>
    <s v="Dec-2023"/>
    <n v="11"/>
    <s v="Late"/>
    <n v="0"/>
    <n v="0"/>
  </r>
  <r>
    <x v="467"/>
    <d v="2025-06-01T00:00:00"/>
    <s v="Jun-2025"/>
    <x v="2"/>
    <d v="2025-06-05T00:00:00"/>
    <n v="4"/>
    <x v="3"/>
    <x v="6"/>
    <s v="Munich"/>
    <s v="Europe &gt; Germany &gt; Munich"/>
    <s v="Enterprise"/>
    <x v="4"/>
    <x v="12"/>
    <x v="0"/>
    <s v="CMP-4159"/>
    <n v="1171.42"/>
    <n v="2187.8000000000002"/>
    <s v="High"/>
    <n v="0.23"/>
    <n v="15"/>
    <n v="25269.09"/>
    <n v="369018.99690999999"/>
    <n v="17571.300000000003"/>
    <n v="7697.7899999999972"/>
    <n v="0.30463265594447592"/>
    <n v="202506"/>
    <n v="202301"/>
    <s v="Jun-2023"/>
    <n v="29"/>
    <s v="On Time"/>
    <n v="1"/>
    <n v="1"/>
  </r>
  <r>
    <x v="468"/>
    <d v="2025-03-23T00:00:00"/>
    <s v="Mar-2025"/>
    <x v="0"/>
    <d v="2025-04-02T00:00:00"/>
    <n v="10"/>
    <x v="3"/>
    <x v="6"/>
    <s v="Berlin"/>
    <s v="Europe &gt; Germany &gt; Berlin"/>
    <s v="Enterprise"/>
    <x v="1"/>
    <x v="6"/>
    <x v="1"/>
    <s v="PRN-3159"/>
    <n v="663.61"/>
    <n v="1002.11"/>
    <s v="Medium"/>
    <n v="4.5999999999999999E-2"/>
    <n v="17"/>
    <n v="16252.219979999998"/>
    <n v="343749.90690999996"/>
    <n v="11281.37"/>
    <n v="4970.8499799999972"/>
    <n v="0.30585667595670812"/>
    <n v="202503"/>
    <n v="202301"/>
    <s v="Mar-2023"/>
    <n v="26"/>
    <s v="Late"/>
    <n v="0"/>
    <n v="0"/>
  </r>
  <r>
    <x v="469"/>
    <d v="2023-05-14T00:00:00"/>
    <s v="May-2023"/>
    <x v="2"/>
    <d v="2023-05-22T00:00:00"/>
    <n v="8"/>
    <x v="0"/>
    <x v="0"/>
    <s v="Mombasa"/>
    <s v="Africa &gt; Kenya &gt; Mombasa"/>
    <s v="Small Business"/>
    <x v="3"/>
    <x v="9"/>
    <x v="1"/>
    <s v="PRN-9488"/>
    <n v="432.01"/>
    <n v="913.78"/>
    <s v="Low"/>
    <n v="4.9000000000000002E-2"/>
    <n v="12"/>
    <n v="10428.057360000001"/>
    <n v="343749.90690999996"/>
    <n v="5184.12"/>
    <n v="5243.9373600000008"/>
    <n v="0.50286809699711899"/>
    <n v="202305"/>
    <n v="202301"/>
    <s v="May-2023"/>
    <n v="4"/>
    <s v="Late"/>
    <n v="0"/>
    <n v="0"/>
  </r>
  <r>
    <x v="470"/>
    <d v="2023-08-29T00:00:00"/>
    <s v="Aug-2023"/>
    <x v="3"/>
    <d v="2023-09-19T00:00:00"/>
    <n v="21"/>
    <x v="3"/>
    <x v="7"/>
    <s v="Lyon"/>
    <s v="Europe &gt; France &gt; Lyon"/>
    <s v="Small Business"/>
    <x v="4"/>
    <x v="5"/>
    <x v="1"/>
    <s v="PRN-7079"/>
    <n v="784.46"/>
    <n v="1843.51"/>
    <s v="Medium"/>
    <n v="0.13800000000000001"/>
    <n v="23"/>
    <n v="36549.429260000004"/>
    <n v="343749.90690999996"/>
    <n v="18042.580000000002"/>
    <n v="18506.849260000003"/>
    <n v="0.50635125184441798"/>
    <n v="202308"/>
    <n v="202301"/>
    <s v="Aug-2023"/>
    <n v="7"/>
    <s v="Late"/>
    <n v="0"/>
    <n v="0"/>
  </r>
  <r>
    <x v="471"/>
    <d v="2025-07-03T00:00:00"/>
    <s v="Jul-2025"/>
    <x v="3"/>
    <d v="2025-07-23T00:00:00"/>
    <n v="20"/>
    <x v="1"/>
    <x v="9"/>
    <s v="Beijing"/>
    <s v="Asia &gt; China &gt; Beijing"/>
    <s v="Small Business"/>
    <x v="1"/>
    <x v="12"/>
    <x v="0"/>
    <s v="CMP-1220"/>
    <n v="647.36"/>
    <n v="1383.6"/>
    <s v="Medium"/>
    <n v="7.3999999999999996E-2"/>
    <n v="12"/>
    <n v="15374.563199999999"/>
    <n v="343749.90690999996"/>
    <n v="7768.32"/>
    <n v="7606.243199999999"/>
    <n v="0.49472906000997802"/>
    <n v="202507"/>
    <n v="202301"/>
    <s v="Jul-2023"/>
    <n v="30"/>
    <s v="Late"/>
    <n v="0"/>
    <n v="0"/>
  </r>
  <r>
    <x v="472"/>
    <d v="2024-02-06T00:00:00"/>
    <s v="Feb-2024"/>
    <x v="0"/>
    <d v="2024-02-28T00:00:00"/>
    <n v="22"/>
    <x v="0"/>
    <x v="0"/>
    <s v="Kisumu"/>
    <s v="Africa &gt; Kenya &gt; Kisumu"/>
    <s v="Non-Profit"/>
    <x v="1"/>
    <x v="11"/>
    <x v="5"/>
    <s v="MON-2462"/>
    <n v="834.93"/>
    <n v="1588.53"/>
    <s v="Medium"/>
    <n v="0.126"/>
    <n v="6"/>
    <n v="8330.2513199999994"/>
    <n v="328375.34370999999"/>
    <n v="5009.58"/>
    <n v="3320.6713199999995"/>
    <n v="0.39862798761274343"/>
    <n v="202402"/>
    <n v="202301"/>
    <s v="Feb-2023"/>
    <n v="13"/>
    <s v="Late"/>
    <n v="0"/>
    <n v="0"/>
  </r>
  <r>
    <x v="473"/>
    <d v="2025-08-13T00:00:00"/>
    <s v="Aug-2025"/>
    <x v="3"/>
    <d v="2025-09-03T00:00:00"/>
    <n v="21"/>
    <x v="3"/>
    <x v="7"/>
    <s v="Paris"/>
    <s v="Europe &gt; France &gt; Paris"/>
    <s v="Education"/>
    <x v="0"/>
    <x v="2"/>
    <x v="3"/>
    <s v="PHN-9465"/>
    <n v="603.47"/>
    <n v="1344.05"/>
    <s v="Medium"/>
    <n v="0.20499999999999999"/>
    <n v="18"/>
    <n v="19233.355499999998"/>
    <n v="328375.34370999999"/>
    <n v="10862.460000000001"/>
    <n v="8370.8954999999969"/>
    <n v="0.43522803392262976"/>
    <n v="202508"/>
    <n v="202301"/>
    <s v="Aug-2023"/>
    <n v="31"/>
    <s v="Late"/>
    <n v="0"/>
    <n v="1"/>
  </r>
  <r>
    <x v="474"/>
    <d v="2023-05-23T00:00:00"/>
    <s v="May-2023"/>
    <x v="2"/>
    <d v="2023-05-25T00:00:00"/>
    <n v="2"/>
    <x v="2"/>
    <x v="5"/>
    <s v="Rio de Janeiro"/>
    <s v="Americas &gt; Brazil &gt; Rio de Janeiro"/>
    <s v="Enterprise"/>
    <x v="0"/>
    <x v="12"/>
    <x v="1"/>
    <s v="PRN-1271"/>
    <n v="690.49"/>
    <n v="1290.29"/>
    <s v="Medium"/>
    <n v="4.2000000000000003E-2"/>
    <n v="22"/>
    <n v="27194.152039999997"/>
    <n v="328375.34370999999"/>
    <n v="15190.78"/>
    <n v="12003.372039999997"/>
    <n v="0.44139534199647718"/>
    <n v="202305"/>
    <n v="202301"/>
    <s v="May-2023"/>
    <n v="4"/>
    <s v="On Time"/>
    <n v="1"/>
    <n v="0"/>
  </r>
  <r>
    <x v="475"/>
    <d v="2024-05-10T00:00:00"/>
    <s v="May-2024"/>
    <x v="2"/>
    <d v="2024-05-16T00:00:00"/>
    <n v="6"/>
    <x v="3"/>
    <x v="8"/>
    <s v="Birmingham"/>
    <s v="Europe &gt; United Kingdom &gt; Birmingham"/>
    <s v="Non-Profit"/>
    <x v="4"/>
    <x v="3"/>
    <x v="4"/>
    <s v="LAP-1066"/>
    <n v="210.76"/>
    <n v="221.58"/>
    <s v="Low"/>
    <n v="8.8999999999999996E-2"/>
    <n v="5"/>
    <n v="1009.2969000000002"/>
    <n v="328375.34370999999"/>
    <n v="1053.8"/>
    <n v="-44.50309999999979"/>
    <n v="-4.4093170205912434E-2"/>
    <n v="202405"/>
    <n v="202301"/>
    <s v="May-2023"/>
    <n v="16"/>
    <s v="On Time"/>
    <n v="1"/>
    <n v="0"/>
  </r>
  <r>
    <x v="476"/>
    <d v="2023-03-14T00:00:00"/>
    <s v="Mar-2023"/>
    <x v="0"/>
    <d v="2023-03-18T00:00:00"/>
    <n v="4"/>
    <x v="3"/>
    <x v="6"/>
    <s v="Frankfurt"/>
    <s v="Europe &gt; Germany &gt; Frankfurt"/>
    <s v="Enterprise"/>
    <x v="4"/>
    <x v="8"/>
    <x v="0"/>
    <s v="CMP-8675"/>
    <n v="472.33"/>
    <n v="360.34"/>
    <s v="Low"/>
    <n v="0.16500000000000001"/>
    <n v="14"/>
    <n v="4212.3745999999992"/>
    <n v="328375.34370999999"/>
    <n v="6612.62"/>
    <n v="-2400.2454000000007"/>
    <n v="-0.56980815523861561"/>
    <n v="202303"/>
    <n v="202301"/>
    <s v="Mar-2023"/>
    <n v="2"/>
    <s v="On Time"/>
    <n v="1"/>
    <n v="0"/>
  </r>
  <r>
    <x v="477"/>
    <d v="2023-07-16T00:00:00"/>
    <s v="Jul-2023"/>
    <x v="3"/>
    <d v="2023-08-13T00:00:00"/>
    <n v="28"/>
    <x v="3"/>
    <x v="8"/>
    <s v="Manchester"/>
    <s v="Europe &gt; United Kingdom &gt; Manchester"/>
    <s v="Non-Profit"/>
    <x v="1"/>
    <x v="1"/>
    <x v="4"/>
    <s v="LAP-1178"/>
    <n v="1039.03"/>
    <n v="2545.81"/>
    <s v="High"/>
    <n v="0.216"/>
    <n v="21"/>
    <n v="41914.215840000004"/>
    <n v="324162.96910999995"/>
    <n v="21819.63"/>
    <n v="20094.585840000003"/>
    <n v="0.47942172929364774"/>
    <n v="202307"/>
    <n v="202301"/>
    <s v="Jul-2023"/>
    <n v="6"/>
    <s v="Late"/>
    <n v="0"/>
    <n v="1"/>
  </r>
  <r>
    <x v="478"/>
    <d v="2023-04-16T00:00:00"/>
    <s v="Apr-2023"/>
    <x v="2"/>
    <d v="2023-04-19T00:00:00"/>
    <n v="3"/>
    <x v="3"/>
    <x v="6"/>
    <s v="Munich"/>
    <s v="Europe &gt; Germany &gt; Munich"/>
    <s v="Corporate"/>
    <x v="4"/>
    <x v="5"/>
    <x v="6"/>
    <s v="ACC-1731"/>
    <n v="553.61"/>
    <n v="699.47"/>
    <s v="Medium"/>
    <n v="0.02"/>
    <n v="33"/>
    <n v="22620.859800000002"/>
    <n v="324162.96910999995"/>
    <n v="18269.13"/>
    <n v="4351.729800000001"/>
    <n v="0.19237685209472014"/>
    <n v="202304"/>
    <n v="202301"/>
    <s v="Apr-2023"/>
    <n v="3"/>
    <s v="On Time"/>
    <n v="1"/>
    <n v="0"/>
  </r>
  <r>
    <x v="479"/>
    <d v="2024-01-02T00:00:00"/>
    <s v="Jan-2024"/>
    <x v="0"/>
    <d v="2024-01-15T00:00:00"/>
    <n v="13"/>
    <x v="1"/>
    <x v="2"/>
    <s v="Nagoya"/>
    <s v="Asia &gt; Japan &gt; Nagoya"/>
    <s v="Small Business"/>
    <x v="2"/>
    <x v="3"/>
    <x v="2"/>
    <s v="NET-1893"/>
    <n v="1219.06"/>
    <n v="2738.69"/>
    <s v="High"/>
    <n v="7.5999999999999998E-2"/>
    <n v="16"/>
    <n v="40488.792960000006"/>
    <n v="324162.96910999995"/>
    <n v="19504.96"/>
    <n v="20983.832960000007"/>
    <n v="0.51826274447673737"/>
    <n v="202401"/>
    <n v="202303"/>
    <s v="Jan-2023"/>
    <n v="10"/>
    <s v="Late"/>
    <n v="0"/>
    <n v="0"/>
  </r>
  <r>
    <x v="480"/>
    <d v="2024-09-03T00:00:00"/>
    <s v="Sept-2024"/>
    <x v="3"/>
    <d v="2024-09-07T00:00:00"/>
    <n v="4"/>
    <x v="1"/>
    <x v="2"/>
    <s v="Tokyo"/>
    <s v="Asia &gt; Japan &gt; Tokyo"/>
    <s v="Small Business"/>
    <x v="3"/>
    <x v="13"/>
    <x v="1"/>
    <s v="PRN-3917"/>
    <n v="43.23"/>
    <n v="94.78"/>
    <s v="Low"/>
    <n v="9.0999999999999998E-2"/>
    <n v="55"/>
    <n v="4738.5261"/>
    <n v="324162.96910999995"/>
    <n v="2377.6499999999996"/>
    <n v="2360.8761000000004"/>
    <n v="0.49823005090127082"/>
    <n v="202409"/>
    <n v="202303"/>
    <s v="Sept-2023"/>
    <n v="18"/>
    <s v="On Time"/>
    <n v="1"/>
    <n v="0"/>
  </r>
  <r>
    <x v="481"/>
    <d v="2025-08-30T00:00:00"/>
    <s v="Aug-2025"/>
    <x v="3"/>
    <d v="2025-09-03T00:00:00"/>
    <n v="4"/>
    <x v="3"/>
    <x v="7"/>
    <s v="Marseille"/>
    <s v="Europe &gt; France &gt; Marseille"/>
    <s v="Small Business"/>
    <x v="2"/>
    <x v="1"/>
    <x v="4"/>
    <s v="LAP-3220"/>
    <n v="1286.56"/>
    <n v="2777.35"/>
    <s v="High"/>
    <n v="0.13200000000000001"/>
    <n v="15"/>
    <n v="36161.097000000002"/>
    <n v="324162.96910999995"/>
    <n v="19298.399999999998"/>
    <n v="16862.697000000004"/>
    <n v="0.46632150014696744"/>
    <n v="202508"/>
    <n v="202301"/>
    <s v="Aug-2023"/>
    <n v="31"/>
    <s v="On Time"/>
    <n v="1"/>
    <n v="0"/>
  </r>
  <r>
    <x v="482"/>
    <d v="2025-04-28T00:00:00"/>
    <s v="Apr-2025"/>
    <x v="2"/>
    <d v="2025-05-19T00:00:00"/>
    <n v="21"/>
    <x v="3"/>
    <x v="6"/>
    <s v="Berlin"/>
    <s v="Europe &gt; Germany &gt; Berlin"/>
    <s v="Corporate"/>
    <x v="3"/>
    <x v="5"/>
    <x v="3"/>
    <s v="PHN-2462"/>
    <n v="350.76"/>
    <n v="492.18"/>
    <s v="Low"/>
    <n v="5.2999999999999999E-2"/>
    <n v="11"/>
    <n v="5127.0390600000001"/>
    <n v="324162.96910999995"/>
    <n v="3858.3599999999997"/>
    <n v="1268.6790600000004"/>
    <n v="0.24744868239798437"/>
    <n v="202504"/>
    <n v="202301"/>
    <s v="Apr-2023"/>
    <n v="27"/>
    <s v="Late"/>
    <n v="0"/>
    <n v="0"/>
  </r>
  <r>
    <x v="483"/>
    <d v="2023-08-10T00:00:00"/>
    <s v="Aug-2023"/>
    <x v="3"/>
    <d v="2023-08-15T00:00:00"/>
    <n v="5"/>
    <x v="2"/>
    <x v="5"/>
    <s v="São Paulo"/>
    <s v="Americas &gt; Brazil &gt; São Paulo"/>
    <s v="Education"/>
    <x v="4"/>
    <x v="3"/>
    <x v="2"/>
    <s v="NET-2894"/>
    <n v="1307.52"/>
    <n v="1921.65"/>
    <s v="High"/>
    <n v="0.123"/>
    <n v="13"/>
    <n v="21908.731650000002"/>
    <n v="324162.96910999995"/>
    <n v="16997.759999999998"/>
    <n v="4910.9716500000031"/>
    <n v="0.22415590863289445"/>
    <n v="202308"/>
    <n v="202301"/>
    <s v="Aug-2023"/>
    <n v="7"/>
    <s v="On Time"/>
    <n v="1"/>
    <n v="0"/>
  </r>
  <r>
    <x v="484"/>
    <d v="2024-12-08T00:00:00"/>
    <s v="Dec-2024"/>
    <x v="1"/>
    <d v="2024-12-08T00:00:00"/>
    <n v="0"/>
    <x v="3"/>
    <x v="7"/>
    <s v="Lyon"/>
    <s v="Europe &gt; France &gt; Lyon"/>
    <s v="Enterprise"/>
    <x v="0"/>
    <x v="10"/>
    <x v="0"/>
    <s v="CMP-2335"/>
    <n v="257.44"/>
    <n v="290.33"/>
    <s v="Low"/>
    <n v="9.1999999999999998E-2"/>
    <n v="23"/>
    <n v="6063.2517199999993"/>
    <n v="324162.96910999995"/>
    <n v="5921.12"/>
    <n v="142.1317199999994"/>
    <n v="2.3441500792581216E-2"/>
    <n v="202412"/>
    <n v="202301"/>
    <s v="Dec-2023"/>
    <n v="23"/>
    <s v="On Time"/>
    <n v="1"/>
    <n v="0"/>
  </r>
  <r>
    <x v="485"/>
    <d v="2023-10-25T00:00:00"/>
    <s v="Oct-2023"/>
    <x v="1"/>
    <d v="2023-11-24T00:00:00"/>
    <n v="30"/>
    <x v="3"/>
    <x v="7"/>
    <s v="Paris"/>
    <s v="Europe &gt; France &gt; Paris"/>
    <s v="Enterprise"/>
    <x v="3"/>
    <x v="0"/>
    <x v="3"/>
    <s v="PHN-5938"/>
    <n v="287.85000000000002"/>
    <n v="602.91999999999996"/>
    <s v="Low"/>
    <n v="0.222"/>
    <n v="11"/>
    <n v="5159.7893599999998"/>
    <n v="318099.71739000001"/>
    <n v="3166.3500000000004"/>
    <n v="1993.4393599999994"/>
    <n v="0.38634122847216373"/>
    <n v="202310"/>
    <n v="202301"/>
    <s v="Oct-2023"/>
    <n v="9"/>
    <s v="Late"/>
    <n v="0"/>
    <n v="1"/>
  </r>
  <r>
    <x v="486"/>
    <d v="2024-11-17T00:00:00"/>
    <s v="Nov-2024"/>
    <x v="1"/>
    <d v="2024-11-28T00:00:00"/>
    <n v="11"/>
    <x v="2"/>
    <x v="3"/>
    <s v="Not Provided"/>
    <s v="Americas &gt; Canada &gt; Not Provided"/>
    <s v="Consumer"/>
    <x v="3"/>
    <x v="8"/>
    <x v="1"/>
    <s v="PRN-1371"/>
    <n v="1008.16"/>
    <n v="2077.5"/>
    <s v="High"/>
    <n v="7.3999999999999996E-2"/>
    <n v="15"/>
    <n v="28856.475000000002"/>
    <n v="318099.71739000001"/>
    <n v="15122.4"/>
    <n v="13734.075000000003"/>
    <n v="0.47594430712691005"/>
    <n v="202411"/>
    <n v="202301"/>
    <s v="Nov-2023"/>
    <n v="22"/>
    <s v="Late"/>
    <n v="0"/>
    <n v="0"/>
  </r>
  <r>
    <x v="487"/>
    <d v="2024-05-12T00:00:00"/>
    <s v="May-2024"/>
    <x v="2"/>
    <d v="2024-05-24T00:00:00"/>
    <n v="12"/>
    <x v="3"/>
    <x v="8"/>
    <s v="Manchester"/>
    <s v="Europe &gt; United Kingdom &gt; Manchester"/>
    <s v="Education"/>
    <x v="2"/>
    <x v="11"/>
    <x v="1"/>
    <s v="PRN-5813"/>
    <n v="111.02"/>
    <n v="172.88"/>
    <s v="Low"/>
    <n v="0.19700000000000001"/>
    <n v="29"/>
    <n v="4025.8565599999993"/>
    <n v="318099.71739000001"/>
    <n v="3219.58"/>
    <n v="806.27655999999934"/>
    <n v="0.20027453735212053"/>
    <n v="202405"/>
    <n v="202301"/>
    <s v="May-2023"/>
    <n v="16"/>
    <s v="Late"/>
    <n v="0"/>
    <n v="0"/>
  </r>
  <r>
    <x v="488"/>
    <d v="2025-05-15T00:00:00"/>
    <s v="May-2025"/>
    <x v="2"/>
    <d v="2025-06-05T00:00:00"/>
    <n v="21"/>
    <x v="1"/>
    <x v="2"/>
    <s v="Osaka"/>
    <s v="Asia &gt; Japan &gt; Osaka"/>
    <s v="Enterprise"/>
    <x v="4"/>
    <x v="10"/>
    <x v="3"/>
    <s v="PHN-6480"/>
    <n v="1466.5"/>
    <n v="2778.74"/>
    <s v="High"/>
    <n v="0.13500000000000001"/>
    <n v="4"/>
    <n v="9614.4403999999995"/>
    <n v="318099.71739000001"/>
    <n v="5866"/>
    <n v="3748.4403999999995"/>
    <n v="0.38987608680792279"/>
    <n v="202505"/>
    <n v="202303"/>
    <s v="May-2023"/>
    <n v="26"/>
    <s v="Late"/>
    <n v="0"/>
    <n v="0"/>
  </r>
  <r>
    <x v="489"/>
    <d v="2024-04-21T00:00:00"/>
    <s v="Apr-2024"/>
    <x v="2"/>
    <d v="2024-05-19T00:00:00"/>
    <n v="28"/>
    <x v="0"/>
    <x v="1"/>
    <s v="Lagos"/>
    <s v="Africa &gt; Nigeria &gt; Lagos"/>
    <s v="Corporate"/>
    <x v="3"/>
    <x v="8"/>
    <x v="6"/>
    <s v="ACC-2990"/>
    <n v="187.22"/>
    <n v="309.47000000000003"/>
    <s v="Low"/>
    <n v="0"/>
    <n v="5"/>
    <n v="1547.3500000000001"/>
    <n v="318099.71739000001"/>
    <n v="936.1"/>
    <n v="611.25000000000011"/>
    <n v="0.39503021294471197"/>
    <n v="202404"/>
    <n v="202301"/>
    <s v="Apr-2023"/>
    <n v="15"/>
    <s v="Late"/>
    <n v="0"/>
    <n v="0"/>
  </r>
  <r>
    <x v="490"/>
    <d v="2024-08-19T00:00:00"/>
    <s v="Aug-2024"/>
    <x v="3"/>
    <d v="2024-09-07T00:00:00"/>
    <n v="19"/>
    <x v="3"/>
    <x v="7"/>
    <s v="Lyon"/>
    <s v="Europe &gt; France &gt; Lyon"/>
    <s v="Corporate"/>
    <x v="4"/>
    <x v="1"/>
    <x v="0"/>
    <s v="CMP-5435"/>
    <n v="297.58999999999997"/>
    <n v="666.41"/>
    <s v="Low"/>
    <n v="0"/>
    <n v="10"/>
    <n v="6664.0999999999995"/>
    <n v="318099.71739000001"/>
    <n v="2975.8999999999996"/>
    <n v="3688.2"/>
    <n v="0.55344307558409989"/>
    <n v="202408"/>
    <n v="202301"/>
    <s v="Aug-2023"/>
    <n v="19"/>
    <s v="Late"/>
    <n v="0"/>
    <n v="0"/>
  </r>
  <r>
    <x v="491"/>
    <d v="2025-07-23T00:00:00"/>
    <s v="Jul-2025"/>
    <x v="3"/>
    <d v="2025-08-19T00:00:00"/>
    <n v="27"/>
    <x v="1"/>
    <x v="2"/>
    <s v="Nagoya"/>
    <s v="Asia &gt; Japan &gt; Nagoya"/>
    <s v="Consumer"/>
    <x v="2"/>
    <x v="5"/>
    <x v="6"/>
    <s v="ACC-1596"/>
    <n v="896.09"/>
    <n v="744.27"/>
    <s v="Medium"/>
    <n v="8.3000000000000004E-2"/>
    <n v="11"/>
    <n v="7507.4514899999995"/>
    <n v="311435.61738999997"/>
    <n v="9856.99"/>
    <n v="-2349.5385100000003"/>
    <n v="-0.31296086469950679"/>
    <n v="202507"/>
    <n v="202303"/>
    <s v="Jul-2023"/>
    <n v="28"/>
    <s v="Late"/>
    <n v="0"/>
    <n v="0"/>
  </r>
  <r>
    <x v="492"/>
    <d v="2024-03-01T00:00:00"/>
    <s v="Mar-2024"/>
    <x v="0"/>
    <d v="2024-03-02T00:00:00"/>
    <n v="1"/>
    <x v="2"/>
    <x v="5"/>
    <s v="São Paulo"/>
    <s v="Americas &gt; Brazil &gt; São Paulo"/>
    <s v="Non-Profit"/>
    <x v="4"/>
    <x v="2"/>
    <x v="3"/>
    <s v="PHN-7852"/>
    <n v="5.34"/>
    <n v="12.69"/>
    <s v="Low"/>
    <n v="0.13200000000000001"/>
    <n v="10"/>
    <n v="110.14919999999999"/>
    <n v="311435.61738999997"/>
    <n v="53.4"/>
    <n v="56.749199999999995"/>
    <n v="0.51520301554618642"/>
    <n v="202403"/>
    <n v="202301"/>
    <s v="Mar-2023"/>
    <n v="14"/>
    <s v="On Time"/>
    <n v="1"/>
    <n v="0"/>
  </r>
  <r>
    <x v="493"/>
    <d v="2024-05-27T00:00:00"/>
    <s v="May-2024"/>
    <x v="2"/>
    <d v="2024-06-17T00:00:00"/>
    <n v="21"/>
    <x v="1"/>
    <x v="4"/>
    <s v="Delhi"/>
    <s v="Asia &gt; India &gt; Delhi"/>
    <s v="Small Business"/>
    <x v="1"/>
    <x v="10"/>
    <x v="6"/>
    <s v="ACC-7240"/>
    <n v="465.02"/>
    <n v="651.55999999999995"/>
    <s v="Low"/>
    <n v="4.2000000000000003E-2"/>
    <n v="19"/>
    <n v="11859.695119999998"/>
    <n v="311435.61738999997"/>
    <n v="8835.3799999999992"/>
    <n v="3024.3151199999993"/>
    <n v="0.25500783025187918"/>
    <n v="202405"/>
    <n v="202301"/>
    <s v="May-2023"/>
    <n v="16"/>
    <s v="Late"/>
    <n v="0"/>
    <n v="0"/>
  </r>
  <r>
    <x v="494"/>
    <d v="2024-08-04T00:00:00"/>
    <s v="Aug-2024"/>
    <x v="3"/>
    <d v="2024-08-17T00:00:00"/>
    <n v="13"/>
    <x v="2"/>
    <x v="10"/>
    <s v="Austin"/>
    <s v="Americas &gt; USA &gt; Austin"/>
    <s v="Consumer"/>
    <x v="0"/>
    <x v="14"/>
    <x v="5"/>
    <s v="MON-8867"/>
    <n v="352.79"/>
    <n v="754.22"/>
    <s v="Low"/>
    <n v="0.113"/>
    <n v="7"/>
    <n v="4682.9519799999998"/>
    <n v="311435.61738999997"/>
    <n v="2469.5300000000002"/>
    <n v="2213.4219799999996"/>
    <n v="0.47265528014233443"/>
    <n v="202408"/>
    <n v="202301"/>
    <s v="Aug-2023"/>
    <n v="19"/>
    <s v="Late"/>
    <n v="0"/>
    <n v="0"/>
  </r>
  <r>
    <x v="495"/>
    <d v="2023-06-20T00:00:00"/>
    <s v="Jun-2023"/>
    <x v="2"/>
    <d v="2023-07-04T00:00:00"/>
    <n v="14"/>
    <x v="2"/>
    <x v="5"/>
    <s v="Brasília"/>
    <s v="Americas &gt; Brazil &gt; Brasília"/>
    <s v="Non-Profit"/>
    <x v="4"/>
    <x v="0"/>
    <x v="2"/>
    <s v="NET-1228"/>
    <n v="1292.8599999999999"/>
    <n v="2981.01"/>
    <s v="High"/>
    <n v="0.14199999999999999"/>
    <n v="12"/>
    <n v="30692.47896"/>
    <n v="311435.61738999997"/>
    <n v="15514.32"/>
    <n v="15178.158960000001"/>
    <n v="0.49452372288927687"/>
    <n v="202306"/>
    <n v="202301"/>
    <s v="Jun-2023"/>
    <n v="5"/>
    <s v="Late"/>
    <n v="0"/>
    <n v="0"/>
  </r>
  <r>
    <x v="496"/>
    <d v="2024-09-09T00:00:00"/>
    <s v="Sept-2024"/>
    <x v="3"/>
    <d v="2024-09-13T00:00:00"/>
    <n v="4"/>
    <x v="3"/>
    <x v="8"/>
    <s v="London"/>
    <s v="Europe &gt; United Kingdom &gt; London"/>
    <s v="Consumer"/>
    <x v="2"/>
    <x v="9"/>
    <x v="2"/>
    <s v="NET-1145"/>
    <n v="1133.08"/>
    <n v="976.17"/>
    <s v="High"/>
    <n v="4.2000000000000003E-2"/>
    <n v="27"/>
    <n v="25249.613219999999"/>
    <n v="311435.61738999997"/>
    <n v="30593.159999999996"/>
    <n v="-5343.5467799999969"/>
    <n v="-0.21162885678452373"/>
    <n v="202409"/>
    <n v="202301"/>
    <s v="Sept-2023"/>
    <n v="20"/>
    <s v="On Time"/>
    <n v="1"/>
    <n v="0"/>
  </r>
  <r>
    <x v="497"/>
    <d v="2023-10-25T00:00:00"/>
    <s v="Oct-2023"/>
    <x v="1"/>
    <d v="2023-10-28T00:00:00"/>
    <n v="3"/>
    <x v="2"/>
    <x v="5"/>
    <s v="Brasília"/>
    <s v="Americas &gt; Brazil &gt; Brasília"/>
    <s v="Corporate"/>
    <x v="3"/>
    <x v="4"/>
    <x v="6"/>
    <s v="ACC-2867"/>
    <n v="509.31"/>
    <n v="1145.9000000000001"/>
    <s v="Medium"/>
    <n v="5.7000000000000002E-2"/>
    <n v="8"/>
    <n v="8644.6696000000011"/>
    <n v="311435.61738999997"/>
    <n v="4074.48"/>
    <n v="4570.1896000000015"/>
    <n v="0.52867140231709964"/>
    <n v="202310"/>
    <n v="202301"/>
    <s v="Oct-2023"/>
    <n v="9"/>
    <s v="On Time"/>
    <n v="1"/>
    <n v="0"/>
  </r>
  <r>
    <x v="498"/>
    <d v="2025-09-08T00:00:00"/>
    <s v="Sept-2025"/>
    <x v="3"/>
    <d v="2025-10-05T00:00:00"/>
    <n v="27"/>
    <x v="2"/>
    <x v="5"/>
    <s v="Rio de Janeiro"/>
    <s v="Americas &gt; Brazil &gt; Rio de Janeiro"/>
    <s v="Education"/>
    <x v="1"/>
    <x v="0"/>
    <x v="5"/>
    <s v="MON-9274"/>
    <n v="660.78"/>
    <n v="1630.39"/>
    <s v="Medium"/>
    <n v="0.218"/>
    <n v="13"/>
    <n v="16574.544740000001"/>
    <n v="311435.61738999997"/>
    <n v="8590.14"/>
    <n v="7984.4047400000018"/>
    <n v="0.48172694123724097"/>
    <n v="202509"/>
    <n v="202301"/>
    <s v="Sept-2023"/>
    <n v="32"/>
    <s v="Late"/>
    <n v="0"/>
    <n v="1"/>
  </r>
  <r>
    <x v="499"/>
    <d v="2023-05-02T00:00:00"/>
    <s v="May-2023"/>
    <x v="2"/>
    <d v="2023-05-16T00:00:00"/>
    <n v="14"/>
    <x v="1"/>
    <x v="4"/>
    <s v="Bengaluru"/>
    <s v="Asia &gt; India &gt; Bengaluru"/>
    <s v="Non-Profit"/>
    <x v="0"/>
    <x v="4"/>
    <x v="5"/>
    <s v="MON-4830"/>
    <n v="475.37"/>
    <n v="963.73"/>
    <s v="Low"/>
    <n v="4.1000000000000002E-2"/>
    <n v="22"/>
    <n v="20332.775539999999"/>
    <n v="311435.61738999997"/>
    <n v="10458.14"/>
    <n v="9874.6355399999993"/>
    <n v="0.48565113604750881"/>
    <n v="202305"/>
    <n v="202301"/>
    <s v="May-2023"/>
    <n v="4"/>
    <s v="Late"/>
    <n v="0"/>
    <n v="0"/>
  </r>
  <r>
    <x v="500"/>
    <d v="2024-04-26T00:00:00"/>
    <s v="Apr-2024"/>
    <x v="2"/>
    <d v="2024-04-28T00:00:00"/>
    <n v="2"/>
    <x v="3"/>
    <x v="8"/>
    <s v="London"/>
    <s v="Europe &gt; United Kingdom &gt; London"/>
    <s v="Non-Profit"/>
    <x v="3"/>
    <x v="13"/>
    <x v="3"/>
    <s v="PHN-9107"/>
    <n v="1232.77"/>
    <n v="891.73"/>
    <s v="High"/>
    <n v="0.16700000000000001"/>
    <n v="10"/>
    <n v="7428.1108999999988"/>
    <n v="311435.61738999997"/>
    <n v="12327.7"/>
    <n v="-4899.589100000002"/>
    <n v="-0.65960096260813805"/>
    <n v="202404"/>
    <n v="202301"/>
    <s v="Apr-2023"/>
    <n v="15"/>
    <s v="On Time"/>
    <n v="1"/>
    <n v="0"/>
  </r>
  <r>
    <x v="501"/>
    <d v="2023-02-23T00:00:00"/>
    <s v="Feb-2023"/>
    <x v="0"/>
    <d v="2023-03-18T00:00:00"/>
    <n v="23"/>
    <x v="1"/>
    <x v="9"/>
    <s v="Beijing"/>
    <s v="Asia &gt; China &gt; Beijing"/>
    <s v="Education"/>
    <x v="3"/>
    <x v="11"/>
    <x v="1"/>
    <s v="PRN-1060"/>
    <n v="770.11"/>
    <n v="1667.82"/>
    <s v="Medium"/>
    <n v="6.9000000000000006E-2"/>
    <n v="7"/>
    <n v="10869.182940000001"/>
    <n v="311435.61738999997"/>
    <n v="5390.77"/>
    <n v="5478.4129400000002"/>
    <n v="0.50403171703355287"/>
    <n v="202302"/>
    <n v="202301"/>
    <s v="Feb-2023"/>
    <n v="1"/>
    <s v="Late"/>
    <n v="0"/>
    <n v="0"/>
  </r>
  <r>
    <x v="502"/>
    <d v="2025-03-24T00:00:00"/>
    <s v="Mar-2025"/>
    <x v="0"/>
    <d v="2025-03-25T00:00:00"/>
    <n v="1"/>
    <x v="1"/>
    <x v="9"/>
    <s v="Beijing"/>
    <s v="Asia &gt; China &gt; Beijing"/>
    <s v="Non-Profit"/>
    <x v="1"/>
    <x v="3"/>
    <x v="2"/>
    <s v="NET-8329"/>
    <n v="1133.03"/>
    <n v="1921.51"/>
    <s v="High"/>
    <n v="0.10100000000000001"/>
    <n v="5"/>
    <n v="8637.1874499999994"/>
    <n v="311435.61738999997"/>
    <n v="5665.15"/>
    <n v="2972.0374499999998"/>
    <n v="0.3440978289755654"/>
    <n v="202503"/>
    <n v="202301"/>
    <s v="Mar-2023"/>
    <n v="26"/>
    <s v="On Time"/>
    <n v="1"/>
    <n v="0"/>
  </r>
  <r>
    <x v="503"/>
    <d v="2025-03-10T00:00:00"/>
    <s v="Mar-2025"/>
    <x v="0"/>
    <d v="2025-03-27T00:00:00"/>
    <n v="17"/>
    <x v="2"/>
    <x v="5"/>
    <s v="Rio de Janeiro"/>
    <s v="Americas &gt; Brazil &gt; Rio de Janeiro"/>
    <s v="Enterprise"/>
    <x v="4"/>
    <x v="9"/>
    <x v="2"/>
    <s v="NET-6269"/>
    <n v="996.73"/>
    <n v="1217.43"/>
    <s v="Medium"/>
    <n v="7.0000000000000007E-2"/>
    <n v="9"/>
    <n v="10189.8891"/>
    <n v="311435.61738999997"/>
    <n v="8970.57"/>
    <n v="1219.3191000000006"/>
    <n v="0.11965970267527255"/>
    <n v="202503"/>
    <n v="202301"/>
    <s v="Mar-2023"/>
    <n v="26"/>
    <s v="Late"/>
    <n v="0"/>
    <n v="0"/>
  </r>
  <r>
    <x v="504"/>
    <d v="2024-04-05T00:00:00"/>
    <s v="Apr-2024"/>
    <x v="2"/>
    <d v="2024-04-09T00:00:00"/>
    <n v="4"/>
    <x v="0"/>
    <x v="1"/>
    <s v="Lagos"/>
    <s v="Africa &gt; Nigeria &gt; Lagos"/>
    <s v="Non-Profit"/>
    <x v="4"/>
    <x v="11"/>
    <x v="0"/>
    <s v="CMP-6529"/>
    <n v="395.07"/>
    <n v="970.27"/>
    <s v="Low"/>
    <n v="0.123"/>
    <n v="38"/>
    <n v="32335.21802"/>
    <n v="311435.61738999997"/>
    <n v="15012.66"/>
    <n v="17322.55802"/>
    <n v="0.53571799049833657"/>
    <n v="202404"/>
    <n v="202301"/>
    <s v="Apr-2023"/>
    <n v="15"/>
    <s v="On Time"/>
    <n v="1"/>
    <n v="0"/>
  </r>
  <r>
    <x v="505"/>
    <d v="2025-04-27T00:00:00"/>
    <s v="Apr-2025"/>
    <x v="2"/>
    <d v="2025-05-17T00:00:00"/>
    <n v="20"/>
    <x v="2"/>
    <x v="10"/>
    <s v="Austin"/>
    <s v="Americas &gt; USA &gt; Austin"/>
    <s v="Corporate"/>
    <x v="4"/>
    <x v="13"/>
    <x v="3"/>
    <s v="PHN-8776"/>
    <n v="932.26"/>
    <n v="1624.67"/>
    <s v="Medium"/>
    <n v="0.23499999999999999"/>
    <n v="28"/>
    <n v="34800.431400000001"/>
    <n v="279100.39937"/>
    <n v="26103.279999999999"/>
    <n v="8697.1514000000025"/>
    <n v="0.24991504559337163"/>
    <n v="202504"/>
    <n v="202301"/>
    <s v="Apr-2023"/>
    <n v="27"/>
    <s v="Late"/>
    <n v="0"/>
    <n v="1"/>
  </r>
  <r>
    <x v="506"/>
    <d v="2024-10-24T00:00:00"/>
    <s v="Oct-2024"/>
    <x v="1"/>
    <d v="2024-10-28T00:00:00"/>
    <n v="4"/>
    <x v="1"/>
    <x v="9"/>
    <s v="Shanghai"/>
    <s v="Asia &gt; China &gt; Shanghai"/>
    <s v="Small Business"/>
    <x v="3"/>
    <x v="2"/>
    <x v="2"/>
    <s v="NET-3728"/>
    <n v="1331.77"/>
    <n v="2606.11"/>
    <s v="High"/>
    <n v="0.02"/>
    <n v="6"/>
    <n v="15323.926799999999"/>
    <n v="279100.39937"/>
    <n v="7990.62"/>
    <n v="7333.3067999999994"/>
    <n v="0.47855271665745619"/>
    <n v="202410"/>
    <n v="202301"/>
    <s v="Oct-2023"/>
    <n v="21"/>
    <s v="On Time"/>
    <n v="1"/>
    <n v="0"/>
  </r>
  <r>
    <x v="507"/>
    <d v="2023-04-13T00:00:00"/>
    <s v="Apr-2023"/>
    <x v="2"/>
    <d v="2023-04-20T00:00:00"/>
    <n v="7"/>
    <x v="3"/>
    <x v="7"/>
    <s v="Lyon"/>
    <s v="Europe &gt; France &gt; Lyon"/>
    <s v="Small Business"/>
    <x v="1"/>
    <x v="8"/>
    <x v="4"/>
    <s v="LAP-3565"/>
    <n v="227.02"/>
    <n v="434.72"/>
    <s v="Low"/>
    <n v="9.8000000000000004E-2"/>
    <n v="10"/>
    <n v="3921.1744000000008"/>
    <n v="279100.39937"/>
    <n v="2270.2000000000003"/>
    <n v="1650.9744000000005"/>
    <n v="0.42104079838938052"/>
    <n v="202304"/>
    <n v="202301"/>
    <s v="Apr-2023"/>
    <n v="3"/>
    <s v="On Time"/>
    <n v="1"/>
    <n v="0"/>
  </r>
  <r>
    <x v="508"/>
    <d v="2024-11-12T00:00:00"/>
    <s v="Nov-2024"/>
    <x v="1"/>
    <d v="2024-11-21T00:00:00"/>
    <n v="9"/>
    <x v="1"/>
    <x v="4"/>
    <s v="Mumbai"/>
    <s v="Asia &gt; India &gt; Mumbai"/>
    <s v="Corporate"/>
    <x v="4"/>
    <x v="10"/>
    <x v="4"/>
    <s v="LAP-5078"/>
    <n v="903.41"/>
    <n v="1860.41"/>
    <s v="Medium"/>
    <n v="0.108"/>
    <n v="5"/>
    <n v="8297.4286000000011"/>
    <n v="279100.39937"/>
    <n v="4517.05"/>
    <n v="3780.3786000000009"/>
    <n v="0.455608451996803"/>
    <n v="202411"/>
    <n v="202301"/>
    <s v="Nov-2023"/>
    <n v="22"/>
    <s v="Late"/>
    <n v="0"/>
    <n v="0"/>
  </r>
  <r>
    <x v="509"/>
    <d v="2023-05-10T00:00:00"/>
    <s v="May-2023"/>
    <x v="2"/>
    <d v="2023-05-14T00:00:00"/>
    <n v="4"/>
    <x v="1"/>
    <x v="4"/>
    <s v="Delhi"/>
    <s v="Asia &gt; India &gt; Delhi"/>
    <s v="Non-Profit"/>
    <x v="3"/>
    <x v="0"/>
    <x v="5"/>
    <s v="MON-2465"/>
    <n v="622.6"/>
    <n v="833.69"/>
    <s v="Medium"/>
    <n v="0.20899999999999999"/>
    <n v="14"/>
    <n v="9232.2830599999998"/>
    <n v="279100.39937"/>
    <n v="8716.4"/>
    <n v="515.88306000000011"/>
    <n v="5.5878167582959715E-2"/>
    <n v="202305"/>
    <n v="202301"/>
    <s v="May-2023"/>
    <n v="4"/>
    <s v="On Time"/>
    <n v="1"/>
    <n v="1"/>
  </r>
  <r>
    <x v="510"/>
    <d v="2024-03-02T00:00:00"/>
    <s v="Mar-2024"/>
    <x v="0"/>
    <d v="2024-03-23T00:00:00"/>
    <n v="21"/>
    <x v="2"/>
    <x v="10"/>
    <s v="Chicago"/>
    <s v="Americas &gt; USA &gt; Chicago"/>
    <s v="Small Business"/>
    <x v="1"/>
    <x v="9"/>
    <x v="0"/>
    <s v="CMP-3223"/>
    <n v="225.01"/>
    <n v="333.48"/>
    <s v="Low"/>
    <n v="0.11899999999999999"/>
    <n v="12"/>
    <n v="3525.5505600000001"/>
    <n v="279100.39937"/>
    <n v="2700.12"/>
    <n v="825.43056000000024"/>
    <n v="0.23412813004729685"/>
    <n v="202403"/>
    <n v="202301"/>
    <s v="Mar-2023"/>
    <n v="14"/>
    <s v="Late"/>
    <n v="0"/>
    <n v="0"/>
  </r>
  <r>
    <x v="511"/>
    <d v="2024-10-10T00:00:00"/>
    <s v="Oct-2024"/>
    <x v="1"/>
    <d v="2024-10-11T00:00:00"/>
    <n v="1"/>
    <x v="3"/>
    <x v="8"/>
    <s v="Manchester"/>
    <s v="Europe &gt; United Kingdom &gt; Manchester"/>
    <s v="Non-Profit"/>
    <x v="3"/>
    <x v="4"/>
    <x v="0"/>
    <s v="CMP-8127"/>
    <n v="1389.46"/>
    <n v="1784.7"/>
    <s v="High"/>
    <n v="0.14599999999999999"/>
    <n v="33"/>
    <n v="50296.415399999998"/>
    <n v="275574.84881"/>
    <n v="45852.18"/>
    <n v="4444.2353999999978"/>
    <n v="8.8360877503011831E-2"/>
    <n v="202410"/>
    <n v="202301"/>
    <s v="Oct-2023"/>
    <n v="21"/>
    <s v="On Time"/>
    <n v="1"/>
    <n v="0"/>
  </r>
  <r>
    <x v="512"/>
    <d v="2023-06-01T00:00:00"/>
    <s v="Jun-2023"/>
    <x v="2"/>
    <d v="2023-06-08T00:00:00"/>
    <n v="7"/>
    <x v="3"/>
    <x v="6"/>
    <s v="Frankfurt"/>
    <s v="Europe &gt; Germany &gt; Frankfurt"/>
    <s v="Consumer"/>
    <x v="1"/>
    <x v="8"/>
    <x v="3"/>
    <s v="PHN-1924"/>
    <n v="804.17"/>
    <n v="1072.29"/>
    <s v="Medium"/>
    <n v="3.2000000000000001E-2"/>
    <n v="5"/>
    <n v="5189.8836000000001"/>
    <n v="225278.43341"/>
    <n v="4020.85"/>
    <n v="1169.0336000000002"/>
    <n v="0.2252523736755869"/>
    <n v="202306"/>
    <n v="202301"/>
    <s v="Jun-2023"/>
    <n v="5"/>
    <s v="On Time"/>
    <n v="1"/>
    <n v="0"/>
  </r>
  <r>
    <x v="513"/>
    <d v="2025-01-04T00:00:00"/>
    <s v="Jan-2025"/>
    <x v="0"/>
    <d v="2025-01-05T00:00:00"/>
    <n v="1"/>
    <x v="1"/>
    <x v="4"/>
    <s v="Delhi"/>
    <s v="Asia &gt; India &gt; Delhi"/>
    <s v="Education"/>
    <x v="0"/>
    <x v="2"/>
    <x v="0"/>
    <s v="CMP-1156"/>
    <n v="1428.33"/>
    <n v="3028.05"/>
    <s v="High"/>
    <n v="0"/>
    <n v="11"/>
    <n v="33308.550000000003"/>
    <n v="225278.43341"/>
    <n v="15711.63"/>
    <n v="17596.920000000006"/>
    <n v="0.52830039134096207"/>
    <n v="202501"/>
    <n v="202301"/>
    <s v="Jan-2023"/>
    <n v="24"/>
    <s v="On Time"/>
    <n v="1"/>
    <n v="0"/>
  </r>
  <r>
    <x v="514"/>
    <d v="2025-08-05T00:00:00"/>
    <s v="Aug-2025"/>
    <x v="3"/>
    <d v="2025-08-28T00:00:00"/>
    <n v="23"/>
    <x v="1"/>
    <x v="4"/>
    <s v="Mumbai"/>
    <s v="Asia &gt; India &gt; Mumbai"/>
    <s v="Non-Profit"/>
    <x v="3"/>
    <x v="13"/>
    <x v="4"/>
    <s v="LAP-3905"/>
    <n v="638.54"/>
    <n v="987.24"/>
    <s v="Medium"/>
    <n v="0"/>
    <n v="11"/>
    <n v="10859.64"/>
    <n v="191969.88341000001"/>
    <n v="7023.94"/>
    <n v="3835.7"/>
    <n v="0.35320692030306716"/>
    <n v="202508"/>
    <n v="202301"/>
    <s v="Aug-2023"/>
    <n v="31"/>
    <s v="Late"/>
    <n v="0"/>
    <n v="0"/>
  </r>
  <r>
    <x v="515"/>
    <d v="2023-09-30T00:00:00"/>
    <s v="Sept-2023"/>
    <x v="3"/>
    <d v="2023-10-30T00:00:00"/>
    <n v="30"/>
    <x v="1"/>
    <x v="2"/>
    <s v="Tokyo"/>
    <s v="Asia &gt; Japan &gt; Tokyo"/>
    <s v="Enterprise"/>
    <x v="1"/>
    <x v="14"/>
    <x v="1"/>
    <s v="PRN-1786"/>
    <n v="649.13"/>
    <n v="975.43"/>
    <s v="Medium"/>
    <n v="0.157"/>
    <n v="27"/>
    <n v="22201.762229999997"/>
    <n v="191969.88341000001"/>
    <n v="17526.509999999998"/>
    <n v="4675.2522299999982"/>
    <n v="0.21058023149543473"/>
    <n v="202309"/>
    <n v="202303"/>
    <s v="Sept-2023"/>
    <n v="6"/>
    <s v="Late"/>
    <n v="0"/>
    <n v="0"/>
  </r>
  <r>
    <x v="516"/>
    <d v="2025-05-17T00:00:00"/>
    <s v="May-2025"/>
    <x v="2"/>
    <d v="2025-05-30T00:00:00"/>
    <n v="13"/>
    <x v="0"/>
    <x v="1"/>
    <s v="Lagos"/>
    <s v="Africa &gt; Nigeria &gt; Lagos"/>
    <s v="Consumer"/>
    <x v="3"/>
    <x v="9"/>
    <x v="6"/>
    <s v="ACC-3349"/>
    <n v="66.400000000000006"/>
    <n v="141.43"/>
    <s v="Low"/>
    <n v="0.107"/>
    <n v="8"/>
    <n v="1010.3759200000001"/>
    <n v="191969.88341000001"/>
    <n v="531.20000000000005"/>
    <n v="479.17592000000002"/>
    <n v="0.47425508715607551"/>
    <n v="202505"/>
    <n v="202301"/>
    <s v="May-2023"/>
    <n v="28"/>
    <s v="Late"/>
    <n v="0"/>
    <n v="0"/>
  </r>
  <r>
    <x v="517"/>
    <d v="2024-05-01T00:00:00"/>
    <s v="May-2024"/>
    <x v="2"/>
    <d v="2024-05-26T00:00:00"/>
    <n v="25"/>
    <x v="3"/>
    <x v="6"/>
    <s v="Berlin"/>
    <s v="Europe &gt; Germany &gt; Berlin"/>
    <s v="Non-Profit"/>
    <x v="0"/>
    <x v="5"/>
    <x v="2"/>
    <s v="NET-4228"/>
    <n v="930.71"/>
    <n v="1625.42"/>
    <s v="Medium"/>
    <n v="0.13800000000000001"/>
    <n v="7"/>
    <n v="9807.7842799999999"/>
    <n v="191969.88341000001"/>
    <n v="6514.97"/>
    <n v="3292.8142799999996"/>
    <n v="0.33573477821231196"/>
    <n v="202405"/>
    <n v="202301"/>
    <s v="May-2023"/>
    <n v="16"/>
    <s v="Late"/>
    <n v="0"/>
    <n v="0"/>
  </r>
  <r>
    <x v="518"/>
    <d v="2023-05-01T00:00:00"/>
    <s v="May-2023"/>
    <x v="2"/>
    <d v="2023-05-18T00:00:00"/>
    <n v="17"/>
    <x v="0"/>
    <x v="1"/>
    <s v="Port Harcourt"/>
    <s v="Africa &gt; Nigeria &gt; Port Harcourt"/>
    <s v="Corporate"/>
    <x v="4"/>
    <x v="9"/>
    <x v="0"/>
    <s v="CMP-5633"/>
    <n v="327.97"/>
    <n v="299.94"/>
    <s v="Low"/>
    <n v="4.9000000000000002E-2"/>
    <n v="3"/>
    <n v="855.72881999999993"/>
    <n v="191969.88341000001"/>
    <n v="983.91000000000008"/>
    <n v="-128.18118000000015"/>
    <n v="-0.14979182306843442"/>
    <n v="202305"/>
    <n v="202301"/>
    <s v="May-2023"/>
    <n v="4"/>
    <s v="Late"/>
    <n v="0"/>
    <n v="0"/>
  </r>
  <r>
    <x v="519"/>
    <d v="2024-07-09T00:00:00"/>
    <s v="Jul-2024"/>
    <x v="3"/>
    <d v="2024-08-08T00:00:00"/>
    <n v="30"/>
    <x v="3"/>
    <x v="7"/>
    <s v="Marseille"/>
    <s v="Europe &gt; France &gt; Marseille"/>
    <s v="Corporate"/>
    <x v="4"/>
    <x v="1"/>
    <x v="0"/>
    <s v="CMP-5825"/>
    <n v="1062.3800000000001"/>
    <n v="1503.96"/>
    <s v="High"/>
    <n v="0.18"/>
    <n v="6"/>
    <n v="7399.4832000000006"/>
    <n v="191114.15458999999"/>
    <n v="6374.2800000000007"/>
    <n v="1025.2031999999999"/>
    <n v="0.13855064905073369"/>
    <n v="202407"/>
    <n v="202301"/>
    <s v="Jul-2023"/>
    <n v="18"/>
    <s v="Late"/>
    <n v="0"/>
    <n v="0"/>
  </r>
  <r>
    <x v="520"/>
    <d v="2023-05-10T00:00:00"/>
    <s v="May-2023"/>
    <x v="2"/>
    <d v="2023-05-27T00:00:00"/>
    <n v="17"/>
    <x v="1"/>
    <x v="4"/>
    <s v="Mumbai"/>
    <s v="Asia &gt; India &gt; Mumbai"/>
    <s v="Consumer"/>
    <x v="0"/>
    <x v="12"/>
    <x v="4"/>
    <s v="LAP-6499"/>
    <n v="1286.1600000000001"/>
    <n v="3101.11"/>
    <s v="High"/>
    <n v="0.1"/>
    <n v="23"/>
    <n v="64192.976999999999"/>
    <n v="183714.67138999997"/>
    <n v="29581.68"/>
    <n v="34611.296999999999"/>
    <n v="0.53917575749758417"/>
    <n v="202305"/>
    <n v="202301"/>
    <s v="May-2023"/>
    <n v="4"/>
    <s v="Late"/>
    <n v="0"/>
    <n v="0"/>
  </r>
  <r>
    <x v="521"/>
    <d v="2024-07-09T00:00:00"/>
    <s v="Jul-2024"/>
    <x v="3"/>
    <d v="2024-07-12T00:00:00"/>
    <n v="3"/>
    <x v="1"/>
    <x v="9"/>
    <s v="Shanghai"/>
    <s v="Asia &gt; China &gt; Shanghai"/>
    <s v="Small Business"/>
    <x v="0"/>
    <x v="14"/>
    <x v="6"/>
    <s v="ACC-3721"/>
    <n v="748.39"/>
    <n v="979.42"/>
    <s v="Medium"/>
    <n v="0"/>
    <n v="23"/>
    <n v="22526.66"/>
    <n v="183714.67138999997"/>
    <n v="17212.97"/>
    <n v="5313.6899999999987"/>
    <n v="0.23588450307324738"/>
    <n v="202407"/>
    <n v="202301"/>
    <s v="Jul-2023"/>
    <n v="18"/>
    <s v="On Time"/>
    <n v="1"/>
    <n v="0"/>
  </r>
  <r>
    <x v="522"/>
    <d v="2024-04-24T00:00:00"/>
    <s v="Apr-2024"/>
    <x v="2"/>
    <d v="2024-05-10T00:00:00"/>
    <n v="16"/>
    <x v="0"/>
    <x v="0"/>
    <s v="Kisumu"/>
    <s v="Africa &gt; Kenya &gt; Kisumu"/>
    <s v="Non-Profit"/>
    <x v="1"/>
    <x v="13"/>
    <x v="5"/>
    <s v="MON-6190"/>
    <n v="513.30999999999995"/>
    <n v="1186.26"/>
    <s v="Medium"/>
    <n v="9.4E-2"/>
    <n v="15"/>
    <n v="16121.273400000002"/>
    <n v="183714.67138999997"/>
    <n v="7699.65"/>
    <n v="8421.6234000000022"/>
    <n v="0.52239194702820446"/>
    <n v="202404"/>
    <n v="202301"/>
    <s v="Apr-2023"/>
    <n v="15"/>
    <s v="Late"/>
    <n v="0"/>
    <n v="0"/>
  </r>
  <r>
    <x v="523"/>
    <d v="2024-01-13T00:00:00"/>
    <s v="Jan-2024"/>
    <x v="0"/>
    <d v="2024-01-15T00:00:00"/>
    <n v="2"/>
    <x v="2"/>
    <x v="10"/>
    <s v="San Francisco"/>
    <s v="Americas &gt; USA &gt; San Francisco"/>
    <s v="Non-Profit"/>
    <x v="4"/>
    <x v="6"/>
    <x v="0"/>
    <s v="CMP-2410"/>
    <n v="1061.3699999999999"/>
    <n v="1938.33"/>
    <s v="High"/>
    <n v="0.17"/>
    <n v="4"/>
    <n v="6435.2555999999995"/>
    <n v="183714.67138999997"/>
    <n v="4245.4799999999996"/>
    <n v="2189.7755999999999"/>
    <n v="0.34027795259600879"/>
    <n v="202401"/>
    <n v="202301"/>
    <s v="Jan-2023"/>
    <n v="12"/>
    <s v="On Time"/>
    <n v="1"/>
    <n v="0"/>
  </r>
  <r>
    <x v="524"/>
    <d v="2024-04-16T00:00:00"/>
    <s v="Apr-2024"/>
    <x v="2"/>
    <d v="2024-04-27T00:00:00"/>
    <n v="11"/>
    <x v="0"/>
    <x v="0"/>
    <s v="Nakuru"/>
    <s v="Africa &gt; Kenya &gt; Nakuru"/>
    <s v="Enterprise"/>
    <x v="1"/>
    <x v="14"/>
    <x v="1"/>
    <s v="PRN-2641"/>
    <n v="401.3"/>
    <n v="826.47"/>
    <s v="Low"/>
    <n v="0.22500000000000001"/>
    <n v="13"/>
    <n v="8326.6852500000005"/>
    <n v="177279.41579"/>
    <n v="5216.9000000000005"/>
    <n v="3109.7852499999999"/>
    <n v="0.37347217489696755"/>
    <n v="202404"/>
    <n v="202301"/>
    <s v="Apr-2023"/>
    <n v="15"/>
    <s v="Late"/>
    <n v="0"/>
    <n v="1"/>
  </r>
  <r>
    <x v="525"/>
    <d v="2025-02-07T00:00:00"/>
    <s v="Feb-2025"/>
    <x v="0"/>
    <d v="2025-02-16T00:00:00"/>
    <n v="9"/>
    <x v="0"/>
    <x v="1"/>
    <s v="Lagos"/>
    <s v="Africa &gt; Nigeria &gt; Lagos"/>
    <s v="Small Business"/>
    <x v="3"/>
    <x v="0"/>
    <x v="1"/>
    <s v="PRN-1882"/>
    <n v="90.68"/>
    <n v="118.17"/>
    <s v="Low"/>
    <n v="0.13500000000000001"/>
    <n v="21"/>
    <n v="2146.5580500000001"/>
    <n v="177279.41579"/>
    <n v="1904.2800000000002"/>
    <n v="242.27804999999989"/>
    <n v="0.11286815653552899"/>
    <n v="202502"/>
    <n v="202301"/>
    <s v="Feb-2023"/>
    <n v="25"/>
    <s v="Late"/>
    <n v="0"/>
    <n v="0"/>
  </r>
  <r>
    <x v="526"/>
    <d v="2023-01-12T00:00:00"/>
    <s v="Jan-2023"/>
    <x v="0"/>
    <d v="2023-01-26T00:00:00"/>
    <n v="14"/>
    <x v="1"/>
    <x v="9"/>
    <s v="Shenzhen"/>
    <s v="Asia &gt; China &gt; Shenzhen"/>
    <s v="Non-Profit"/>
    <x v="0"/>
    <x v="12"/>
    <x v="1"/>
    <s v="PRN-1641"/>
    <n v="1083.0899999999999"/>
    <n v="1425.87"/>
    <s v="High"/>
    <n v="0"/>
    <n v="8"/>
    <n v="11406.96"/>
    <n v="177279.41579"/>
    <n v="8664.7199999999993"/>
    <n v="2742.24"/>
    <n v="0.24040059752992909"/>
    <n v="202301"/>
    <n v="202301"/>
    <s v="Jan-2023"/>
    <n v="0"/>
    <s v="Late"/>
    <n v="0"/>
    <n v="0"/>
  </r>
  <r>
    <x v="527"/>
    <d v="2024-06-05T00:00:00"/>
    <s v="Jun-2024"/>
    <x v="2"/>
    <d v="2024-06-23T00:00:00"/>
    <n v="18"/>
    <x v="0"/>
    <x v="0"/>
    <s v="Nairobi"/>
    <s v="Africa &gt; Kenya &gt; Nairobi"/>
    <s v="Consumer"/>
    <x v="3"/>
    <x v="14"/>
    <x v="4"/>
    <s v="LAP-1739"/>
    <n v="1208.74"/>
    <n v="1594.78"/>
    <s v="High"/>
    <n v="5.8999999999999997E-2"/>
    <n v="39"/>
    <n v="58526.83122"/>
    <n v="177279.41579"/>
    <n v="47140.86"/>
    <n v="11385.971219999999"/>
    <n v="0.1945427589817838"/>
    <n v="202406"/>
    <n v="202301"/>
    <s v="Jun-2023"/>
    <n v="17"/>
    <s v="Late"/>
    <n v="0"/>
    <n v="0"/>
  </r>
  <r>
    <x v="528"/>
    <d v="2023-08-24T00:00:00"/>
    <s v="Aug-2023"/>
    <x v="3"/>
    <d v="2023-09-20T00:00:00"/>
    <n v="27"/>
    <x v="0"/>
    <x v="11"/>
    <s v="Durban"/>
    <s v="Africa &gt; South Africa &gt; Durban"/>
    <s v="Small Business"/>
    <x v="2"/>
    <x v="12"/>
    <x v="1"/>
    <s v="PRN-4732"/>
    <n v="1399.64"/>
    <n v="3342.11"/>
    <s v="High"/>
    <n v="0"/>
    <n v="10"/>
    <n v="33421.1"/>
    <n v="177279.41579"/>
    <n v="13996.400000000001"/>
    <n v="19424.699999999997"/>
    <n v="0.58121067229983447"/>
    <n v="202308"/>
    <n v="202301"/>
    <s v="Aug-2023"/>
    <n v="7"/>
    <s v="Late"/>
    <n v="0"/>
    <n v="0"/>
  </r>
  <r>
    <x v="529"/>
    <d v="2024-01-25T00:00:00"/>
    <s v="Jan-2024"/>
    <x v="0"/>
    <d v="2024-02-08T00:00:00"/>
    <n v="14"/>
    <x v="1"/>
    <x v="2"/>
    <s v="Osaka"/>
    <s v="Asia &gt; Japan &gt; Osaka"/>
    <s v="Consumer"/>
    <x v="2"/>
    <x v="2"/>
    <x v="2"/>
    <s v="NET-9569"/>
    <n v="937.16"/>
    <n v="1069.77"/>
    <s v="Medium"/>
    <n v="3.7999999999999999E-2"/>
    <n v="9"/>
    <n v="9262.0686600000008"/>
    <n v="177279.41579"/>
    <n v="8434.44"/>
    <n v="827.62866000000031"/>
    <n v="8.9356783066645962E-2"/>
    <n v="202401"/>
    <n v="202303"/>
    <s v="Jan-2023"/>
    <n v="10"/>
    <s v="Late"/>
    <n v="0"/>
    <n v="0"/>
  </r>
  <r>
    <x v="530"/>
    <d v="2025-03-11T00:00:00"/>
    <s v="Mar-2025"/>
    <x v="0"/>
    <d v="2025-03-26T00:00:00"/>
    <n v="15"/>
    <x v="3"/>
    <x v="6"/>
    <s v="Berlin"/>
    <s v="Europe &gt; Germany &gt; Berlin"/>
    <s v="Small Business"/>
    <x v="1"/>
    <x v="2"/>
    <x v="3"/>
    <s v="PHN-3007"/>
    <n v="116.97"/>
    <n v="140.82"/>
    <s v="Low"/>
    <n v="0.122"/>
    <n v="5"/>
    <n v="618.19979999999987"/>
    <n v="177279.41579"/>
    <n v="584.85"/>
    <n v="33.349799999999846"/>
    <n v="5.3946636669891926E-2"/>
    <n v="202503"/>
    <n v="202301"/>
    <s v="Mar-2023"/>
    <n v="26"/>
    <s v="Late"/>
    <n v="0"/>
    <n v="0"/>
  </r>
  <r>
    <x v="531"/>
    <d v="2025-04-22T00:00:00"/>
    <s v="Apr-2025"/>
    <x v="2"/>
    <d v="2025-05-12T00:00:00"/>
    <n v="20"/>
    <x v="3"/>
    <x v="7"/>
    <s v="Lyon"/>
    <s v="Europe &gt; France &gt; Lyon"/>
    <s v="Enterprise"/>
    <x v="2"/>
    <x v="11"/>
    <x v="5"/>
    <s v="MON-9216"/>
    <n v="59.51"/>
    <n v="67.040000000000006"/>
    <s v="Low"/>
    <n v="0.114"/>
    <n v="9"/>
    <n v="534.57695999999999"/>
    <n v="177279.41579"/>
    <n v="535.59"/>
    <n v="-1.0130400000000463"/>
    <n v="-1.8950311663264469E-3"/>
    <n v="202504"/>
    <n v="202301"/>
    <s v="Apr-2023"/>
    <n v="27"/>
    <s v="Late"/>
    <n v="0"/>
    <n v="0"/>
  </r>
  <r>
    <x v="532"/>
    <d v="2023-08-17T00:00:00"/>
    <s v="Aug-2023"/>
    <x v="3"/>
    <d v="2023-09-03T00:00:00"/>
    <n v="17"/>
    <x v="0"/>
    <x v="11"/>
    <s v="Durban"/>
    <s v="Africa &gt; South Africa &gt; Durban"/>
    <s v="Enterprise"/>
    <x v="0"/>
    <x v="8"/>
    <x v="3"/>
    <s v="PHN-8072"/>
    <n v="676.37"/>
    <n v="1276.67"/>
    <s v="Medium"/>
    <n v="6.6000000000000003E-2"/>
    <n v="10"/>
    <n v="11924.0978"/>
    <n v="177279.41579"/>
    <n v="6763.7"/>
    <n v="5160.3977999999997"/>
    <n v="0.4327705027712872"/>
    <n v="202308"/>
    <n v="202301"/>
    <s v="Aug-2023"/>
    <n v="7"/>
    <s v="Late"/>
    <n v="0"/>
    <n v="0"/>
  </r>
  <r>
    <x v="533"/>
    <d v="2025-06-24T00:00:00"/>
    <s v="Jun-2025"/>
    <x v="2"/>
    <d v="2025-07-14T00:00:00"/>
    <n v="20"/>
    <x v="0"/>
    <x v="11"/>
    <s v="Johannesburg"/>
    <s v="Africa &gt; South Africa &gt; Johannesburg"/>
    <s v="Enterprise"/>
    <x v="2"/>
    <x v="1"/>
    <x v="4"/>
    <s v="LAP-1308"/>
    <n v="1151.06"/>
    <n v="2821.36"/>
    <s v="High"/>
    <n v="0.248"/>
    <n v="20"/>
    <n v="42433.254400000005"/>
    <n v="177279.41579"/>
    <n v="23021.199999999997"/>
    <n v="19412.054400000008"/>
    <n v="0.45747267501594235"/>
    <n v="202506"/>
    <n v="202301"/>
    <s v="Jun-2023"/>
    <n v="29"/>
    <s v="Late"/>
    <n v="0"/>
    <n v="1"/>
  </r>
  <r>
    <x v="534"/>
    <d v="2025-01-10T00:00:00"/>
    <s v="Jan-2025"/>
    <x v="0"/>
    <d v="2025-02-06T00:00:00"/>
    <n v="27"/>
    <x v="2"/>
    <x v="5"/>
    <s v="Brasília"/>
    <s v="Americas &gt; Brazil &gt; Brasília"/>
    <s v="Non-Profit"/>
    <x v="0"/>
    <x v="5"/>
    <x v="4"/>
    <s v="LAP-7353"/>
    <n v="725.62"/>
    <n v="1559.19"/>
    <s v="Medium"/>
    <n v="0.19"/>
    <n v="12"/>
    <n v="15155.326800000001"/>
    <n v="177279.41579"/>
    <n v="8707.44"/>
    <n v="6447.8868000000002"/>
    <n v="0.42545349797405885"/>
    <n v="202501"/>
    <n v="202301"/>
    <s v="Jan-2023"/>
    <n v="24"/>
    <s v="Late"/>
    <n v="0"/>
    <n v="0"/>
  </r>
  <r>
    <x v="535"/>
    <d v="2023-07-01T00:00:00"/>
    <s v="Jul-2023"/>
    <x v="3"/>
    <d v="2023-07-11T00:00:00"/>
    <n v="10"/>
    <x v="3"/>
    <x v="7"/>
    <s v="Paris"/>
    <s v="Europe &gt; France &gt; Paris"/>
    <s v="Corporate"/>
    <x v="4"/>
    <x v="9"/>
    <x v="2"/>
    <s v="NET-6533"/>
    <n v="479.5"/>
    <n v="656.66"/>
    <s v="Low"/>
    <n v="0.14899999999999999"/>
    <n v="14"/>
    <n v="7823.4472399999995"/>
    <n v="177279.41579"/>
    <n v="6713"/>
    <n v="1110.4472399999995"/>
    <n v="0.14193835606412289"/>
    <n v="202307"/>
    <n v="202301"/>
    <s v="Jul-2023"/>
    <n v="6"/>
    <s v="Late"/>
    <n v="0"/>
    <n v="0"/>
  </r>
  <r>
    <x v="536"/>
    <d v="2024-08-16T00:00:00"/>
    <s v="Aug-2024"/>
    <x v="3"/>
    <d v="2024-08-26T00:00:00"/>
    <n v="10"/>
    <x v="2"/>
    <x v="10"/>
    <s v="Chicago"/>
    <s v="Americas &gt; USA &gt; Chicago"/>
    <s v="Corporate"/>
    <x v="3"/>
    <x v="4"/>
    <x v="4"/>
    <s v="LAP-5763"/>
    <n v="1291.7"/>
    <n v="2657.84"/>
    <s v="High"/>
    <n v="8.6999999999999994E-2"/>
    <n v="21"/>
    <n v="50958.766320000002"/>
    <n v="177279.41579"/>
    <n v="27125.7"/>
    <n v="23833.066320000002"/>
    <n v="0.46769315745083367"/>
    <n v="202408"/>
    <n v="202301"/>
    <s v="Aug-2023"/>
    <n v="19"/>
    <s v="Late"/>
    <n v="0"/>
    <n v="0"/>
  </r>
  <r>
    <x v="537"/>
    <d v="2023-07-07T00:00:00"/>
    <s v="Jul-2023"/>
    <x v="3"/>
    <d v="2023-07-13T00:00:00"/>
    <n v="6"/>
    <x v="0"/>
    <x v="11"/>
    <s v="Cape Town"/>
    <s v="Africa &gt; South Africa &gt; Cape Town"/>
    <s v="Small Business"/>
    <x v="2"/>
    <x v="5"/>
    <x v="6"/>
    <s v="ACC-9445"/>
    <n v="612.59"/>
    <n v="1424.74"/>
    <s v="Medium"/>
    <n v="4.3999999999999997E-2"/>
    <n v="15"/>
    <n v="20430.771599999996"/>
    <n v="177279.41579"/>
    <n v="9188.85"/>
    <n v="11241.921599999996"/>
    <n v="0.55024459281802152"/>
    <n v="202307"/>
    <n v="202301"/>
    <s v="Jul-2023"/>
    <n v="6"/>
    <s v="On Time"/>
    <n v="1"/>
    <n v="0"/>
  </r>
  <r>
    <x v="538"/>
    <d v="2023-12-28T00:00:00"/>
    <s v="Dec-2023"/>
    <x v="1"/>
    <d v="2024-01-01T00:00:00"/>
    <n v="4"/>
    <x v="0"/>
    <x v="11"/>
    <s v="Cape Town"/>
    <s v="Africa &gt; South Africa &gt; Cape Town"/>
    <s v="Education"/>
    <x v="3"/>
    <x v="8"/>
    <x v="1"/>
    <s v="PRN-1654"/>
    <n v="1141.8"/>
    <n v="2318.7399999999998"/>
    <s v="High"/>
    <n v="0.107"/>
    <n v="32"/>
    <n v="66260.314239999992"/>
    <n v="177279.41579"/>
    <n v="36537.599999999999"/>
    <n v="29722.714239999994"/>
    <n v="0.44857490612468304"/>
    <n v="202312"/>
    <n v="202301"/>
    <s v="Dec-2023"/>
    <n v="11"/>
    <s v="On Time"/>
    <n v="1"/>
    <n v="0"/>
  </r>
  <r>
    <x v="539"/>
    <d v="2023-01-26T00:00:00"/>
    <s v="Jan-2023"/>
    <x v="0"/>
    <d v="2023-02-15T00:00:00"/>
    <n v="20"/>
    <x v="3"/>
    <x v="6"/>
    <s v="Berlin"/>
    <s v="Europe &gt; Germany &gt; Berlin"/>
    <s v="Small Business"/>
    <x v="1"/>
    <x v="7"/>
    <x v="2"/>
    <s v="NET-8787"/>
    <n v="492.62"/>
    <n v="366.7"/>
    <s v="Low"/>
    <n v="8.8999999999999996E-2"/>
    <n v="10"/>
    <n v="3340.6370000000002"/>
    <n v="177279.41579"/>
    <n v="4926.2"/>
    <n v="-1585.5629999999996"/>
    <n v="-0.47462894052840809"/>
    <n v="202301"/>
    <n v="202301"/>
    <s v="Jan-2023"/>
    <n v="0"/>
    <s v="Late"/>
    <n v="0"/>
    <n v="0"/>
  </r>
  <r>
    <x v="540"/>
    <d v="2023-07-08T00:00:00"/>
    <s v="Jul-2023"/>
    <x v="3"/>
    <d v="2023-07-09T00:00:00"/>
    <n v="1"/>
    <x v="0"/>
    <x v="0"/>
    <s v="Nairobi"/>
    <s v="Africa &gt; Kenya &gt; Nairobi"/>
    <s v="Consumer"/>
    <x v="1"/>
    <x v="14"/>
    <x v="4"/>
    <s v="LAP-1989"/>
    <n v="1258.72"/>
    <n v="2797.41"/>
    <s v="High"/>
    <n v="0"/>
    <n v="7"/>
    <n v="19581.87"/>
    <n v="177279.41579"/>
    <n v="8811.0400000000009"/>
    <n v="10770.829999999998"/>
    <n v="0.55004093071805704"/>
    <n v="202307"/>
    <n v="202301"/>
    <s v="Jul-2023"/>
    <n v="6"/>
    <s v="On Time"/>
    <n v="1"/>
    <n v="0"/>
  </r>
  <r>
    <x v="541"/>
    <d v="2024-06-07T00:00:00"/>
    <s v="Jun-2024"/>
    <x v="2"/>
    <d v="2024-06-09T00:00:00"/>
    <n v="2"/>
    <x v="1"/>
    <x v="9"/>
    <s v="Shanghai"/>
    <s v="Asia &gt; China &gt; Shanghai"/>
    <s v="Corporate"/>
    <x v="0"/>
    <x v="7"/>
    <x v="5"/>
    <s v="MON-8688"/>
    <n v="1370.28"/>
    <n v="2209.66"/>
    <s v="High"/>
    <n v="0.13300000000000001"/>
    <n v="16"/>
    <n v="30652.403519999996"/>
    <n v="177279.41579"/>
    <n v="21924.48"/>
    <n v="8727.9235199999966"/>
    <n v="0.28473863442079589"/>
    <n v="202406"/>
    <n v="202301"/>
    <s v="Jun-2023"/>
    <n v="17"/>
    <s v="On Time"/>
    <n v="1"/>
    <n v="0"/>
  </r>
  <r>
    <x v="542"/>
    <d v="2023-02-11T00:00:00"/>
    <s v="Feb-2023"/>
    <x v="0"/>
    <d v="2023-02-12T00:00:00"/>
    <n v="1"/>
    <x v="0"/>
    <x v="1"/>
    <s v="Port Harcourt"/>
    <s v="Africa &gt; Nigeria &gt; Port Harcourt"/>
    <s v="Non-Profit"/>
    <x v="4"/>
    <x v="14"/>
    <x v="6"/>
    <s v="ACC-8242"/>
    <n v="944.61"/>
    <n v="839.04"/>
    <s v="Medium"/>
    <n v="5.8999999999999997E-2"/>
    <n v="6"/>
    <n v="4737.2198399999997"/>
    <n v="177279.41579"/>
    <n v="5667.66"/>
    <n v="-930.44016000000011"/>
    <n v="-0.19641059343363726"/>
    <n v="202302"/>
    <n v="202301"/>
    <s v="Feb-2023"/>
    <n v="1"/>
    <s v="On Time"/>
    <n v="1"/>
    <n v="0"/>
  </r>
  <r>
    <x v="543"/>
    <d v="2023-07-01T00:00:00"/>
    <s v="Jul-2023"/>
    <x v="3"/>
    <d v="2023-07-08T00:00:00"/>
    <n v="7"/>
    <x v="3"/>
    <x v="6"/>
    <s v="Frankfurt"/>
    <s v="Europe &gt; Germany &gt; Frankfurt"/>
    <s v="Small Business"/>
    <x v="3"/>
    <x v="13"/>
    <x v="4"/>
    <s v="LAP-4666"/>
    <n v="460.21"/>
    <n v="1139.1500000000001"/>
    <s v="Low"/>
    <n v="0.115"/>
    <n v="14"/>
    <n v="14114.068500000001"/>
    <n v="177279.41579"/>
    <n v="6442.94"/>
    <n v="7671.1285000000016"/>
    <n v="0.54350937151821255"/>
    <n v="202307"/>
    <n v="202301"/>
    <s v="Jul-2023"/>
    <n v="6"/>
    <s v="On Time"/>
    <n v="1"/>
    <n v="0"/>
  </r>
  <r>
    <x v="544"/>
    <d v="2025-08-20T00:00:00"/>
    <s v="Aug-2025"/>
    <x v="3"/>
    <d v="2025-08-26T00:00:00"/>
    <n v="6"/>
    <x v="2"/>
    <x v="10"/>
    <s v="New York"/>
    <s v="Americas &gt; USA &gt; New York"/>
    <s v="Corporate"/>
    <x v="0"/>
    <x v="12"/>
    <x v="2"/>
    <s v="NET-5196"/>
    <n v="1304.95"/>
    <n v="1712.03"/>
    <s v="High"/>
    <n v="0.21199999999999999"/>
    <n v="8"/>
    <n v="10792.637119999999"/>
    <n v="177279.41579"/>
    <n v="10439.6"/>
    <n v="353.03711999999905"/>
    <n v="3.2710922833287949E-2"/>
    <n v="202508"/>
    <n v="202301"/>
    <s v="Aug-2023"/>
    <n v="31"/>
    <s v="On Time"/>
    <n v="1"/>
    <n v="1"/>
  </r>
  <r>
    <x v="545"/>
    <d v="2024-03-04T00:00:00"/>
    <s v="Mar-2024"/>
    <x v="0"/>
    <d v="2024-03-16T00:00:00"/>
    <n v="12"/>
    <x v="0"/>
    <x v="11"/>
    <s v="Johannesburg"/>
    <s v="Africa &gt; South Africa &gt; Johannesburg"/>
    <s v="Enterprise"/>
    <x v="3"/>
    <x v="12"/>
    <x v="5"/>
    <s v="MON-8422"/>
    <n v="441.08"/>
    <n v="1054.29"/>
    <s v="Low"/>
    <n v="0.23699999999999999"/>
    <n v="6"/>
    <n v="4826.5396199999996"/>
    <n v="177279.41579"/>
    <n v="2646.48"/>
    <n v="2180.0596199999995"/>
    <n v="0.45168169985932899"/>
    <n v="202403"/>
    <n v="202301"/>
    <s v="Mar-2023"/>
    <n v="14"/>
    <s v="Late"/>
    <n v="0"/>
    <n v="1"/>
  </r>
  <r>
    <x v="546"/>
    <d v="2023-09-08T00:00:00"/>
    <s v="Sept-2023"/>
    <x v="3"/>
    <d v="2023-10-02T00:00:00"/>
    <n v="24"/>
    <x v="2"/>
    <x v="3"/>
    <s v="Toronto"/>
    <s v="Americas &gt; Canada &gt; Toronto"/>
    <s v="Education"/>
    <x v="4"/>
    <x v="8"/>
    <x v="6"/>
    <s v="ACC-3415"/>
    <n v="1299.03"/>
    <n v="2451.2199999999998"/>
    <s v="High"/>
    <n v="0.20799999999999999"/>
    <n v="8"/>
    <n v="15530.929919999999"/>
    <n v="177279.41579"/>
    <n v="10392.24"/>
    <n v="5138.6899199999989"/>
    <n v="0.3308681416032041"/>
    <n v="202309"/>
    <n v="202301"/>
    <s v="Sept-2023"/>
    <n v="8"/>
    <s v="Late"/>
    <n v="0"/>
    <n v="1"/>
  </r>
  <r>
    <x v="547"/>
    <d v="2023-02-28T00:00:00"/>
    <s v="Feb-2023"/>
    <x v="0"/>
    <d v="2023-03-06T00:00:00"/>
    <n v="6"/>
    <x v="3"/>
    <x v="6"/>
    <s v="Frankfurt"/>
    <s v="Europe &gt; Germany &gt; Frankfurt"/>
    <s v="Small Business"/>
    <x v="2"/>
    <x v="14"/>
    <x v="1"/>
    <s v="PRN-9624"/>
    <n v="880.02"/>
    <n v="1251.21"/>
    <s v="Medium"/>
    <n v="0.123"/>
    <n v="29"/>
    <n v="31822.023930000003"/>
    <n v="177279.41579"/>
    <n v="25520.579999999998"/>
    <n v="6301.4439300000049"/>
    <n v="0.19802146915172672"/>
    <n v="202302"/>
    <n v="202301"/>
    <s v="Feb-2023"/>
    <n v="1"/>
    <s v="On Time"/>
    <n v="1"/>
    <n v="0"/>
  </r>
  <r>
    <x v="548"/>
    <d v="2024-07-13T00:00:00"/>
    <s v="Jul-2024"/>
    <x v="3"/>
    <d v="2024-08-03T00:00:00"/>
    <n v="21"/>
    <x v="2"/>
    <x v="5"/>
    <s v="Rio de Janeiro"/>
    <s v="Americas &gt; Brazil &gt; Rio de Janeiro"/>
    <s v="Corporate"/>
    <x v="2"/>
    <x v="12"/>
    <x v="5"/>
    <s v="MON-6287"/>
    <n v="702.98"/>
    <n v="1104.8"/>
    <s v="Medium"/>
    <n v="0.17499999999999999"/>
    <n v="12"/>
    <n v="10937.519999999999"/>
    <n v="177279.41579"/>
    <n v="8435.76"/>
    <n v="2501.7599999999984"/>
    <n v="0.22873192460448061"/>
    <n v="202407"/>
    <n v="202301"/>
    <s v="Jul-2023"/>
    <n v="18"/>
    <s v="Late"/>
    <n v="0"/>
    <n v="0"/>
  </r>
  <r>
    <x v="549"/>
    <d v="2024-12-07T00:00:00"/>
    <s v="Dec-2024"/>
    <x v="1"/>
    <d v="2024-12-26T00:00:00"/>
    <n v="19"/>
    <x v="3"/>
    <x v="8"/>
    <s v="London"/>
    <s v="Europe &gt; United Kingdom &gt; London"/>
    <s v="Enterprise"/>
    <x v="1"/>
    <x v="14"/>
    <x v="2"/>
    <s v="NET-4491"/>
    <n v="1035.24"/>
    <n v="2383.41"/>
    <s v="High"/>
    <n v="0.17"/>
    <n v="15"/>
    <n v="29673.454499999993"/>
    <n v="177279.41579"/>
    <n v="15528.6"/>
    <n v="14144.854499999992"/>
    <n v="0.47668378145860962"/>
    <n v="202412"/>
    <n v="202301"/>
    <s v="Dec-2023"/>
    <n v="23"/>
    <s v="Late"/>
    <n v="0"/>
    <n v="0"/>
  </r>
  <r>
    <x v="550"/>
    <d v="2025-08-06T00:00:00"/>
    <s v="Aug-2025"/>
    <x v="3"/>
    <d v="2025-08-23T00:00:00"/>
    <n v="17"/>
    <x v="2"/>
    <x v="5"/>
    <s v="Brasília"/>
    <s v="Americas &gt; Brazil &gt; Brasília"/>
    <s v="Consumer"/>
    <x v="3"/>
    <x v="8"/>
    <x v="5"/>
    <s v="MON-4317"/>
    <n v="86.64"/>
    <n v="213.06"/>
    <s v="Low"/>
    <n v="0.21199999999999999"/>
    <n v="11"/>
    <n v="1846.8040799999999"/>
    <n v="177279.41579"/>
    <n v="953.04"/>
    <n v="893.76407999999992"/>
    <n v="0.48395175735154322"/>
    <n v="202508"/>
    <n v="202301"/>
    <s v="Aug-2023"/>
    <n v="31"/>
    <s v="Late"/>
    <n v="0"/>
    <n v="1"/>
  </r>
  <r>
    <x v="551"/>
    <d v="2023-03-03T00:00:00"/>
    <s v="Mar-2023"/>
    <x v="0"/>
    <d v="2023-03-20T00:00:00"/>
    <n v="17"/>
    <x v="1"/>
    <x v="2"/>
    <s v="Nagoya"/>
    <s v="Asia &gt; Japan &gt; Nagoya"/>
    <s v="Small Business"/>
    <x v="1"/>
    <x v="14"/>
    <x v="2"/>
    <s v="NET-7349"/>
    <n v="1171.17"/>
    <n v="2030.64"/>
    <s v="High"/>
    <n v="0.157"/>
    <n v="11"/>
    <n v="18830.12472"/>
    <n v="177279.41579"/>
    <n v="12882.87"/>
    <n v="5947.254719999999"/>
    <n v="0.31583724528830415"/>
    <n v="202303"/>
    <n v="202303"/>
    <s v="Mar-2023"/>
    <n v="0"/>
    <s v="Late"/>
    <n v="0"/>
    <n v="0"/>
  </r>
  <r>
    <x v="552"/>
    <d v="2025-02-16T00:00:00"/>
    <s v="Feb-2025"/>
    <x v="0"/>
    <d v="2025-03-17T00:00:00"/>
    <n v="29"/>
    <x v="3"/>
    <x v="6"/>
    <s v="Munich"/>
    <s v="Europe &gt; Germany &gt; Munich"/>
    <s v="Consumer"/>
    <x v="0"/>
    <x v="4"/>
    <x v="6"/>
    <s v="ACC-5150"/>
    <n v="730.42"/>
    <n v="956.7"/>
    <s v="Medium"/>
    <n v="4.2000000000000003E-2"/>
    <n v="22"/>
    <n v="20163.409200000002"/>
    <n v="177279.41579"/>
    <n v="16069.24"/>
    <n v="4094.1692000000021"/>
    <n v="0.20304945256975698"/>
    <n v="202502"/>
    <n v="202301"/>
    <s v="Feb-2023"/>
    <n v="25"/>
    <s v="Late"/>
    <n v="0"/>
    <n v="0"/>
  </r>
  <r>
    <x v="553"/>
    <d v="2025-02-15T00:00:00"/>
    <s v="Feb-2025"/>
    <x v="0"/>
    <d v="2025-03-01T00:00:00"/>
    <n v="14"/>
    <x v="0"/>
    <x v="0"/>
    <s v="Mombasa"/>
    <s v="Africa &gt; Kenya &gt; Mombasa"/>
    <s v="Education"/>
    <x v="4"/>
    <x v="4"/>
    <x v="6"/>
    <s v="ACC-5144"/>
    <n v="1162.8599999999999"/>
    <n v="1447.68"/>
    <s v="High"/>
    <n v="8.6999999999999994E-2"/>
    <n v="12"/>
    <n v="15860.782080000001"/>
    <n v="177279.41579"/>
    <n v="13954.32"/>
    <n v="1906.4620800000012"/>
    <n v="0.12019975247021369"/>
    <n v="202502"/>
    <n v="202301"/>
    <s v="Feb-2023"/>
    <n v="25"/>
    <s v="Late"/>
    <n v="0"/>
    <n v="0"/>
  </r>
  <r>
    <x v="554"/>
    <d v="2024-08-31T00:00:00"/>
    <s v="Aug-2024"/>
    <x v="3"/>
    <d v="2024-09-26T00:00:00"/>
    <n v="26"/>
    <x v="1"/>
    <x v="2"/>
    <s v="Tokyo"/>
    <s v="Asia &gt; Japan &gt; Tokyo"/>
    <s v="Education"/>
    <x v="1"/>
    <x v="2"/>
    <x v="3"/>
    <s v="PHN-6111"/>
    <n v="1189.03"/>
    <n v="2949.62"/>
    <s v="High"/>
    <n v="0.125"/>
    <n v="13"/>
    <n v="33551.927499999998"/>
    <n v="177279.41579"/>
    <n v="15457.39"/>
    <n v="18094.537499999999"/>
    <n v="0.53929949330034765"/>
    <n v="202408"/>
    <n v="202303"/>
    <s v="Aug-2023"/>
    <n v="17"/>
    <s v="Late"/>
    <n v="0"/>
    <n v="0"/>
  </r>
  <r>
    <x v="555"/>
    <d v="2023-05-07T00:00:00"/>
    <s v="May-2023"/>
    <x v="2"/>
    <d v="2023-05-20T00:00:00"/>
    <n v="13"/>
    <x v="1"/>
    <x v="4"/>
    <s v="Mumbai"/>
    <s v="Asia &gt; India &gt; Mumbai"/>
    <s v="Enterprise"/>
    <x v="0"/>
    <x v="14"/>
    <x v="6"/>
    <s v="ACC-9283"/>
    <n v="1443.28"/>
    <n v="2580.5700000000002"/>
    <s v="High"/>
    <n v="0"/>
    <n v="18"/>
    <n v="46450.26"/>
    <n v="177279.41579"/>
    <n v="25979.040000000001"/>
    <n v="20471.22"/>
    <n v="0.4407127107577008"/>
    <n v="202305"/>
    <n v="202301"/>
    <s v="May-2023"/>
    <n v="4"/>
    <s v="Late"/>
    <n v="0"/>
    <n v="0"/>
  </r>
  <r>
    <x v="556"/>
    <d v="2025-05-14T00:00:00"/>
    <s v="May-2025"/>
    <x v="2"/>
    <d v="2025-05-16T00:00:00"/>
    <n v="2"/>
    <x v="2"/>
    <x v="3"/>
    <s v="Vancouver"/>
    <s v="Americas &gt; Canada &gt; Vancouver"/>
    <s v="Non-Profit"/>
    <x v="3"/>
    <x v="9"/>
    <x v="1"/>
    <s v="PRN-2407"/>
    <n v="883.5"/>
    <n v="1978.91"/>
    <s v="Medium"/>
    <n v="5.3999999999999999E-2"/>
    <n v="27"/>
    <n v="50545.319219999998"/>
    <n v="177279.41579"/>
    <n v="23854.5"/>
    <n v="26690.819219999998"/>
    <n v="0.52805718970390547"/>
    <n v="202505"/>
    <n v="202301"/>
    <s v="May-2023"/>
    <n v="28"/>
    <s v="On Time"/>
    <n v="1"/>
    <n v="0"/>
  </r>
  <r>
    <x v="557"/>
    <d v="2024-03-11T00:00:00"/>
    <s v="Mar-2024"/>
    <x v="0"/>
    <d v="2024-03-29T00:00:00"/>
    <n v="18"/>
    <x v="2"/>
    <x v="10"/>
    <s v="New York"/>
    <s v="Americas &gt; USA &gt; New York"/>
    <s v="Corporate"/>
    <x v="0"/>
    <x v="12"/>
    <x v="5"/>
    <s v="MON-7099"/>
    <n v="710.98"/>
    <n v="1481.45"/>
    <s v="Medium"/>
    <n v="0.21099999999999999"/>
    <n v="9"/>
    <n v="10519.776450000001"/>
    <n v="177279.41579"/>
    <n v="6398.82"/>
    <n v="4120.9564500000015"/>
    <n v="0.39173422264120461"/>
    <n v="202403"/>
    <n v="202301"/>
    <s v="Mar-2023"/>
    <n v="14"/>
    <s v="Late"/>
    <n v="0"/>
    <n v="1"/>
  </r>
  <r>
    <x v="558"/>
    <d v="2024-05-18T00:00:00"/>
    <s v="May-2024"/>
    <x v="2"/>
    <d v="2024-05-22T00:00:00"/>
    <n v="4"/>
    <x v="0"/>
    <x v="0"/>
    <s v="Nairobi"/>
    <s v="Africa &gt; Kenya &gt; Nairobi"/>
    <s v="Corporate"/>
    <x v="4"/>
    <x v="10"/>
    <x v="6"/>
    <s v="ACC-7354"/>
    <n v="857.42"/>
    <n v="1658.92"/>
    <s v="Medium"/>
    <n v="0.122"/>
    <n v="9"/>
    <n v="13108.78584"/>
    <n v="177279.41579"/>
    <n v="7716.78"/>
    <n v="5392.0058400000007"/>
    <n v="0.41132763215544305"/>
    <n v="202405"/>
    <n v="202301"/>
    <s v="May-2023"/>
    <n v="16"/>
    <s v="On Time"/>
    <n v="1"/>
    <n v="0"/>
  </r>
  <r>
    <x v="559"/>
    <d v="2024-01-08T00:00:00"/>
    <s v="Jan-2024"/>
    <x v="0"/>
    <d v="2024-01-12T00:00:00"/>
    <n v="4"/>
    <x v="1"/>
    <x v="4"/>
    <s v="Bengaluru"/>
    <s v="Asia &gt; India &gt; Bengaluru"/>
    <s v="Corporate"/>
    <x v="4"/>
    <x v="6"/>
    <x v="1"/>
    <s v="PRN-6585"/>
    <n v="802.32"/>
    <n v="602.34"/>
    <s v="Medium"/>
    <n v="0.12"/>
    <n v="25"/>
    <n v="13251.48"/>
    <n v="177279.41579"/>
    <n v="20058"/>
    <n v="-6806.52"/>
    <n v="-0.51364224977134632"/>
    <n v="202401"/>
    <n v="202301"/>
    <s v="Jan-2023"/>
    <n v="12"/>
    <s v="On Time"/>
    <n v="1"/>
    <n v="0"/>
  </r>
  <r>
    <x v="560"/>
    <d v="2024-10-25T00:00:00"/>
    <s v="Oct-2024"/>
    <x v="1"/>
    <d v="2024-11-05T00:00:00"/>
    <n v="11"/>
    <x v="2"/>
    <x v="10"/>
    <s v="New York"/>
    <s v="Americas &gt; USA &gt; New York"/>
    <s v="Corporate"/>
    <x v="3"/>
    <x v="13"/>
    <x v="0"/>
    <s v="CMP-9498"/>
    <n v="446.66"/>
    <n v="527.64"/>
    <s v="Low"/>
    <n v="0.14499999999999999"/>
    <n v="15"/>
    <n v="6766.9829999999993"/>
    <n v="177279.41579"/>
    <n v="6699.9000000000005"/>
    <n v="67.082999999998719"/>
    <n v="9.9132804087137105E-3"/>
    <n v="202410"/>
    <n v="202301"/>
    <s v="Oct-2023"/>
    <n v="21"/>
    <s v="Late"/>
    <n v="0"/>
    <n v="0"/>
  </r>
  <r>
    <x v="561"/>
    <d v="2024-11-30T00:00:00"/>
    <s v="Nov-2024"/>
    <x v="1"/>
    <d v="2024-12-19T00:00:00"/>
    <n v="19"/>
    <x v="0"/>
    <x v="0"/>
    <s v="Kisumu"/>
    <s v="Africa &gt; Kenya &gt; Kisumu"/>
    <s v="Corporate"/>
    <x v="1"/>
    <x v="4"/>
    <x v="3"/>
    <s v="PHN-1919"/>
    <n v="1195.98"/>
    <n v="1841.9"/>
    <s v="High"/>
    <n v="5.5E-2"/>
    <n v="19"/>
    <n v="33071.3145"/>
    <n v="170512.43278999999"/>
    <n v="22723.62"/>
    <n v="10347.694500000001"/>
    <n v="0.31289032977506842"/>
    <n v="202411"/>
    <n v="202301"/>
    <s v="Nov-2023"/>
    <n v="22"/>
    <s v="Late"/>
    <n v="0"/>
    <n v="0"/>
  </r>
  <r>
    <x v="562"/>
    <d v="2023-04-13T00:00:00"/>
    <s v="Apr-2023"/>
    <x v="2"/>
    <d v="2023-05-02T00:00:00"/>
    <n v="19"/>
    <x v="2"/>
    <x v="3"/>
    <s v="Montreal"/>
    <s v="Americas &gt; Canada &gt; Montreal"/>
    <s v="Consumer"/>
    <x v="3"/>
    <x v="6"/>
    <x v="5"/>
    <s v="MON-6053"/>
    <n v="671.05"/>
    <n v="1645.48"/>
    <s v="Medium"/>
    <n v="0.13700000000000001"/>
    <n v="6"/>
    <n v="8520.2954399999999"/>
    <n v="170512.43278999999"/>
    <n v="4026.2999999999997"/>
    <n v="4493.9954400000006"/>
    <n v="0.52744596377517172"/>
    <n v="202304"/>
    <n v="202301"/>
    <s v="Apr-2023"/>
    <n v="3"/>
    <s v="Late"/>
    <n v="0"/>
    <n v="0"/>
  </r>
  <r>
    <x v="563"/>
    <d v="2025-02-04T00:00:00"/>
    <s v="Feb-2025"/>
    <x v="0"/>
    <d v="2025-02-08T00:00:00"/>
    <n v="4"/>
    <x v="3"/>
    <x v="8"/>
    <s v="Manchester"/>
    <s v="Europe &gt; United Kingdom &gt; Manchester"/>
    <s v="Enterprise"/>
    <x v="2"/>
    <x v="4"/>
    <x v="2"/>
    <s v="NET-2502"/>
    <n v="586.21"/>
    <n v="727.22"/>
    <s v="Medium"/>
    <n v="6.8000000000000005E-2"/>
    <n v="15"/>
    <n v="10166.535600000001"/>
    <n v="170512.43278999999"/>
    <n v="8793.1500000000015"/>
    <n v="1373.3855999999996"/>
    <n v="0.13508884973559721"/>
    <n v="202502"/>
    <n v="202301"/>
    <s v="Feb-2023"/>
    <n v="25"/>
    <s v="On Time"/>
    <n v="1"/>
    <n v="0"/>
  </r>
  <r>
    <x v="564"/>
    <d v="2024-01-24T00:00:00"/>
    <s v="Jan-2024"/>
    <x v="0"/>
    <d v="2024-02-04T00:00:00"/>
    <n v="11"/>
    <x v="3"/>
    <x v="8"/>
    <s v="Manchester"/>
    <s v="Europe &gt; United Kingdom &gt; Manchester"/>
    <s v="Consumer"/>
    <x v="0"/>
    <x v="5"/>
    <x v="4"/>
    <s v="LAP-5689"/>
    <n v="525.34"/>
    <n v="1233.79"/>
    <s v="Medium"/>
    <n v="0.14299999999999999"/>
    <n v="4"/>
    <n v="4229.4321199999995"/>
    <n v="170512.43278999999"/>
    <n v="2101.36"/>
    <n v="2128.0721199999994"/>
    <n v="0.50315788494082736"/>
    <n v="202401"/>
    <n v="202301"/>
    <s v="Jan-2023"/>
    <n v="12"/>
    <s v="Late"/>
    <n v="0"/>
    <n v="0"/>
  </r>
  <r>
    <x v="565"/>
    <d v="2024-02-08T00:00:00"/>
    <s v="Feb-2024"/>
    <x v="0"/>
    <d v="2024-02-09T00:00:00"/>
    <n v="1"/>
    <x v="0"/>
    <x v="0"/>
    <s v="Mombasa"/>
    <s v="Africa &gt; Kenya &gt; Mombasa"/>
    <s v="Corporate"/>
    <x v="4"/>
    <x v="9"/>
    <x v="0"/>
    <s v="CMP-5911"/>
    <n v="1233.52"/>
    <n v="1543.76"/>
    <s v="High"/>
    <n v="0.126"/>
    <n v="13"/>
    <n v="17540.201120000002"/>
    <n v="170512.43278999999"/>
    <n v="16035.76"/>
    <n v="1504.4411200000013"/>
    <n v="8.5771030201277493E-2"/>
    <n v="202402"/>
    <n v="202301"/>
    <s v="Feb-2023"/>
    <n v="13"/>
    <s v="On Time"/>
    <n v="1"/>
    <n v="0"/>
  </r>
  <r>
    <x v="566"/>
    <d v="2025-06-26T00:00:00"/>
    <s v="Jun-2025"/>
    <x v="2"/>
    <d v="2025-07-11T00:00:00"/>
    <n v="15"/>
    <x v="0"/>
    <x v="1"/>
    <s v="Port Harcourt"/>
    <s v="Africa &gt; Nigeria &gt; Port Harcourt"/>
    <s v="Small Business"/>
    <x v="1"/>
    <x v="8"/>
    <x v="4"/>
    <s v="LAP-7523"/>
    <n v="1170.1500000000001"/>
    <n v="2115.19"/>
    <s v="High"/>
    <n v="9.1999999999999998E-2"/>
    <n v="23"/>
    <n v="44173.627960000005"/>
    <n v="152972.23167000001"/>
    <n v="26913.45"/>
    <n v="17260.177960000005"/>
    <n v="0.39073489674946776"/>
    <n v="202506"/>
    <n v="202301"/>
    <s v="Jun-2023"/>
    <n v="29"/>
    <s v="Late"/>
    <n v="0"/>
    <n v="0"/>
  </r>
  <r>
    <x v="567"/>
    <d v="2024-11-04T00:00:00"/>
    <s v="Nov-2024"/>
    <x v="1"/>
    <d v="2024-11-07T00:00:00"/>
    <n v="3"/>
    <x v="3"/>
    <x v="7"/>
    <s v="Lyon"/>
    <s v="Europe &gt; France &gt; Lyon"/>
    <s v="Corporate"/>
    <x v="1"/>
    <x v="7"/>
    <x v="5"/>
    <s v="MON-1118"/>
    <n v="740.68"/>
    <n v="1837.19"/>
    <s v="Medium"/>
    <n v="0.19700000000000001"/>
    <n v="17"/>
    <n v="25079.480689999997"/>
    <n v="152972.23167000001"/>
    <n v="12591.56"/>
    <n v="12487.920689999997"/>
    <n v="0.4979337827748298"/>
    <n v="202411"/>
    <n v="202301"/>
    <s v="Nov-2023"/>
    <n v="22"/>
    <s v="On Time"/>
    <n v="1"/>
    <n v="0"/>
  </r>
  <r>
    <x v="568"/>
    <d v="2024-02-20T00:00:00"/>
    <s v="Feb-2024"/>
    <x v="0"/>
    <d v="2024-02-20T00:00:00"/>
    <n v="0"/>
    <x v="2"/>
    <x v="10"/>
    <s v="New York"/>
    <s v="Americas &gt; USA &gt; New York"/>
    <s v="Enterprise"/>
    <x v="1"/>
    <x v="0"/>
    <x v="2"/>
    <s v="NET-9177"/>
    <n v="1407.05"/>
    <n v="2858.93"/>
    <s v="High"/>
    <n v="0"/>
    <n v="12"/>
    <n v="34307.159999999996"/>
    <n v="152972.23167000001"/>
    <n v="16884.599999999999"/>
    <n v="17422.559999999998"/>
    <n v="0.50784034586366222"/>
    <n v="202402"/>
    <n v="202301"/>
    <s v="Feb-2023"/>
    <n v="13"/>
    <s v="On Time"/>
    <n v="1"/>
    <n v="0"/>
  </r>
  <r>
    <x v="569"/>
    <d v="2025-04-13T00:00:00"/>
    <s v="Apr-2025"/>
    <x v="2"/>
    <d v="2025-04-14T00:00:00"/>
    <n v="1"/>
    <x v="1"/>
    <x v="2"/>
    <s v="Osaka"/>
    <s v="Asia &gt; Japan &gt; Osaka"/>
    <s v="Enterprise"/>
    <x v="1"/>
    <x v="3"/>
    <x v="0"/>
    <s v="CMP-6495"/>
    <n v="138.9"/>
    <n v="289.92"/>
    <s v="Low"/>
    <n v="2.9000000000000001E-2"/>
    <n v="12"/>
    <n v="3378.1478400000001"/>
    <n v="152972.23167000001"/>
    <n v="1666.8000000000002"/>
    <n v="1711.3478399999999"/>
    <n v="0.50659353025828491"/>
    <n v="202504"/>
    <n v="202303"/>
    <s v="Apr-2023"/>
    <n v="25"/>
    <s v="On Time"/>
    <n v="1"/>
    <n v="0"/>
  </r>
  <r>
    <x v="570"/>
    <d v="2023-06-01T00:00:00"/>
    <s v="Jun-2023"/>
    <x v="2"/>
    <d v="2023-06-01T00:00:00"/>
    <n v="0"/>
    <x v="1"/>
    <x v="4"/>
    <s v="Bengaluru"/>
    <s v="Asia &gt; India &gt; Bengaluru"/>
    <s v="Corporate"/>
    <x v="0"/>
    <x v="6"/>
    <x v="6"/>
    <s v="ACC-4587"/>
    <n v="669.37"/>
    <n v="997.2"/>
    <s v="Medium"/>
    <n v="8.2000000000000003E-2"/>
    <n v="5"/>
    <n v="4577.1480000000001"/>
    <n v="149594.08382999999"/>
    <n v="3346.85"/>
    <n v="1230.2980000000002"/>
    <n v="0.26879139586484863"/>
    <n v="202306"/>
    <n v="202301"/>
    <s v="Jun-2023"/>
    <n v="5"/>
    <s v="On Time"/>
    <n v="1"/>
    <n v="0"/>
  </r>
  <r>
    <x v="571"/>
    <d v="2025-03-24T00:00:00"/>
    <s v="Mar-2025"/>
    <x v="0"/>
    <d v="2025-04-04T00:00:00"/>
    <n v="11"/>
    <x v="1"/>
    <x v="4"/>
    <s v="Mumbai"/>
    <s v="Asia &gt; India &gt; Mumbai"/>
    <s v="Education"/>
    <x v="2"/>
    <x v="1"/>
    <x v="3"/>
    <s v="PHN-4395"/>
    <n v="23.83"/>
    <n v="47.29"/>
    <s v="Low"/>
    <n v="6.4000000000000001E-2"/>
    <n v="19"/>
    <n v="841.00536"/>
    <n v="149594.08382999999"/>
    <n v="452.77"/>
    <n v="388.23536000000001"/>
    <n v="0.46163244429262618"/>
    <n v="202503"/>
    <n v="202301"/>
    <s v="Mar-2023"/>
    <n v="26"/>
    <s v="Late"/>
    <n v="0"/>
    <n v="0"/>
  </r>
  <r>
    <x v="572"/>
    <d v="2024-01-02T00:00:00"/>
    <s v="Jan-2024"/>
    <x v="0"/>
    <d v="2024-01-02T00:00:00"/>
    <n v="0"/>
    <x v="2"/>
    <x v="3"/>
    <s v="Vancouver"/>
    <s v="Americas &gt; Canada &gt; Vancouver"/>
    <s v="Education"/>
    <x v="4"/>
    <x v="8"/>
    <x v="4"/>
    <s v="LAP-3581"/>
    <n v="444.41"/>
    <n v="754.24"/>
    <s v="Low"/>
    <n v="0.20699999999999999"/>
    <n v="32"/>
    <n v="19139.594240000002"/>
    <n v="149594.08382999999"/>
    <n v="14221.12"/>
    <n v="4918.4742400000014"/>
    <n v="0.25697902360546598"/>
    <n v="202401"/>
    <n v="202301"/>
    <s v="Jan-2023"/>
    <n v="12"/>
    <s v="On Time"/>
    <n v="1"/>
    <n v="1"/>
  </r>
  <r>
    <x v="573"/>
    <d v="2023-12-19T00:00:00"/>
    <s v="Dec-2023"/>
    <x v="1"/>
    <d v="2024-01-01T00:00:00"/>
    <n v="13"/>
    <x v="2"/>
    <x v="3"/>
    <s v="Toronto"/>
    <s v="Americas &gt; Canada &gt; Toronto"/>
    <s v="Enterprise"/>
    <x v="0"/>
    <x v="11"/>
    <x v="5"/>
    <s v="MON-6065"/>
    <n v="856.1"/>
    <n v="901.48"/>
    <s v="Medium"/>
    <n v="5.6000000000000001E-2"/>
    <n v="17"/>
    <n v="14466.95104"/>
    <n v="149594.08382999999"/>
    <n v="14553.7"/>
    <n v="-86.748960000000807"/>
    <n v="-5.9963540182134192E-3"/>
    <n v="202312"/>
    <n v="202301"/>
    <s v="Dec-2023"/>
    <n v="11"/>
    <s v="Late"/>
    <n v="0"/>
    <n v="0"/>
  </r>
  <r>
    <x v="574"/>
    <d v="2023-04-26T00:00:00"/>
    <s v="Apr-2023"/>
    <x v="2"/>
    <d v="2023-04-26T00:00:00"/>
    <n v="0"/>
    <x v="3"/>
    <x v="7"/>
    <s v="Marseille"/>
    <s v="Europe &gt; France &gt; Marseille"/>
    <s v="Consumer"/>
    <x v="4"/>
    <x v="12"/>
    <x v="0"/>
    <s v="CMP-4945"/>
    <n v="81.489999999999995"/>
    <n v="113.08"/>
    <s v="Low"/>
    <n v="0.121"/>
    <n v="5"/>
    <n v="496.98660000000001"/>
    <n v="149594.08382999999"/>
    <n v="407.45"/>
    <n v="89.536600000000021"/>
    <n v="0.18015898215364362"/>
    <n v="202304"/>
    <n v="202301"/>
    <s v="Apr-2023"/>
    <n v="3"/>
    <s v="On Time"/>
    <n v="1"/>
    <n v="0"/>
  </r>
  <r>
    <x v="575"/>
    <d v="2025-08-03T00:00:00"/>
    <s v="Aug-2025"/>
    <x v="3"/>
    <d v="2025-08-16T00:00:00"/>
    <n v="13"/>
    <x v="2"/>
    <x v="3"/>
    <s v="Montreal"/>
    <s v="Americas &gt; Canada &gt; Montreal"/>
    <s v="Enterprise"/>
    <x v="3"/>
    <x v="7"/>
    <x v="2"/>
    <s v="NET-3785"/>
    <n v="698.66"/>
    <n v="868.62"/>
    <s v="Medium"/>
    <n v="7.1999999999999995E-2"/>
    <n v="15"/>
    <n v="12091.190399999999"/>
    <n v="149097.09722999998"/>
    <n v="10479.9"/>
    <n v="1611.2903999999999"/>
    <n v="0.13326151906432637"/>
    <n v="202508"/>
    <n v="202301"/>
    <s v="Aug-2023"/>
    <n v="31"/>
    <s v="Late"/>
    <n v="0"/>
    <n v="0"/>
  </r>
  <r>
    <x v="576"/>
    <d v="2023-08-02T00:00:00"/>
    <s v="Aug-2023"/>
    <x v="3"/>
    <d v="2023-08-19T00:00:00"/>
    <n v="17"/>
    <x v="2"/>
    <x v="3"/>
    <s v="Vancouver"/>
    <s v="Americas &gt; Canada &gt; Vancouver"/>
    <s v="Corporate"/>
    <x v="1"/>
    <x v="9"/>
    <x v="2"/>
    <s v="NET-3689"/>
    <n v="175.38"/>
    <n v="347.9"/>
    <s v="Low"/>
    <n v="7.1999999999999995E-2"/>
    <n v="43"/>
    <n v="13882.6016"/>
    <n v="149097.09722999998"/>
    <n v="7541.34"/>
    <n v="6341.2615999999998"/>
    <n v="0.45677761148169804"/>
    <n v="202308"/>
    <n v="202301"/>
    <s v="Aug-2023"/>
    <n v="7"/>
    <s v="Late"/>
    <n v="0"/>
    <n v="0"/>
  </r>
  <r>
    <x v="577"/>
    <d v="2023-06-15T00:00:00"/>
    <s v="Jun-2023"/>
    <x v="2"/>
    <d v="2023-07-12T00:00:00"/>
    <n v="27"/>
    <x v="3"/>
    <x v="8"/>
    <s v="Manchester"/>
    <s v="Europe &gt; United Kingdom &gt; Manchester"/>
    <s v="Consumer"/>
    <x v="4"/>
    <x v="2"/>
    <x v="6"/>
    <s v="ACC-3833"/>
    <n v="751.28"/>
    <n v="1111.8800000000001"/>
    <s v="Medium"/>
    <n v="0.13500000000000001"/>
    <n v="7"/>
    <n v="6732.4334000000008"/>
    <n v="149097.09722999998"/>
    <n v="5258.96"/>
    <n v="1473.4734000000008"/>
    <n v="0.21886193482433863"/>
    <n v="202306"/>
    <n v="202301"/>
    <s v="Jun-2023"/>
    <n v="5"/>
    <s v="Late"/>
    <n v="0"/>
    <n v="0"/>
  </r>
  <r>
    <x v="578"/>
    <d v="2024-11-11T00:00:00"/>
    <s v="Nov-2024"/>
    <x v="1"/>
    <d v="2024-11-24T00:00:00"/>
    <n v="13"/>
    <x v="3"/>
    <x v="8"/>
    <s v="London"/>
    <s v="Europe &gt; United Kingdom &gt; London"/>
    <s v="Corporate"/>
    <x v="0"/>
    <x v="6"/>
    <x v="2"/>
    <s v="NET-2932"/>
    <n v="164.53"/>
    <n v="327.72"/>
    <s v="Low"/>
    <n v="6.7000000000000004E-2"/>
    <n v="14"/>
    <n v="4280.6786400000001"/>
    <n v="149097.09722999998"/>
    <n v="2303.42"/>
    <n v="1977.25864"/>
    <n v="0.46190307805960412"/>
    <n v="202411"/>
    <n v="202301"/>
    <s v="Nov-2023"/>
    <n v="22"/>
    <s v="Late"/>
    <n v="0"/>
    <n v="0"/>
  </r>
  <r>
    <x v="579"/>
    <d v="2025-07-11T00:00:00"/>
    <s v="Jul-2025"/>
    <x v="3"/>
    <d v="2025-08-03T00:00:00"/>
    <n v="23"/>
    <x v="0"/>
    <x v="0"/>
    <s v="Nakuru"/>
    <s v="Africa &gt; Kenya &gt; Nakuru"/>
    <s v="Small Business"/>
    <x v="0"/>
    <x v="0"/>
    <x v="3"/>
    <s v="PHN-7636"/>
    <n v="389.93"/>
    <n v="486.13"/>
    <s v="Low"/>
    <n v="0.13200000000000001"/>
    <n v="17"/>
    <n v="7173.3342799999991"/>
    <n v="149097.09722999998"/>
    <n v="6628.81"/>
    <n v="544.52427999999873"/>
    <n v="7.5909508569562828E-2"/>
    <n v="202507"/>
    <n v="202301"/>
    <s v="Jul-2023"/>
    <n v="30"/>
    <s v="Late"/>
    <n v="0"/>
    <n v="0"/>
  </r>
  <r>
    <x v="580"/>
    <d v="2023-06-03T00:00:00"/>
    <s v="Jun-2023"/>
    <x v="2"/>
    <d v="2023-07-01T00:00:00"/>
    <n v="28"/>
    <x v="2"/>
    <x v="5"/>
    <s v="Brasília"/>
    <s v="Americas &gt; Brazil &gt; Brasília"/>
    <s v="Small Business"/>
    <x v="2"/>
    <x v="8"/>
    <x v="0"/>
    <s v="CMP-1223"/>
    <n v="860.4"/>
    <n v="2066.6"/>
    <s v="Medium"/>
    <n v="0.01"/>
    <n v="3"/>
    <n v="6137.8019999999988"/>
    <n v="149097.09722999998"/>
    <n v="2581.1999999999998"/>
    <n v="3556.601999999999"/>
    <n v="0.57945857491004105"/>
    <n v="202306"/>
    <n v="202301"/>
    <s v="Jun-2023"/>
    <n v="5"/>
    <s v="Late"/>
    <n v="0"/>
    <n v="0"/>
  </r>
  <r>
    <x v="581"/>
    <d v="2023-01-29T00:00:00"/>
    <s v="Jan-2023"/>
    <x v="0"/>
    <d v="2023-02-06T00:00:00"/>
    <n v="8"/>
    <x v="2"/>
    <x v="5"/>
    <s v="Brasília"/>
    <s v="Americas &gt; Brazil &gt; Brasília"/>
    <s v="Corporate"/>
    <x v="2"/>
    <x v="14"/>
    <x v="5"/>
    <s v="MON-7207"/>
    <n v="41.84"/>
    <n v="86.2"/>
    <s v="Low"/>
    <n v="0.22600000000000001"/>
    <n v="27"/>
    <n v="1801.4076000000002"/>
    <n v="142959.29522999999"/>
    <n v="1129.68"/>
    <n v="671.72760000000017"/>
    <n v="0.37289039970742882"/>
    <n v="202301"/>
    <n v="202301"/>
    <s v="Jan-2023"/>
    <n v="0"/>
    <s v="Late"/>
    <n v="0"/>
    <n v="1"/>
  </r>
  <r>
    <x v="582"/>
    <d v="2024-09-06T00:00:00"/>
    <s v="Sept-2024"/>
    <x v="3"/>
    <d v="2024-09-08T00:00:00"/>
    <n v="2"/>
    <x v="1"/>
    <x v="2"/>
    <s v="Osaka"/>
    <s v="Asia &gt; Japan &gt; Osaka"/>
    <s v="Corporate"/>
    <x v="4"/>
    <x v="8"/>
    <x v="4"/>
    <s v="LAP-4483"/>
    <n v="1368.17"/>
    <n v="2307.75"/>
    <s v="High"/>
    <n v="0.16300000000000001"/>
    <n v="21"/>
    <n v="40563.321749999996"/>
    <n v="142959.29522999999"/>
    <n v="28731.57"/>
    <n v="11831.751749999996"/>
    <n v="0.29168596750831921"/>
    <n v="202409"/>
    <n v="202303"/>
    <s v="Sept-2023"/>
    <n v="18"/>
    <s v="On Time"/>
    <n v="1"/>
    <n v="0"/>
  </r>
  <r>
    <x v="583"/>
    <d v="2024-08-03T00:00:00"/>
    <s v="Aug-2024"/>
    <x v="3"/>
    <d v="2024-08-09T00:00:00"/>
    <n v="6"/>
    <x v="0"/>
    <x v="0"/>
    <s v="Mombasa"/>
    <s v="Africa &gt; Kenya &gt; Mombasa"/>
    <s v="Consumer"/>
    <x v="2"/>
    <x v="10"/>
    <x v="4"/>
    <s v="LAP-1969"/>
    <n v="643.21"/>
    <n v="1112.81"/>
    <s v="Medium"/>
    <n v="0.14099999999999999"/>
    <n v="4"/>
    <n v="3823.6151599999998"/>
    <n v="142959.29522999999"/>
    <n v="2572.84"/>
    <n v="1250.7751599999997"/>
    <n v="0.32711847496702562"/>
    <n v="202408"/>
    <n v="202301"/>
    <s v="Aug-2023"/>
    <n v="19"/>
    <s v="On Time"/>
    <n v="1"/>
    <n v="0"/>
  </r>
  <r>
    <x v="584"/>
    <d v="2025-04-17T00:00:00"/>
    <s v="Apr-2025"/>
    <x v="2"/>
    <d v="2025-04-17T00:00:00"/>
    <n v="0"/>
    <x v="2"/>
    <x v="5"/>
    <s v="São Paulo"/>
    <s v="Americas &gt; Brazil &gt; São Paulo"/>
    <s v="Corporate"/>
    <x v="3"/>
    <x v="4"/>
    <x v="3"/>
    <s v="PHN-4566"/>
    <n v="719.41"/>
    <n v="1125.99"/>
    <s v="Medium"/>
    <n v="4.1000000000000002E-2"/>
    <n v="21"/>
    <n v="22676.312610000001"/>
    <n v="142959.29522999999"/>
    <n v="15107.609999999999"/>
    <n v="7568.7026100000021"/>
    <n v="0.33377131194876403"/>
    <n v="202504"/>
    <n v="202301"/>
    <s v="Apr-2023"/>
    <n v="27"/>
    <s v="On Time"/>
    <n v="1"/>
    <n v="0"/>
  </r>
  <r>
    <x v="585"/>
    <d v="2023-05-03T00:00:00"/>
    <s v="May-2023"/>
    <x v="2"/>
    <d v="2023-05-16T00:00:00"/>
    <n v="13"/>
    <x v="2"/>
    <x v="10"/>
    <s v="New York"/>
    <s v="Americas &gt; USA &gt; New York"/>
    <s v="Corporate"/>
    <x v="2"/>
    <x v="4"/>
    <x v="3"/>
    <s v="PHN-5366"/>
    <n v="64.5"/>
    <n v="123.62"/>
    <s v="Low"/>
    <n v="0"/>
    <n v="3"/>
    <n v="370.86"/>
    <n v="142959.29522999999"/>
    <n v="193.5"/>
    <n v="177.36"/>
    <n v="0.47823976702798904"/>
    <n v="202305"/>
    <n v="202301"/>
    <s v="May-2023"/>
    <n v="4"/>
    <s v="Late"/>
    <n v="0"/>
    <n v="0"/>
  </r>
  <r>
    <x v="586"/>
    <d v="2024-03-13T00:00:00"/>
    <s v="Mar-2024"/>
    <x v="0"/>
    <d v="2024-04-06T00:00:00"/>
    <n v="24"/>
    <x v="0"/>
    <x v="1"/>
    <s v="Abuja"/>
    <s v="Africa &gt; Nigeria &gt; Abuja"/>
    <s v="Consumer"/>
    <x v="3"/>
    <x v="4"/>
    <x v="0"/>
    <s v="CMP-9001"/>
    <n v="1232.78"/>
    <n v="1731.75"/>
    <s v="High"/>
    <n v="9.2999999999999999E-2"/>
    <n v="16"/>
    <n v="25131.155999999999"/>
    <n v="142959.29522999999"/>
    <n v="19724.48"/>
    <n v="5406.6759999999995"/>
    <n v="0.21513837246484005"/>
    <n v="202403"/>
    <n v="202301"/>
    <s v="Mar-2023"/>
    <n v="14"/>
    <s v="Late"/>
    <n v="0"/>
    <n v="0"/>
  </r>
  <r>
    <x v="587"/>
    <d v="2024-06-16T00:00:00"/>
    <s v="Jun-2024"/>
    <x v="2"/>
    <d v="2024-06-21T00:00:00"/>
    <n v="5"/>
    <x v="1"/>
    <x v="2"/>
    <s v="Tokyo"/>
    <s v="Asia &gt; Japan &gt; Tokyo"/>
    <s v="Small Business"/>
    <x v="3"/>
    <x v="9"/>
    <x v="3"/>
    <s v="PHN-9677"/>
    <n v="1367.13"/>
    <n v="3062.01"/>
    <s v="High"/>
    <n v="0.10299999999999999"/>
    <n v="25"/>
    <n v="68665.574250000005"/>
    <n v="117828.13922999999"/>
    <n v="34178.25"/>
    <n v="34487.324250000005"/>
    <n v="0.50225057645971705"/>
    <n v="202406"/>
    <n v="202303"/>
    <s v="Jun-2023"/>
    <n v="15"/>
    <s v="On Time"/>
    <n v="1"/>
    <n v="0"/>
  </r>
  <r>
    <x v="588"/>
    <d v="2025-02-15T00:00:00"/>
    <s v="Feb-2025"/>
    <x v="0"/>
    <d v="2025-02-27T00:00:00"/>
    <n v="12"/>
    <x v="3"/>
    <x v="7"/>
    <s v="Lyon"/>
    <s v="Europe &gt; France &gt; Lyon"/>
    <s v="Non-Profit"/>
    <x v="4"/>
    <x v="11"/>
    <x v="6"/>
    <s v="ACC-1604"/>
    <n v="1027.26"/>
    <n v="2200.41"/>
    <s v="High"/>
    <n v="8.7999999999999995E-2"/>
    <n v="6"/>
    <n v="12040.64352"/>
    <n v="117828.13922999999"/>
    <n v="6163.5599999999995"/>
    <n v="5877.0835200000001"/>
    <n v="0.48810377204822358"/>
    <n v="202502"/>
    <n v="202301"/>
    <s v="Feb-2023"/>
    <n v="25"/>
    <s v="Late"/>
    <n v="0"/>
    <n v="0"/>
  </r>
  <r>
    <x v="589"/>
    <d v="2023-04-03T00:00:00"/>
    <s v="Apr-2023"/>
    <x v="2"/>
    <d v="2023-04-16T00:00:00"/>
    <n v="13"/>
    <x v="3"/>
    <x v="7"/>
    <s v="Marseille"/>
    <s v="Europe &gt; France &gt; Marseille"/>
    <s v="Non-Profit"/>
    <x v="2"/>
    <x v="12"/>
    <x v="6"/>
    <s v="ACC-4815"/>
    <n v="790.54"/>
    <n v="601.49"/>
    <s v="Medium"/>
    <n v="0"/>
    <n v="15"/>
    <n v="9022.35"/>
    <n v="117828.13922999999"/>
    <n v="11858.099999999999"/>
    <n v="-2835.7499999999982"/>
    <n v="-0.31430281467688553"/>
    <n v="202304"/>
    <n v="202301"/>
    <s v="Apr-2023"/>
    <n v="3"/>
    <s v="Late"/>
    <n v="0"/>
    <n v="0"/>
  </r>
  <r>
    <x v="590"/>
    <d v="2025-08-30T00:00:00"/>
    <s v="Aug-2025"/>
    <x v="3"/>
    <d v="2025-09-22T00:00:00"/>
    <n v="23"/>
    <x v="3"/>
    <x v="7"/>
    <s v="Marseille"/>
    <s v="Europe &gt; France &gt; Marseille"/>
    <s v="Corporate"/>
    <x v="4"/>
    <x v="6"/>
    <x v="0"/>
    <s v="CMP-5311"/>
    <n v="663.9"/>
    <n v="947.77"/>
    <s v="Medium"/>
    <n v="0.17399999999999999"/>
    <n v="15"/>
    <n v="11742.8703"/>
    <n v="117828.13922999999"/>
    <n v="9958.5"/>
    <n v="1784.3703000000005"/>
    <n v="0.1519535049280073"/>
    <n v="202508"/>
    <n v="202301"/>
    <s v="Aug-2023"/>
    <n v="31"/>
    <s v="Late"/>
    <n v="0"/>
    <n v="0"/>
  </r>
  <r>
    <x v="591"/>
    <d v="2023-02-27T00:00:00"/>
    <s v="Feb-2023"/>
    <x v="0"/>
    <d v="2023-02-28T00:00:00"/>
    <n v="1"/>
    <x v="2"/>
    <x v="10"/>
    <s v="San Francisco"/>
    <s v="Americas &gt; USA &gt; San Francisco"/>
    <s v="Non-Profit"/>
    <x v="1"/>
    <x v="4"/>
    <x v="2"/>
    <s v="NET-1282"/>
    <n v="1015.91"/>
    <n v="2331.48"/>
    <s v="High"/>
    <n v="0.14599999999999999"/>
    <n v="26"/>
    <n v="51768.181920000003"/>
    <n v="106085.26892999999"/>
    <n v="26413.66"/>
    <n v="25354.521920000003"/>
    <n v="0.48977037592669626"/>
    <n v="202302"/>
    <n v="202301"/>
    <s v="Feb-2023"/>
    <n v="1"/>
    <s v="On Time"/>
    <n v="1"/>
    <n v="0"/>
  </r>
  <r>
    <x v="592"/>
    <d v="2024-07-31T00:00:00"/>
    <s v="Jul-2024"/>
    <x v="3"/>
    <d v="2024-08-15T00:00:00"/>
    <n v="15"/>
    <x v="1"/>
    <x v="2"/>
    <s v="Tokyo"/>
    <s v="Asia &gt; Japan &gt; Tokyo"/>
    <s v="Corporate"/>
    <x v="2"/>
    <x v="9"/>
    <x v="5"/>
    <s v="MON-1564"/>
    <n v="1252.52"/>
    <n v="1417.24"/>
    <s v="High"/>
    <n v="0.192"/>
    <n v="5"/>
    <n v="5725.6496000000006"/>
    <n v="106085.26892999999"/>
    <n v="6262.6"/>
    <n v="-536.95039999999972"/>
    <n v="-9.3779821943696953E-2"/>
    <n v="202407"/>
    <n v="202303"/>
    <s v="Jul-2023"/>
    <n v="16"/>
    <s v="Late"/>
    <n v="0"/>
    <n v="0"/>
  </r>
  <r>
    <x v="593"/>
    <d v="2025-06-15T00:00:00"/>
    <s v="Jun-2025"/>
    <x v="2"/>
    <d v="2025-07-12T00:00:00"/>
    <n v="27"/>
    <x v="3"/>
    <x v="7"/>
    <s v="Marseille"/>
    <s v="Europe &gt; France &gt; Marseille"/>
    <s v="Consumer"/>
    <x v="4"/>
    <x v="0"/>
    <x v="6"/>
    <s v="ACC-7906"/>
    <n v="318.83"/>
    <n v="699.5"/>
    <s v="Low"/>
    <n v="0.08"/>
    <n v="13"/>
    <n v="8366.02"/>
    <n v="106085.26892999999"/>
    <n v="4144.79"/>
    <n v="4221.2300000000005"/>
    <n v="0.50456848059172699"/>
    <n v="202506"/>
    <n v="202301"/>
    <s v="Jun-2023"/>
    <n v="29"/>
    <s v="Late"/>
    <n v="0"/>
    <n v="0"/>
  </r>
  <r>
    <x v="594"/>
    <d v="2024-06-30T00:00:00"/>
    <s v="Jun-2024"/>
    <x v="2"/>
    <d v="2024-07-21T00:00:00"/>
    <n v="21"/>
    <x v="0"/>
    <x v="0"/>
    <s v="Kisumu"/>
    <s v="Africa &gt; Kenya &gt; Kisumu"/>
    <s v="Small Business"/>
    <x v="0"/>
    <x v="11"/>
    <x v="4"/>
    <s v="LAP-6577"/>
    <n v="753.43"/>
    <n v="1787.2"/>
    <s v="Medium"/>
    <n v="7.2999999999999995E-2"/>
    <n v="9"/>
    <n v="14910.609600000002"/>
    <n v="106085.26892999999"/>
    <n v="6780.87"/>
    <n v="8129.7396000000017"/>
    <n v="0.54523187301476939"/>
    <n v="202406"/>
    <n v="202301"/>
    <s v="Jun-2023"/>
    <n v="17"/>
    <s v="Late"/>
    <n v="0"/>
    <n v="0"/>
  </r>
  <r>
    <x v="595"/>
    <d v="2025-02-17T00:00:00"/>
    <s v="Feb-2025"/>
    <x v="0"/>
    <d v="2025-02-19T00:00:00"/>
    <n v="2"/>
    <x v="2"/>
    <x v="3"/>
    <s v="Toronto"/>
    <s v="Americas &gt; Canada &gt; Toronto"/>
    <s v="Small Business"/>
    <x v="0"/>
    <x v="14"/>
    <x v="0"/>
    <s v="CMP-5065"/>
    <n v="1133.47"/>
    <n v="1698.75"/>
    <s v="High"/>
    <n v="4.2999999999999997E-2"/>
    <n v="5"/>
    <n v="8128.5187499999993"/>
    <n v="106085.26892999999"/>
    <n v="5667.35"/>
    <n v="2461.1687499999989"/>
    <n v="0.30278194904821976"/>
    <n v="202502"/>
    <n v="202301"/>
    <s v="Feb-2023"/>
    <n v="25"/>
    <s v="On Time"/>
    <n v="1"/>
    <n v="0"/>
  </r>
  <r>
    <x v="596"/>
    <d v="2023-01-07T00:00:00"/>
    <s v="Jan-2023"/>
    <x v="0"/>
    <d v="2023-01-30T00:00:00"/>
    <n v="23"/>
    <x v="0"/>
    <x v="11"/>
    <s v="Cape Town"/>
    <s v="Africa &gt; South Africa &gt; Cape Town"/>
    <s v="Consumer"/>
    <x v="1"/>
    <x v="8"/>
    <x v="1"/>
    <s v="PRN-4787"/>
    <n v="299.02"/>
    <n v="724.7"/>
    <s v="Low"/>
    <n v="0.14000000000000001"/>
    <n v="5"/>
    <n v="3116.21"/>
    <n v="97956.750180000003"/>
    <n v="1495.1"/>
    <n v="1621.1100000000001"/>
    <n v="0.52021847051386139"/>
    <n v="202301"/>
    <n v="202301"/>
    <s v="Jan-2023"/>
    <n v="0"/>
    <s v="Late"/>
    <n v="0"/>
    <n v="0"/>
  </r>
  <r>
    <x v="597"/>
    <d v="2025-03-10T00:00:00"/>
    <s v="Mar-2025"/>
    <x v="0"/>
    <d v="2025-04-04T00:00:00"/>
    <n v="25"/>
    <x v="1"/>
    <x v="2"/>
    <s v="Osaka"/>
    <s v="Asia &gt; Japan &gt; Osaka"/>
    <s v="Corporate"/>
    <x v="4"/>
    <x v="10"/>
    <x v="1"/>
    <s v="PRN-9867"/>
    <n v="783.72"/>
    <n v="1355.94"/>
    <s v="Medium"/>
    <n v="0.187"/>
    <n v="4"/>
    <n v="4409.5168800000001"/>
    <n v="97956.750180000003"/>
    <n v="3134.88"/>
    <n v="1274.63688"/>
    <n v="0.28906497348525856"/>
    <n v="202503"/>
    <n v="202303"/>
    <s v="Mar-2023"/>
    <n v="24"/>
    <s v="Late"/>
    <n v="0"/>
    <n v="0"/>
  </r>
  <r>
    <x v="598"/>
    <d v="2024-08-17T00:00:00"/>
    <s v="Aug-2024"/>
    <x v="3"/>
    <d v="2024-08-19T00:00:00"/>
    <n v="2"/>
    <x v="2"/>
    <x v="5"/>
    <s v="Rio de Janeiro"/>
    <s v="Americas &gt; Brazil &gt; Rio de Janeiro"/>
    <s v="Consumer"/>
    <x v="4"/>
    <x v="12"/>
    <x v="5"/>
    <s v="MON-2849"/>
    <n v="165.3"/>
    <n v="275.07"/>
    <s v="Low"/>
    <n v="0.13300000000000001"/>
    <n v="25"/>
    <n v="5962.1422499999999"/>
    <n v="97956.750180000003"/>
    <n v="4132.5"/>
    <n v="1829.6422499999999"/>
    <n v="0.30687665159280625"/>
    <n v="202408"/>
    <n v="202301"/>
    <s v="Aug-2023"/>
    <n v="19"/>
    <s v="On Time"/>
    <n v="1"/>
    <n v="0"/>
  </r>
  <r>
    <x v="599"/>
    <d v="2024-03-09T00:00:00"/>
    <s v="Mar-2024"/>
    <x v="0"/>
    <d v="2024-03-22T00:00:00"/>
    <n v="13"/>
    <x v="3"/>
    <x v="8"/>
    <s v="Manchester"/>
    <s v="Europe &gt; United Kingdom &gt; Manchester"/>
    <s v="Consumer"/>
    <x v="1"/>
    <x v="6"/>
    <x v="4"/>
    <s v="LAP-8633"/>
    <n v="985.45"/>
    <n v="1802.44"/>
    <s v="Medium"/>
    <n v="8.9999999999999993E-3"/>
    <n v="19"/>
    <n v="33938.142760000002"/>
    <n v="97956.750180000003"/>
    <n v="18723.55"/>
    <n v="15214.592760000003"/>
    <n v="0.44830363486867486"/>
    <n v="202403"/>
    <n v="202301"/>
    <s v="Mar-2023"/>
    <n v="14"/>
    <s v="Late"/>
    <n v="0"/>
    <n v="0"/>
  </r>
  <r>
    <x v="600"/>
    <d v="2024-08-19T00:00:00"/>
    <s v="Aug-2024"/>
    <x v="3"/>
    <d v="2024-09-02T00:00:00"/>
    <n v="14"/>
    <x v="2"/>
    <x v="3"/>
    <s v="Toronto"/>
    <s v="Americas &gt; Canada &gt; Toronto"/>
    <s v="Consumer"/>
    <x v="3"/>
    <x v="0"/>
    <x v="1"/>
    <s v="PRN-9793"/>
    <n v="1337.01"/>
    <n v="1269.78"/>
    <s v="High"/>
    <n v="0.16"/>
    <n v="7"/>
    <n v="7466.3063999999986"/>
    <n v="97956.750180000003"/>
    <n v="9359.07"/>
    <n v="-1892.7636000000011"/>
    <n v="-0.25350735672996244"/>
    <n v="202408"/>
    <n v="202301"/>
    <s v="Aug-2023"/>
    <n v="19"/>
    <s v="Late"/>
    <n v="0"/>
    <n v="0"/>
  </r>
  <r>
    <x v="601"/>
    <d v="2025-08-11T00:00:00"/>
    <s v="Aug-2025"/>
    <x v="3"/>
    <d v="2025-08-28T00:00:00"/>
    <n v="17"/>
    <x v="3"/>
    <x v="7"/>
    <s v="Paris"/>
    <s v="Europe &gt; France &gt; Paris"/>
    <s v="Education"/>
    <x v="1"/>
    <x v="9"/>
    <x v="2"/>
    <s v="NET-6218"/>
    <n v="416.16"/>
    <n v="571.9"/>
    <s v="Low"/>
    <n v="7.0999999999999994E-2"/>
    <n v="2"/>
    <n v="1062.5902000000001"/>
    <n v="97956.750180000003"/>
    <n v="832.32"/>
    <n v="230.27020000000005"/>
    <n v="0.21670649701079497"/>
    <n v="202508"/>
    <n v="202301"/>
    <s v="Aug-2023"/>
    <n v="31"/>
    <s v="Late"/>
    <n v="0"/>
    <n v="0"/>
  </r>
  <r>
    <x v="602"/>
    <d v="2025-05-16T00:00:00"/>
    <s v="May-2025"/>
    <x v="2"/>
    <d v="2025-05-18T00:00:00"/>
    <n v="2"/>
    <x v="1"/>
    <x v="2"/>
    <s v="Tokyo"/>
    <s v="Asia &gt; Japan &gt; Tokyo"/>
    <s v="Enterprise"/>
    <x v="0"/>
    <x v="1"/>
    <x v="1"/>
    <s v="PRN-6131"/>
    <n v="1144.3800000000001"/>
    <n v="2755.04"/>
    <s v="High"/>
    <n v="0.15"/>
    <n v="17"/>
    <n v="39810.328000000001"/>
    <n v="97956.750180000003"/>
    <n v="19454.460000000003"/>
    <n v="20355.867999999999"/>
    <n v="0.51132128326096682"/>
    <n v="202505"/>
    <n v="202303"/>
    <s v="May-2023"/>
    <n v="26"/>
    <s v="On Time"/>
    <n v="1"/>
    <n v="0"/>
  </r>
  <r>
    <x v="603"/>
    <d v="2023-04-10T00:00:00"/>
    <s v="Apr-2023"/>
    <x v="2"/>
    <d v="2023-04-25T00:00:00"/>
    <n v="15"/>
    <x v="3"/>
    <x v="8"/>
    <s v="London"/>
    <s v="Europe &gt; United Kingdom &gt; London"/>
    <s v="Small Business"/>
    <x v="0"/>
    <x v="14"/>
    <x v="1"/>
    <s v="PRN-5067"/>
    <n v="405.66"/>
    <n v="962.51"/>
    <s v="Low"/>
    <n v="0.19"/>
    <n v="7"/>
    <n v="5457.4317000000001"/>
    <n v="97956.750180000003"/>
    <n v="2839.6200000000003"/>
    <n v="2617.8116999999997"/>
    <n v="0.47967832561239376"/>
    <n v="202304"/>
    <n v="202301"/>
    <s v="Apr-2023"/>
    <n v="3"/>
    <s v="Late"/>
    <n v="0"/>
    <n v="0"/>
  </r>
  <r>
    <x v="604"/>
    <d v="2023-09-17T00:00:00"/>
    <s v="Sept-2023"/>
    <x v="3"/>
    <d v="2023-10-02T00:00:00"/>
    <n v="15"/>
    <x v="2"/>
    <x v="5"/>
    <s v="Rio de Janeiro"/>
    <s v="Americas &gt; Brazil &gt; Rio de Janeiro"/>
    <s v="Small Business"/>
    <x v="0"/>
    <x v="5"/>
    <x v="4"/>
    <s v="LAP-4932"/>
    <n v="689.33"/>
    <n v="668.27"/>
    <s v="Medium"/>
    <n v="0.186"/>
    <n v="13"/>
    <n v="7071.6331400000008"/>
    <n v="97956.750180000003"/>
    <n v="8961.2900000000009"/>
    <n v="-1889.6568600000001"/>
    <n v="-0.26721647214861033"/>
    <n v="202309"/>
    <n v="202301"/>
    <s v="Sept-2023"/>
    <n v="8"/>
    <s v="Late"/>
    <n v="0"/>
    <n v="0"/>
  </r>
  <r>
    <x v="605"/>
    <d v="2023-04-22T00:00:00"/>
    <s v="Apr-2023"/>
    <x v="2"/>
    <d v="2023-05-14T00:00:00"/>
    <n v="22"/>
    <x v="1"/>
    <x v="2"/>
    <s v="Nagoya"/>
    <s v="Asia &gt; Japan &gt; Nagoya"/>
    <s v="Enterprise"/>
    <x v="0"/>
    <x v="8"/>
    <x v="6"/>
    <s v="ACC-7713"/>
    <n v="1209.22"/>
    <n v="1404.33"/>
    <s v="High"/>
    <n v="0.10299999999999999"/>
    <n v="11"/>
    <n v="13856.52411"/>
    <n v="97956.750180000003"/>
    <n v="13301.42"/>
    <n v="555.10411000000022"/>
    <n v="4.0060848275751328E-2"/>
    <n v="202304"/>
    <n v="202303"/>
    <s v="Apr-2023"/>
    <n v="1"/>
    <s v="Late"/>
    <n v="0"/>
    <n v="0"/>
  </r>
  <r>
    <x v="606"/>
    <d v="2025-06-19T00:00:00"/>
    <s v="Jun-2025"/>
    <x v="2"/>
    <d v="2025-06-21T00:00:00"/>
    <n v="2"/>
    <x v="0"/>
    <x v="11"/>
    <s v="Johannesburg"/>
    <s v="Africa &gt; South Africa &gt; Johannesburg"/>
    <s v="Small Business"/>
    <x v="5"/>
    <x v="10"/>
    <x v="3"/>
    <s v="PHN-7379"/>
    <n v="1466.27"/>
    <n v="3589.89"/>
    <s v="High"/>
    <n v="9.7000000000000003E-2"/>
    <n v="9"/>
    <n v="29175.036029999999"/>
    <n v="97956.750180000003"/>
    <n v="13196.43"/>
    <n v="15978.606029999999"/>
    <n v="0.54768076425234147"/>
    <n v="202506"/>
    <n v="202301"/>
    <s v="Jun-2023"/>
    <n v="29"/>
    <s v="On Time"/>
    <n v="1"/>
    <n v="0"/>
  </r>
  <r>
    <x v="607"/>
    <d v="2024-11-27T00:00:00"/>
    <s v="Nov-2024"/>
    <x v="1"/>
    <d v="2024-12-24T00:00:00"/>
    <n v="27"/>
    <x v="0"/>
    <x v="0"/>
    <s v="Mombasa"/>
    <s v="Africa &gt; Kenya &gt; Mombasa"/>
    <s v="Corporate"/>
    <x v="3"/>
    <x v="5"/>
    <x v="1"/>
    <s v="PRN-5569"/>
    <n v="143.33000000000001"/>
    <n v="233.51"/>
    <s v="Low"/>
    <n v="0.16300000000000001"/>
    <n v="14"/>
    <n v="2736.27018"/>
    <n v="97956.750180000003"/>
    <n v="2006.6200000000001"/>
    <n v="729.65017999999986"/>
    <n v="0.26665867476580835"/>
    <n v="202411"/>
    <n v="202301"/>
    <s v="Nov-2023"/>
    <n v="22"/>
    <s v="Late"/>
    <n v="0"/>
    <n v="0"/>
  </r>
  <r>
    <x v="608"/>
    <d v="2024-01-28T00:00:00"/>
    <s v="Jan-2024"/>
    <x v="0"/>
    <d v="2024-01-29T00:00:00"/>
    <n v="1"/>
    <x v="0"/>
    <x v="11"/>
    <s v="Cape Town"/>
    <s v="Africa &gt; South Africa &gt; Cape Town"/>
    <s v="Enterprise"/>
    <x v="4"/>
    <x v="7"/>
    <x v="0"/>
    <s v="CMP-1470"/>
    <n v="109.75"/>
    <n v="124.25"/>
    <s v="Low"/>
    <n v="0.12"/>
    <n v="19"/>
    <n v="2077.46"/>
    <n v="97956.750180000003"/>
    <n v="2085.25"/>
    <n v="-7.7899999999999636"/>
    <n v="-3.7497713554051405E-3"/>
    <n v="202401"/>
    <n v="202301"/>
    <s v="Jan-2023"/>
    <n v="12"/>
    <s v="On Time"/>
    <n v="1"/>
    <n v="0"/>
  </r>
  <r>
    <x v="609"/>
    <d v="2023-04-16T00:00:00"/>
    <s v="Apr-2023"/>
    <x v="2"/>
    <d v="2023-04-23T00:00:00"/>
    <n v="7"/>
    <x v="2"/>
    <x v="10"/>
    <s v="Austin"/>
    <s v="Americas &gt; USA &gt; Austin"/>
    <s v="Corporate"/>
    <x v="3"/>
    <x v="7"/>
    <x v="1"/>
    <s v="PRN-9249"/>
    <n v="1099.1500000000001"/>
    <n v="1431.37"/>
    <s v="High"/>
    <n v="0.104"/>
    <n v="8"/>
    <n v="10260.060159999999"/>
    <n v="95879.290179999996"/>
    <n v="8793.2000000000007"/>
    <n v="1466.8601599999984"/>
    <n v="0.14296798821109433"/>
    <n v="202304"/>
    <n v="202301"/>
    <s v="Apr-2023"/>
    <n v="3"/>
    <s v="On Time"/>
    <n v="1"/>
    <n v="0"/>
  </r>
  <r>
    <x v="610"/>
    <d v="2024-02-01T00:00:00"/>
    <s v="Feb-2024"/>
    <x v="0"/>
    <d v="2024-02-01T00:00:00"/>
    <n v="0"/>
    <x v="2"/>
    <x v="10"/>
    <s v="Austin"/>
    <s v="Americas &gt; USA &gt; Austin"/>
    <s v="Consumer"/>
    <x v="3"/>
    <x v="10"/>
    <x v="1"/>
    <s v="PRN-4906"/>
    <n v="714.43"/>
    <n v="1595.52"/>
    <s v="Medium"/>
    <n v="0.19400000000000001"/>
    <n v="14"/>
    <n v="18003.847679999999"/>
    <n v="95879.290179999996"/>
    <n v="10002.019999999999"/>
    <n v="8001.8276800000003"/>
    <n v="0.44445097638151093"/>
    <n v="202402"/>
    <n v="202301"/>
    <s v="Feb-2023"/>
    <n v="13"/>
    <s v="On Time"/>
    <n v="1"/>
    <n v="0"/>
  </r>
  <r>
    <x v="611"/>
    <d v="2024-10-19T00:00:00"/>
    <s v="Oct-2024"/>
    <x v="1"/>
    <d v="2024-11-06T00:00:00"/>
    <n v="18"/>
    <x v="2"/>
    <x v="10"/>
    <s v="Chicago"/>
    <s v="Americas &gt; USA &gt; Chicago"/>
    <s v="Education"/>
    <x v="5"/>
    <x v="0"/>
    <x v="5"/>
    <s v="MON-8129"/>
    <n v="942.02"/>
    <n v="1028.46"/>
    <s v="Medium"/>
    <n v="0"/>
    <n v="9"/>
    <n v="9256.14"/>
    <n v="95879.290179999996"/>
    <n v="8478.18"/>
    <n v="777.95999999999913"/>
    <n v="8.4047994088248354E-2"/>
    <n v="202410"/>
    <n v="202301"/>
    <s v="Oct-2023"/>
    <n v="21"/>
    <s v="Late"/>
    <n v="0"/>
    <n v="0"/>
  </r>
  <r>
    <x v="612"/>
    <d v="2024-06-25T00:00:00"/>
    <s v="Jun-2024"/>
    <x v="2"/>
    <d v="2024-06-30T00:00:00"/>
    <n v="5"/>
    <x v="0"/>
    <x v="0"/>
    <s v="Kisumu"/>
    <s v="Africa &gt; Kenya &gt; Kisumu"/>
    <s v="Education"/>
    <x v="4"/>
    <x v="12"/>
    <x v="2"/>
    <s v="NET-5987"/>
    <n v="1323.55"/>
    <n v="3230.35"/>
    <s v="High"/>
    <n v="2.1999999999999999E-2"/>
    <n v="26"/>
    <n v="82141.339799999987"/>
    <n v="95879.290179999996"/>
    <n v="34412.299999999996"/>
    <n v="47729.039799999991"/>
    <n v="0.58105991351263542"/>
    <n v="202406"/>
    <n v="202301"/>
    <s v="Jun-2023"/>
    <n v="17"/>
    <s v="On Time"/>
    <n v="1"/>
    <n v="0"/>
  </r>
  <r>
    <x v="613"/>
    <d v="2023-07-30T00:00:00"/>
    <s v="Jul-2023"/>
    <x v="3"/>
    <d v="2023-08-19T00:00:00"/>
    <n v="20"/>
    <x v="3"/>
    <x v="7"/>
    <s v="Paris"/>
    <s v="Europe &gt; France &gt; Paris"/>
    <s v="Enterprise"/>
    <x v="2"/>
    <x v="3"/>
    <x v="2"/>
    <s v="NET-5423"/>
    <n v="1418.51"/>
    <n v="2789.61"/>
    <s v="High"/>
    <n v="0.17100000000000001"/>
    <n v="8"/>
    <n v="18500.693520000001"/>
    <n v="95879.290179999996"/>
    <n v="11348.08"/>
    <n v="7152.6135200000008"/>
    <n v="0.38661326464695689"/>
    <n v="202307"/>
    <n v="202301"/>
    <s v="Jul-2023"/>
    <n v="6"/>
    <s v="Late"/>
    <n v="0"/>
    <n v="0"/>
  </r>
  <r>
    <x v="614"/>
    <d v="2025-03-11T00:00:00"/>
    <s v="Mar-2025"/>
    <x v="0"/>
    <d v="2025-03-27T00:00:00"/>
    <n v="16"/>
    <x v="1"/>
    <x v="2"/>
    <s v="Tokyo"/>
    <s v="Asia &gt; Japan &gt; Tokyo"/>
    <s v="Enterprise"/>
    <x v="3"/>
    <x v="5"/>
    <x v="1"/>
    <s v="PRN-5264"/>
    <n v="1317.58"/>
    <n v="1897.74"/>
    <s v="High"/>
    <n v="8.1000000000000003E-2"/>
    <n v="6"/>
    <n v="10464.138360000001"/>
    <n v="95879.290179999996"/>
    <n v="7905.48"/>
    <n v="2558.6583600000013"/>
    <n v="0.24451687009230266"/>
    <n v="202503"/>
    <n v="202303"/>
    <s v="Mar-2023"/>
    <n v="24"/>
    <s v="Late"/>
    <n v="0"/>
    <n v="0"/>
  </r>
  <r>
    <x v="615"/>
    <d v="2023-10-09T00:00:00"/>
    <s v="Oct-2023"/>
    <x v="1"/>
    <d v="2023-10-11T00:00:00"/>
    <n v="2"/>
    <x v="0"/>
    <x v="1"/>
    <s v="Port Harcourt"/>
    <s v="Africa &gt; Nigeria &gt; Port Harcourt"/>
    <s v="Education"/>
    <x v="2"/>
    <x v="11"/>
    <x v="2"/>
    <s v="NET-8856"/>
    <n v="391.16"/>
    <n v="902.47"/>
    <s v="Low"/>
    <n v="4.0000000000000001E-3"/>
    <n v="12"/>
    <n v="10786.32144"/>
    <n v="95879.290179999996"/>
    <n v="4693.92"/>
    <n v="6092.4014399999996"/>
    <n v="0.56482661618139207"/>
    <n v="202310"/>
    <n v="202301"/>
    <s v="Oct-2023"/>
    <n v="9"/>
    <s v="On Time"/>
    <n v="1"/>
    <n v="0"/>
  </r>
  <r>
    <x v="616"/>
    <d v="2024-12-17T00:00:00"/>
    <s v="Dec-2024"/>
    <x v="1"/>
    <d v="2025-01-16T00:00:00"/>
    <n v="30"/>
    <x v="3"/>
    <x v="8"/>
    <s v="Manchester"/>
    <s v="Europe &gt; United Kingdom &gt; Manchester"/>
    <s v="Corporate"/>
    <x v="0"/>
    <x v="14"/>
    <x v="5"/>
    <s v="MON-4215"/>
    <n v="722.87"/>
    <n v="33.659999999999997"/>
    <s v="Medium"/>
    <n v="0.10199999999999999"/>
    <n v="28"/>
    <n v="846.34703999999988"/>
    <n v="95879.290179999996"/>
    <n v="20240.36"/>
    <n v="-19394.01296"/>
    <n v="-22.914965189693348"/>
    <n v="202412"/>
    <n v="202301"/>
    <s v="Dec-2023"/>
    <n v="23"/>
    <s v="Late"/>
    <n v="0"/>
    <n v="0"/>
  </r>
  <r>
    <x v="617"/>
    <d v="2025-07-11T00:00:00"/>
    <s v="Jul-2025"/>
    <x v="3"/>
    <d v="2025-07-16T00:00:00"/>
    <n v="5"/>
    <x v="3"/>
    <x v="8"/>
    <s v="London"/>
    <s v="Europe &gt; United Kingdom &gt; London"/>
    <s v="Enterprise"/>
    <x v="1"/>
    <x v="11"/>
    <x v="1"/>
    <s v="PRN-5753"/>
    <n v="930.03"/>
    <n v="1086.68"/>
    <s v="Medium"/>
    <n v="0.109"/>
    <n v="26"/>
    <n v="25174.028880000002"/>
    <n v="95879.290179999996"/>
    <n v="24180.78"/>
    <n v="993.24888000000283"/>
    <n v="3.9455300728168656E-2"/>
    <n v="202507"/>
    <n v="202301"/>
    <s v="Jul-2023"/>
    <n v="30"/>
    <s v="On Time"/>
    <n v="1"/>
    <n v="0"/>
  </r>
  <r>
    <x v="618"/>
    <d v="2024-10-13T00:00:00"/>
    <s v="Oct-2024"/>
    <x v="1"/>
    <d v="2024-10-24T00:00:00"/>
    <n v="11"/>
    <x v="3"/>
    <x v="7"/>
    <s v="Paris"/>
    <s v="Europe &gt; France &gt; Paris"/>
    <s v="Education"/>
    <x v="3"/>
    <x v="9"/>
    <x v="0"/>
    <s v="CMP-5006"/>
    <n v="816.7"/>
    <n v="1010.75"/>
    <s v="Medium"/>
    <n v="4.7E-2"/>
    <n v="43"/>
    <n v="41419.524249999995"/>
    <n v="95879.290179999996"/>
    <n v="35118.1"/>
    <n v="6301.4242499999964"/>
    <n v="0.15213656757537472"/>
    <n v="202410"/>
    <n v="202301"/>
    <s v="Oct-2023"/>
    <n v="21"/>
    <s v="Late"/>
    <n v="0"/>
    <n v="0"/>
  </r>
  <r>
    <x v="619"/>
    <d v="2023-09-08T00:00:00"/>
    <s v="Sept-2023"/>
    <x v="3"/>
    <d v="2023-09-14T00:00:00"/>
    <n v="6"/>
    <x v="0"/>
    <x v="0"/>
    <s v="Nakuru"/>
    <s v="Africa &gt; Kenya &gt; Nakuru"/>
    <s v="Education"/>
    <x v="4"/>
    <x v="2"/>
    <x v="6"/>
    <s v="ACC-4766"/>
    <n v="251.03"/>
    <n v="411.48"/>
    <s v="Low"/>
    <n v="0.16500000000000001"/>
    <n v="3"/>
    <n v="1030.7574"/>
    <n v="54459.765930000001"/>
    <n v="753.09"/>
    <n v="277.66739999999993"/>
    <n v="0.26938191275658069"/>
    <n v="202309"/>
    <n v="202301"/>
    <s v="Sept-2023"/>
    <n v="8"/>
    <s v="On Time"/>
    <n v="1"/>
    <n v="0"/>
  </r>
  <r>
    <x v="620"/>
    <d v="2025-04-17T00:00:00"/>
    <s v="Apr-2025"/>
    <x v="2"/>
    <d v="2025-05-03T00:00:00"/>
    <n v="16"/>
    <x v="2"/>
    <x v="5"/>
    <s v="Rio de Janeiro"/>
    <s v="Americas &gt; Brazil &gt; Rio de Janeiro"/>
    <s v="Consumer"/>
    <x v="2"/>
    <x v="1"/>
    <x v="2"/>
    <s v="NET-8610"/>
    <n v="168.68"/>
    <n v="413.34"/>
    <s v="Low"/>
    <n v="0.186"/>
    <n v="7"/>
    <n v="2355.2113199999999"/>
    <n v="54459.765930000001"/>
    <n v="1180.76"/>
    <n v="1174.4513199999999"/>
    <n v="0.49866069767361682"/>
    <n v="202504"/>
    <n v="202301"/>
    <s v="Apr-2023"/>
    <n v="27"/>
    <s v="Late"/>
    <n v="0"/>
    <n v="0"/>
  </r>
  <r>
    <x v="621"/>
    <d v="2024-07-28T00:00:00"/>
    <s v="Jul-2024"/>
    <x v="3"/>
    <d v="2024-08-23T00:00:00"/>
    <n v="26"/>
    <x v="1"/>
    <x v="4"/>
    <s v="Hyderabad"/>
    <s v="Asia &gt; India &gt; Hyderabad"/>
    <s v="Corporate"/>
    <x v="0"/>
    <x v="1"/>
    <x v="2"/>
    <s v="NET-4675"/>
    <n v="1339.24"/>
    <n v="1558.89"/>
    <s v="High"/>
    <n v="0.192"/>
    <n v="24"/>
    <n v="30229.994880000002"/>
    <n v="54459.765930000001"/>
    <n v="32141.760000000002"/>
    <n v="-1911.76512"/>
    <n v="-6.3240669659021781E-2"/>
    <n v="202407"/>
    <n v="202301"/>
    <s v="Jul-2023"/>
    <n v="18"/>
    <s v="Late"/>
    <n v="0"/>
    <n v="0"/>
  </r>
  <r>
    <x v="622"/>
    <d v="2025-07-19T00:00:00"/>
    <s v="Jul-2025"/>
    <x v="3"/>
    <d v="2025-07-31T00:00:00"/>
    <n v="12"/>
    <x v="0"/>
    <x v="0"/>
    <s v="Nairobi"/>
    <s v="Africa &gt; Kenya &gt; Nairobi"/>
    <s v="Small Business"/>
    <x v="2"/>
    <x v="7"/>
    <x v="6"/>
    <s v="ACC-1028"/>
    <n v="619.64"/>
    <n v="861.16"/>
    <s v="Medium"/>
    <n v="0.113"/>
    <n v="14"/>
    <n v="10693.88488"/>
    <n v="54459.765930000001"/>
    <n v="8674.9599999999991"/>
    <n v="2018.9248800000005"/>
    <n v="0.18879246435276761"/>
    <n v="202507"/>
    <n v="202301"/>
    <s v="Jul-2023"/>
    <n v="30"/>
    <s v="Late"/>
    <n v="0"/>
    <n v="0"/>
  </r>
  <r>
    <x v="623"/>
    <d v="2023-08-03T00:00:00"/>
    <s v="Aug-2023"/>
    <x v="3"/>
    <d v="2023-08-04T00:00:00"/>
    <n v="1"/>
    <x v="1"/>
    <x v="9"/>
    <s v="Shanghai"/>
    <s v="Asia &gt; China &gt; Shanghai"/>
    <s v="Non-Profit"/>
    <x v="4"/>
    <x v="1"/>
    <x v="2"/>
    <s v="NET-4735"/>
    <n v="1021.97"/>
    <n v="2296.25"/>
    <s v="High"/>
    <n v="0.161"/>
    <n v="26"/>
    <n v="50090.397499999999"/>
    <n v="54459.765930000001"/>
    <n v="26571.22"/>
    <n v="23519.177499999998"/>
    <n v="0.46953465482081669"/>
    <n v="202308"/>
    <n v="202301"/>
    <s v="Aug-2023"/>
    <n v="7"/>
    <s v="On Time"/>
    <n v="1"/>
    <n v="0"/>
  </r>
  <r>
    <x v="624"/>
    <d v="2023-11-19T00:00:00"/>
    <s v="Nov-2023"/>
    <x v="1"/>
    <d v="2023-12-12T00:00:00"/>
    <n v="23"/>
    <x v="1"/>
    <x v="4"/>
    <s v="Delhi"/>
    <s v="Asia &gt; India &gt; Delhi"/>
    <s v="Small Business"/>
    <x v="4"/>
    <x v="0"/>
    <x v="2"/>
    <s v="NET-2460"/>
    <n v="1349.04"/>
    <n v="2636.6"/>
    <s v="High"/>
    <n v="0.114"/>
    <n v="14"/>
    <n v="32704.386400000003"/>
    <n v="54459.765930000001"/>
    <n v="18886.559999999998"/>
    <n v="13817.826400000005"/>
    <n v="0.42250682312143928"/>
    <n v="202311"/>
    <n v="202301"/>
    <s v="Nov-2023"/>
    <n v="10"/>
    <s v="Late"/>
    <n v="0"/>
    <n v="0"/>
  </r>
  <r>
    <x v="625"/>
    <d v="2023-12-22T00:00:00"/>
    <s v="Dec-2023"/>
    <x v="1"/>
    <d v="2024-01-16T00:00:00"/>
    <n v="25"/>
    <x v="1"/>
    <x v="4"/>
    <s v="Hyderabad"/>
    <s v="Asia &gt; India &gt; Hyderabad"/>
    <s v="Small Business"/>
    <x v="0"/>
    <x v="8"/>
    <x v="0"/>
    <s v="CMP-1555"/>
    <n v="1346.81"/>
    <n v="978.09"/>
    <s v="High"/>
    <n v="0.159"/>
    <n v="17"/>
    <n v="13983.752729999998"/>
    <n v="54459.765930000001"/>
    <n v="22895.77"/>
    <n v="-8912.0172700000021"/>
    <n v="-0.6373122753293996"/>
    <n v="202312"/>
    <n v="202301"/>
    <s v="Dec-2023"/>
    <n v="11"/>
    <s v="Late"/>
    <n v="0"/>
    <n v="0"/>
  </r>
  <r>
    <x v="626"/>
    <d v="2023-08-03T00:00:00"/>
    <s v="Aug-2023"/>
    <x v="3"/>
    <d v="2023-08-30T00:00:00"/>
    <n v="27"/>
    <x v="1"/>
    <x v="9"/>
    <s v="Shanghai"/>
    <s v="Asia &gt; China &gt; Shanghai"/>
    <s v="Consumer"/>
    <x v="3"/>
    <x v="13"/>
    <x v="5"/>
    <s v="MON-3773"/>
    <n v="226.04"/>
    <n v="545.72"/>
    <s v="Low"/>
    <n v="0.151"/>
    <n v="11"/>
    <n v="5096.4790800000001"/>
    <n v="40476.013200000001"/>
    <n v="2486.44"/>
    <n v="2610.03908"/>
    <n v="0.51212592831834014"/>
    <n v="202308"/>
    <n v="202301"/>
    <s v="Aug-2023"/>
    <n v="7"/>
    <s v="Late"/>
    <n v="0"/>
    <n v="0"/>
  </r>
  <r>
    <x v="627"/>
    <d v="2023-06-23T00:00:00"/>
    <s v="Jun-2023"/>
    <x v="2"/>
    <d v="2023-07-18T00:00:00"/>
    <n v="25"/>
    <x v="2"/>
    <x v="3"/>
    <s v="Vancouver"/>
    <s v="Americas &gt; Canada &gt; Vancouver"/>
    <s v="Enterprise"/>
    <x v="1"/>
    <x v="13"/>
    <x v="3"/>
    <s v="PHN-4677"/>
    <n v="807.02"/>
    <n v="1435.54"/>
    <s v="Medium"/>
    <n v="0"/>
    <n v="23"/>
    <n v="33017.42"/>
    <n v="40476.013200000001"/>
    <n v="18561.46"/>
    <n v="14455.96"/>
    <n v="0.43782827368098415"/>
    <n v="202306"/>
    <n v="202301"/>
    <s v="Jun-2023"/>
    <n v="5"/>
    <s v="Late"/>
    <n v="0"/>
    <n v="0"/>
  </r>
  <r>
    <x v="628"/>
    <d v="2023-12-07T00:00:00"/>
    <s v="Dec-2023"/>
    <x v="1"/>
    <d v="2024-01-02T00:00:00"/>
    <n v="26"/>
    <x v="3"/>
    <x v="6"/>
    <s v="Frankfurt"/>
    <s v="Europe &gt; Germany &gt; Frankfurt"/>
    <s v="Enterprise"/>
    <x v="3"/>
    <x v="6"/>
    <x v="0"/>
    <s v="CMP-1940"/>
    <n v="1071.99"/>
    <n v="2397.3000000000002"/>
    <s v="High"/>
    <n v="6.2E-2"/>
    <n v="18"/>
    <n v="40476.013200000001"/>
    <n v="40476.013200000001"/>
    <n v="19295.82"/>
    <n v="21180.193200000002"/>
    <n v="0.52327765324476183"/>
    <n v="202312"/>
    <n v="202301"/>
    <s v="Dec-2023"/>
    <n v="11"/>
    <s v="Late"/>
    <n v="0"/>
    <n v="0"/>
  </r>
  <r>
    <x v="629"/>
    <d v="2023-11-19T00:00:00"/>
    <s v="Nov-2023"/>
    <x v="1"/>
    <d v="2023-12-19T00:00:00"/>
    <n v="30"/>
    <x v="1"/>
    <x v="2"/>
    <s v="Nagoya"/>
    <s v="Asia &gt; Japan &gt; Nagoya"/>
    <s v="Consumer"/>
    <x v="0"/>
    <x v="15"/>
    <x v="3"/>
    <s v="PHN-9184"/>
    <n v="807.11"/>
    <n v="1853.86"/>
    <s v="Medium"/>
    <n v="0.13900000000000001"/>
    <n v="8"/>
    <n v="12769.38768"/>
    <n v="0"/>
    <n v="6456.88"/>
    <n v="6312.5076799999997"/>
    <n v="0.49434693645388639"/>
    <n v="202311"/>
    <n v="202303"/>
    <s v="Nov-2023"/>
    <n v="8"/>
    <s v="Late"/>
    <n v="0"/>
    <n v="0"/>
  </r>
  <r>
    <x v="630"/>
    <d v="2025-02-28T00:00:00"/>
    <s v="Feb-2025"/>
    <x v="0"/>
    <d v="2025-03-10T00:00:00"/>
    <n v="10"/>
    <x v="1"/>
    <x v="2"/>
    <s v="Osaka"/>
    <s v="Asia &gt; Japan &gt; Osaka"/>
    <s v="Education"/>
    <x v="3"/>
    <x v="13"/>
    <x v="4"/>
    <s v="LAP-3017"/>
    <n v="51.86"/>
    <n v="45.98"/>
    <s v="Low"/>
    <n v="0.17299999999999999"/>
    <n v="7"/>
    <n v="266.17821999999995"/>
    <n v="0"/>
    <n v="363.02"/>
    <n v="-96.841780000000028"/>
    <n v="-0.3638230806412337"/>
    <n v="202502"/>
    <n v="202303"/>
    <s v="Feb-2023"/>
    <n v="23"/>
    <s v="Late"/>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FC93FB-4F52-4A57-854F-9AEF19B5928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I17" firstHeaderRow="1" firstDataRow="2" firstDataCol="1"/>
  <pivotFields count="28">
    <pivotField showAll="0"/>
    <pivotField numFmtId="14"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numFmtId="14" showAll="0"/>
    <pivotField numFmtId="1"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pivotField showAll="0"/>
    <pivotField numFmtId="2" showAll="0"/>
    <pivotField numFmtId="2" showAll="0"/>
    <pivotField showAll="0"/>
    <pivotField numFmtId="2" showAll="0"/>
    <pivotField numFmtId="2" showAll="0"/>
    <pivotField dataField="1" showAll="0"/>
    <pivotField showAll="0"/>
    <pivotField numFmtId="2" showAll="0"/>
    <pivotField showAll="0"/>
    <pivotField showAll="0"/>
    <pivotField showAll="0"/>
    <pivotField showAll="0"/>
    <pivotField axis="axisCol" showAll="0">
      <items count="34">
        <item x="5"/>
        <item x="2"/>
        <item x="21"/>
        <item x="12"/>
        <item x="15"/>
        <item x="22"/>
        <item x="23"/>
        <item x="25"/>
        <item x="28"/>
        <item x="4"/>
        <item x="31"/>
        <item x="27"/>
        <item x="9"/>
        <item x="32"/>
        <item x="0"/>
        <item x="19"/>
        <item x="7"/>
        <item x="17"/>
        <item x="14"/>
        <item x="20"/>
        <item x="30"/>
        <item x="1"/>
        <item x="10"/>
        <item x="6"/>
        <item x="24"/>
        <item x="26"/>
        <item x="3"/>
        <item x="18"/>
        <item x="8"/>
        <item x="16"/>
        <item x="13"/>
        <item x="29"/>
        <item x="11"/>
        <item t="default"/>
      </items>
    </pivotField>
  </pivotFields>
  <rowFields count="1">
    <field x="7"/>
  </rowFields>
  <rowItems count="13">
    <i>
      <x/>
    </i>
    <i>
      <x v="1"/>
    </i>
    <i>
      <x v="2"/>
    </i>
    <i>
      <x v="3"/>
    </i>
    <i>
      <x v="4"/>
    </i>
    <i>
      <x v="5"/>
    </i>
    <i>
      <x v="6"/>
    </i>
    <i>
      <x v="7"/>
    </i>
    <i>
      <x v="8"/>
    </i>
    <i>
      <x v="9"/>
    </i>
    <i>
      <x v="10"/>
    </i>
    <i>
      <x v="11"/>
    </i>
    <i t="grand">
      <x/>
    </i>
  </rowItems>
  <colFields count="1">
    <field x="27"/>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dataFields count="1">
    <dataField name="Sum of Gross Revenu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86844E-3AE5-44EB-BCC7-AE33F2B7867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41" firstHeaderRow="0" firstDataRow="1" firstDataCol="1"/>
  <pivotFields count="28">
    <pivotField showAll="0"/>
    <pivotField numFmtId="14" showAll="0"/>
    <pivotField showAll="0"/>
    <pivotField showAll="0"/>
    <pivotField numFmtId="14" showAll="0"/>
    <pivotField numFmtId="1" showAll="0"/>
    <pivotField showAll="0"/>
    <pivotField showAll="0"/>
    <pivotField showAll="0"/>
    <pivotField showAll="0"/>
    <pivotField showAll="0"/>
    <pivotField showAll="0"/>
    <pivotField showAll="0"/>
    <pivotField axis="axisRow" showAll="0">
      <items count="8">
        <item x="6"/>
        <item x="0"/>
        <item x="4"/>
        <item x="5"/>
        <item x="2"/>
        <item x="3"/>
        <item x="1"/>
        <item t="default"/>
      </items>
    </pivotField>
    <pivotField axis="axisRow" showAll="0"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2" showAll="0"/>
    <pivotField numFmtId="2" showAll="0"/>
    <pivotField showAll="0"/>
    <pivotField numFmtId="2" showAll="0"/>
    <pivotField numFmtId="2" showAll="0"/>
    <pivotField dataField="1" showAll="0"/>
    <pivotField showAll="0"/>
    <pivotField numFmtId="2" showAll="0"/>
    <pivotField showAll="0"/>
    <pivotField showAll="0"/>
    <pivotField showAll="0"/>
    <pivotField showAll="0"/>
    <pivotField showAll="0"/>
  </pivotFields>
  <rowFields count="2">
    <field x="13"/>
    <field x="14"/>
  </rowFields>
  <rowItems count="638">
    <i>
      <x/>
    </i>
    <i r="1">
      <x v="60"/>
    </i>
    <i r="1">
      <x v="23"/>
    </i>
    <i r="1">
      <x v="82"/>
    </i>
    <i r="1">
      <x v="84"/>
    </i>
    <i r="1">
      <x v="72"/>
    </i>
    <i r="1">
      <x v="41"/>
    </i>
    <i r="1">
      <x v="68"/>
    </i>
    <i r="1">
      <x v="50"/>
    </i>
    <i r="1">
      <x v="81"/>
    </i>
    <i r="1">
      <x v="63"/>
    </i>
    <i r="1">
      <x v="6"/>
    </i>
    <i r="1">
      <x v="10"/>
    </i>
    <i r="1">
      <x v="56"/>
    </i>
    <i r="1">
      <x v="44"/>
    </i>
    <i r="1">
      <x v="53"/>
    </i>
    <i r="1">
      <x v="59"/>
    </i>
    <i r="1">
      <x v="86"/>
    </i>
    <i r="1">
      <x v="75"/>
    </i>
    <i r="1">
      <x v="26"/>
    </i>
    <i r="1">
      <x v="12"/>
    </i>
    <i r="1">
      <x v="33"/>
    </i>
    <i r="1">
      <x v="83"/>
    </i>
    <i r="1">
      <x v="49"/>
    </i>
    <i r="1">
      <x v="79"/>
    </i>
    <i r="1">
      <x v="32"/>
    </i>
    <i r="1">
      <x v="40"/>
    </i>
    <i r="1">
      <x v="14"/>
    </i>
    <i r="1">
      <x v="78"/>
    </i>
    <i r="1">
      <x v="4"/>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13"/>
    </i>
    <i r="1">
      <x v="61"/>
    </i>
    <i>
      <x v="1"/>
    </i>
    <i r="1">
      <x v="171"/>
    </i>
    <i r="1">
      <x v="117"/>
    </i>
    <i r="1">
      <x v="99"/>
    </i>
    <i r="1">
      <x v="114"/>
    </i>
    <i r="1">
      <x v="160"/>
    </i>
    <i r="1">
      <x v="100"/>
    </i>
    <i r="1">
      <x v="128"/>
    </i>
    <i r="1">
      <x v="97"/>
    </i>
    <i r="1">
      <x v="158"/>
    </i>
    <i r="1">
      <x v="90"/>
    </i>
    <i r="1">
      <x v="145"/>
    </i>
    <i r="1">
      <x v="151"/>
    </i>
    <i r="1">
      <x v="143"/>
    </i>
    <i r="1">
      <x v="95"/>
    </i>
    <i r="1">
      <x v="124"/>
    </i>
    <i r="1">
      <x v="108"/>
    </i>
    <i r="1">
      <x v="174"/>
    </i>
    <i r="1">
      <x v="120"/>
    </i>
    <i r="1">
      <x v="172"/>
    </i>
    <i r="1">
      <x v="105"/>
    </i>
    <i r="1">
      <x v="111"/>
    </i>
    <i r="1">
      <x v="116"/>
    </i>
    <i r="1">
      <x v="147"/>
    </i>
    <i r="1">
      <x v="123"/>
    </i>
    <i r="1">
      <x v="137"/>
    </i>
    <i r="1">
      <x v="152"/>
    </i>
    <i r="1">
      <x v="166"/>
    </i>
    <i r="1">
      <x v="125"/>
    </i>
    <i r="1">
      <x v="157"/>
    </i>
    <i r="1">
      <x v="110"/>
    </i>
    <i r="1">
      <x v="118"/>
    </i>
    <i r="1">
      <x v="140"/>
    </i>
    <i r="1">
      <x v="175"/>
    </i>
    <i r="1">
      <x v="139"/>
    </i>
    <i r="1">
      <x v="98"/>
    </i>
    <i r="1">
      <x v="91"/>
    </i>
    <i r="1">
      <x v="104"/>
    </i>
    <i r="1">
      <x v="163"/>
    </i>
    <i r="1">
      <x v="162"/>
    </i>
    <i r="1">
      <x v="94"/>
    </i>
    <i r="1">
      <x v="127"/>
    </i>
    <i r="1">
      <x v="148"/>
    </i>
    <i r="1">
      <x v="121"/>
    </i>
    <i r="1">
      <x v="156"/>
    </i>
    <i r="1">
      <x v="159"/>
    </i>
    <i r="1">
      <x v="165"/>
    </i>
    <i r="1">
      <x v="133"/>
    </i>
    <i r="1">
      <x v="169"/>
    </i>
    <i r="1">
      <x v="149"/>
    </i>
    <i r="1">
      <x v="113"/>
    </i>
    <i r="1">
      <x v="155"/>
    </i>
    <i r="1">
      <x v="132"/>
    </i>
    <i r="1">
      <x v="142"/>
    </i>
    <i r="1">
      <x v="115"/>
    </i>
    <i r="1">
      <x v="119"/>
    </i>
    <i r="1">
      <x v="129"/>
    </i>
    <i r="1">
      <x v="168"/>
    </i>
    <i r="1">
      <x v="138"/>
    </i>
    <i r="1">
      <x v="167"/>
    </i>
    <i r="1">
      <x v="88"/>
    </i>
    <i r="1">
      <x v="176"/>
    </i>
    <i r="1">
      <x v="154"/>
    </i>
    <i r="1">
      <x v="134"/>
    </i>
    <i r="1">
      <x v="103"/>
    </i>
    <i r="1">
      <x v="161"/>
    </i>
    <i r="1">
      <x v="92"/>
    </i>
    <i r="1">
      <x v="102"/>
    </i>
    <i r="1">
      <x v="122"/>
    </i>
    <i r="1">
      <x v="107"/>
    </i>
    <i r="1">
      <x v="112"/>
    </i>
    <i r="1">
      <x v="164"/>
    </i>
    <i r="1">
      <x v="153"/>
    </i>
    <i r="1">
      <x v="131"/>
    </i>
    <i r="1">
      <x v="170"/>
    </i>
    <i r="1">
      <x v="109"/>
    </i>
    <i r="1">
      <x v="144"/>
    </i>
    <i r="1">
      <x v="130"/>
    </i>
    <i r="1">
      <x v="89"/>
    </i>
    <i r="1">
      <x v="93"/>
    </i>
    <i r="1">
      <x v="101"/>
    </i>
    <i r="1">
      <x v="136"/>
    </i>
    <i r="1">
      <x v="146"/>
    </i>
    <i r="1">
      <x v="106"/>
    </i>
    <i r="1">
      <x v="135"/>
    </i>
    <i r="1">
      <x v="141"/>
    </i>
    <i r="1">
      <x v="177"/>
    </i>
    <i r="1">
      <x v="150"/>
    </i>
    <i r="1">
      <x v="126"/>
    </i>
    <i r="1">
      <x v="173"/>
    </i>
    <i r="1">
      <x v="96"/>
    </i>
    <i>
      <x v="2"/>
    </i>
    <i r="1">
      <x v="248"/>
    </i>
    <i r="1">
      <x v="207"/>
    </i>
    <i r="1">
      <x v="241"/>
    </i>
    <i r="1">
      <x v="223"/>
    </i>
    <i r="1">
      <x v="226"/>
    </i>
    <i r="1">
      <x v="185"/>
    </i>
    <i r="1">
      <x v="247"/>
    </i>
    <i r="1">
      <x v="236"/>
    </i>
    <i r="1">
      <x v="180"/>
    </i>
    <i r="1">
      <x v="179"/>
    </i>
    <i r="1">
      <x v="209"/>
    </i>
    <i r="1">
      <x v="201"/>
    </i>
    <i r="1">
      <x v="199"/>
    </i>
    <i r="1">
      <x v="197"/>
    </i>
    <i r="1">
      <x v="214"/>
    </i>
    <i r="1">
      <x v="246"/>
    </i>
    <i r="1">
      <x v="232"/>
    </i>
    <i r="1">
      <x v="237"/>
    </i>
    <i r="1">
      <x v="252"/>
    </i>
    <i r="1">
      <x v="229"/>
    </i>
    <i r="1">
      <x v="250"/>
    </i>
    <i r="1">
      <x v="200"/>
    </i>
    <i r="1">
      <x v="205"/>
    </i>
    <i r="1">
      <x v="239"/>
    </i>
    <i r="1">
      <x v="218"/>
    </i>
    <i r="1">
      <x v="255"/>
    </i>
    <i r="1">
      <x v="193"/>
    </i>
    <i r="1">
      <x v="225"/>
    </i>
    <i r="1">
      <x v="183"/>
    </i>
    <i r="1">
      <x v="217"/>
    </i>
    <i r="1">
      <x v="244"/>
    </i>
    <i r="1">
      <x v="251"/>
    </i>
    <i r="1">
      <x v="188"/>
    </i>
    <i r="1">
      <x v="221"/>
    </i>
    <i r="1">
      <x v="203"/>
    </i>
    <i r="1">
      <x v="242"/>
    </i>
    <i r="1">
      <x v="224"/>
    </i>
    <i r="1">
      <x v="257"/>
    </i>
    <i r="1">
      <x v="253"/>
    </i>
    <i r="1">
      <x v="243"/>
    </i>
    <i r="1">
      <x v="235"/>
    </i>
    <i r="1">
      <x v="227"/>
    </i>
    <i r="1">
      <x v="181"/>
    </i>
    <i r="1">
      <x v="213"/>
    </i>
    <i r="1">
      <x v="228"/>
    </i>
    <i r="1">
      <x v="233"/>
    </i>
    <i r="1">
      <x v="204"/>
    </i>
    <i r="1">
      <x v="258"/>
    </i>
    <i r="1">
      <x v="182"/>
    </i>
    <i r="1">
      <x v="220"/>
    </i>
    <i r="1">
      <x v="189"/>
    </i>
    <i r="1">
      <x v="249"/>
    </i>
    <i r="1">
      <x v="208"/>
    </i>
    <i r="1">
      <x v="211"/>
    </i>
    <i r="1">
      <x v="192"/>
    </i>
    <i r="1">
      <x v="186"/>
    </i>
    <i r="1">
      <x v="191"/>
    </i>
    <i r="1">
      <x v="231"/>
    </i>
    <i r="1">
      <x v="254"/>
    </i>
    <i r="1">
      <x v="219"/>
    </i>
    <i r="1">
      <x v="215"/>
    </i>
    <i r="1">
      <x v="184"/>
    </i>
    <i r="1">
      <x v="216"/>
    </i>
    <i r="1">
      <x v="210"/>
    </i>
    <i r="1">
      <x v="212"/>
    </i>
    <i r="1">
      <x v="238"/>
    </i>
    <i r="1">
      <x v="230"/>
    </i>
    <i r="1">
      <x v="256"/>
    </i>
    <i r="1">
      <x v="240"/>
    </i>
    <i r="1">
      <x v="222"/>
    </i>
    <i r="1">
      <x v="245"/>
    </i>
    <i r="1">
      <x v="195"/>
    </i>
    <i r="1">
      <x v="202"/>
    </i>
    <i r="1">
      <x v="187"/>
    </i>
    <i r="1">
      <x v="194"/>
    </i>
    <i r="1">
      <x v="198"/>
    </i>
    <i r="1">
      <x v="206"/>
    </i>
    <i r="1">
      <x v="178"/>
    </i>
    <i r="1">
      <x v="190"/>
    </i>
    <i r="1">
      <x v="234"/>
    </i>
    <i r="1">
      <x v="196"/>
    </i>
    <i>
      <x v="3"/>
    </i>
    <i r="1">
      <x v="323"/>
    </i>
    <i r="1">
      <x v="270"/>
    </i>
    <i r="1">
      <x v="319"/>
    </i>
    <i r="1">
      <x v="303"/>
    </i>
    <i r="1">
      <x v="349"/>
    </i>
    <i r="1">
      <x v="307"/>
    </i>
    <i r="1">
      <x v="352"/>
    </i>
    <i r="1">
      <x v="350"/>
    </i>
    <i r="1">
      <x v="337"/>
    </i>
    <i r="1">
      <x v="296"/>
    </i>
    <i r="1">
      <x v="299"/>
    </i>
    <i r="1">
      <x v="318"/>
    </i>
    <i r="1">
      <x v="317"/>
    </i>
    <i r="1">
      <x v="338"/>
    </i>
    <i r="1">
      <x v="282"/>
    </i>
    <i r="1">
      <x v="332"/>
    </i>
    <i r="1">
      <x v="281"/>
    </i>
    <i r="1">
      <x v="340"/>
    </i>
    <i r="1">
      <x v="266"/>
    </i>
    <i r="1">
      <x v="259"/>
    </i>
    <i r="1">
      <x v="300"/>
    </i>
    <i r="1">
      <x v="260"/>
    </i>
    <i r="1">
      <x v="275"/>
    </i>
    <i r="1">
      <x v="321"/>
    </i>
    <i r="1">
      <x v="286"/>
    </i>
    <i r="1">
      <x v="351"/>
    </i>
    <i r="1">
      <x v="298"/>
    </i>
    <i r="1">
      <x v="295"/>
    </i>
    <i r="1">
      <x v="308"/>
    </i>
    <i r="1">
      <x v="347"/>
    </i>
    <i r="1">
      <x v="291"/>
    </i>
    <i r="1">
      <x v="312"/>
    </i>
    <i r="1">
      <x v="315"/>
    </i>
    <i r="1">
      <x v="329"/>
    </i>
    <i r="1">
      <x v="322"/>
    </i>
    <i r="1">
      <x v="314"/>
    </i>
    <i r="1">
      <x v="320"/>
    </i>
    <i r="1">
      <x v="283"/>
    </i>
    <i r="1">
      <x v="268"/>
    </i>
    <i r="1">
      <x v="285"/>
    </i>
    <i r="1">
      <x v="297"/>
    </i>
    <i r="1">
      <x v="269"/>
    </i>
    <i r="1">
      <x v="346"/>
    </i>
    <i r="1">
      <x v="343"/>
    </i>
    <i r="1">
      <x v="280"/>
    </i>
    <i r="1">
      <x v="316"/>
    </i>
    <i r="1">
      <x v="324"/>
    </i>
    <i r="1">
      <x v="288"/>
    </i>
    <i r="1">
      <x v="334"/>
    </i>
    <i r="1">
      <x v="273"/>
    </i>
    <i r="1">
      <x v="327"/>
    </i>
    <i r="1">
      <x v="310"/>
    </i>
    <i r="1">
      <x v="271"/>
    </i>
    <i r="1">
      <x v="290"/>
    </i>
    <i r="1">
      <x v="313"/>
    </i>
    <i r="1">
      <x v="272"/>
    </i>
    <i r="1">
      <x v="301"/>
    </i>
    <i r="1">
      <x v="264"/>
    </i>
    <i r="1">
      <x v="302"/>
    </i>
    <i r="1">
      <x v="311"/>
    </i>
    <i r="1">
      <x v="262"/>
    </i>
    <i r="1">
      <x v="305"/>
    </i>
    <i r="1">
      <x v="328"/>
    </i>
    <i r="1">
      <x v="342"/>
    </i>
    <i r="1">
      <x v="279"/>
    </i>
    <i r="1">
      <x v="277"/>
    </i>
    <i r="1">
      <x v="344"/>
    </i>
    <i r="1">
      <x v="263"/>
    </i>
    <i r="1">
      <x v="325"/>
    </i>
    <i r="1">
      <x v="304"/>
    </i>
    <i r="1">
      <x v="287"/>
    </i>
    <i r="1">
      <x v="261"/>
    </i>
    <i r="1">
      <x v="333"/>
    </i>
    <i r="1">
      <x v="265"/>
    </i>
    <i r="1">
      <x v="335"/>
    </i>
    <i r="1">
      <x v="341"/>
    </i>
    <i r="1">
      <x v="330"/>
    </i>
    <i r="1">
      <x v="293"/>
    </i>
    <i r="1">
      <x v="348"/>
    </i>
    <i r="1">
      <x v="336"/>
    </i>
    <i r="1">
      <x v="339"/>
    </i>
    <i r="1">
      <x v="274"/>
    </i>
    <i r="1">
      <x v="292"/>
    </i>
    <i r="1">
      <x v="326"/>
    </i>
    <i r="1">
      <x v="331"/>
    </i>
    <i r="1">
      <x v="306"/>
    </i>
    <i r="1">
      <x v="289"/>
    </i>
    <i r="1">
      <x v="278"/>
    </i>
    <i r="1">
      <x v="276"/>
    </i>
    <i r="1">
      <x v="294"/>
    </i>
    <i r="1">
      <x v="345"/>
    </i>
    <i r="1">
      <x v="284"/>
    </i>
    <i r="1">
      <x v="267"/>
    </i>
    <i r="1">
      <x v="309"/>
    </i>
    <i>
      <x v="4"/>
    </i>
    <i r="1">
      <x v="368"/>
    </i>
    <i r="1">
      <x v="405"/>
    </i>
    <i r="1">
      <x v="403"/>
    </i>
    <i r="1">
      <x v="359"/>
    </i>
    <i r="1">
      <x v="396"/>
    </i>
    <i r="1">
      <x v="356"/>
    </i>
    <i r="1">
      <x v="395"/>
    </i>
    <i r="1">
      <x v="387"/>
    </i>
    <i r="1">
      <x v="407"/>
    </i>
    <i r="1">
      <x v="386"/>
    </i>
    <i r="1">
      <x v="381"/>
    </i>
    <i r="1">
      <x v="365"/>
    </i>
    <i r="1">
      <x v="361"/>
    </i>
    <i r="1">
      <x v="397"/>
    </i>
    <i r="1">
      <x v="410"/>
    </i>
    <i r="1">
      <x v="399"/>
    </i>
    <i r="1">
      <x v="428"/>
    </i>
    <i r="1">
      <x v="431"/>
    </i>
    <i r="1">
      <x v="402"/>
    </i>
    <i r="1">
      <x v="371"/>
    </i>
    <i r="1">
      <x v="367"/>
    </i>
    <i r="1">
      <x v="413"/>
    </i>
    <i r="1">
      <x v="355"/>
    </i>
    <i r="1">
      <x v="360"/>
    </i>
    <i r="1">
      <x v="394"/>
    </i>
    <i r="1">
      <x v="392"/>
    </i>
    <i r="1">
      <x v="369"/>
    </i>
    <i r="1">
      <x v="353"/>
    </i>
    <i r="1">
      <x v="375"/>
    </i>
    <i r="1">
      <x v="414"/>
    </i>
    <i r="1">
      <x v="435"/>
    </i>
    <i r="1">
      <x v="437"/>
    </i>
    <i r="1">
      <x v="378"/>
    </i>
    <i r="1">
      <x v="415"/>
    </i>
    <i r="1">
      <x v="401"/>
    </i>
    <i r="1">
      <x v="379"/>
    </i>
    <i r="1">
      <x v="388"/>
    </i>
    <i r="1">
      <x v="389"/>
    </i>
    <i r="1">
      <x v="383"/>
    </i>
    <i r="1">
      <x v="416"/>
    </i>
    <i r="1">
      <x v="406"/>
    </i>
    <i r="1">
      <x v="382"/>
    </i>
    <i r="1">
      <x v="422"/>
    </i>
    <i r="1">
      <x v="357"/>
    </i>
    <i r="1">
      <x v="385"/>
    </i>
    <i r="1">
      <x v="423"/>
    </i>
    <i r="1">
      <x v="398"/>
    </i>
    <i r="1">
      <x v="427"/>
    </i>
    <i r="1">
      <x v="358"/>
    </i>
    <i r="1">
      <x v="409"/>
    </i>
    <i r="1">
      <x v="373"/>
    </i>
    <i r="1">
      <x v="390"/>
    </i>
    <i r="1">
      <x v="419"/>
    </i>
    <i r="1">
      <x v="364"/>
    </i>
    <i r="1">
      <x v="432"/>
    </i>
    <i r="1">
      <x v="418"/>
    </i>
    <i r="1">
      <x v="429"/>
    </i>
    <i r="1">
      <x v="421"/>
    </i>
    <i r="1">
      <x v="380"/>
    </i>
    <i r="1">
      <x v="366"/>
    </i>
    <i r="1">
      <x v="430"/>
    </i>
    <i r="1">
      <x v="412"/>
    </i>
    <i r="1">
      <x v="393"/>
    </i>
    <i r="1">
      <x v="425"/>
    </i>
    <i r="1">
      <x v="417"/>
    </i>
    <i r="1">
      <x v="436"/>
    </i>
    <i r="1">
      <x v="362"/>
    </i>
    <i r="1">
      <x v="376"/>
    </i>
    <i r="1">
      <x v="404"/>
    </i>
    <i r="1">
      <x v="384"/>
    </i>
    <i r="1">
      <x v="374"/>
    </i>
    <i r="1">
      <x v="426"/>
    </i>
    <i r="1">
      <x v="433"/>
    </i>
    <i r="1">
      <x v="372"/>
    </i>
    <i r="1">
      <x v="370"/>
    </i>
    <i r="1">
      <x v="424"/>
    </i>
    <i r="1">
      <x v="420"/>
    </i>
    <i r="1">
      <x v="400"/>
    </i>
    <i r="1">
      <x v="411"/>
    </i>
    <i r="1">
      <x v="377"/>
    </i>
    <i r="1">
      <x v="363"/>
    </i>
    <i r="1">
      <x v="408"/>
    </i>
    <i r="1">
      <x v="354"/>
    </i>
    <i r="1">
      <x v="434"/>
    </i>
    <i r="1">
      <x v="438"/>
    </i>
    <i r="1">
      <x v="391"/>
    </i>
    <i>
      <x v="5"/>
    </i>
    <i r="1">
      <x v="525"/>
    </i>
    <i r="1">
      <x v="513"/>
    </i>
    <i r="1">
      <x v="474"/>
    </i>
    <i r="1">
      <x v="503"/>
    </i>
    <i r="1">
      <x v="486"/>
    </i>
    <i r="1">
      <x v="479"/>
    </i>
    <i r="1">
      <x v="517"/>
    </i>
    <i r="1">
      <x v="440"/>
    </i>
    <i r="1">
      <x v="495"/>
    </i>
    <i r="1">
      <x v="516"/>
    </i>
    <i r="1">
      <x v="489"/>
    </i>
    <i r="1">
      <x v="446"/>
    </i>
    <i r="1">
      <x v="476"/>
    </i>
    <i r="1">
      <x v="508"/>
    </i>
    <i r="1">
      <x v="456"/>
    </i>
    <i r="1">
      <x v="522"/>
    </i>
    <i r="1">
      <x v="502"/>
    </i>
    <i r="1">
      <x v="505"/>
    </i>
    <i r="1">
      <x v="518"/>
    </i>
    <i r="1">
      <x v="478"/>
    </i>
    <i r="1">
      <x v="448"/>
    </i>
    <i r="1">
      <x v="443"/>
    </i>
    <i r="1">
      <x v="451"/>
    </i>
    <i r="1">
      <x v="473"/>
    </i>
    <i r="1">
      <x v="523"/>
    </i>
    <i r="1">
      <x v="526"/>
    </i>
    <i r="1">
      <x v="501"/>
    </i>
    <i r="1">
      <x v="487"/>
    </i>
    <i r="1">
      <x v="493"/>
    </i>
    <i r="1">
      <x v="460"/>
    </i>
    <i r="1">
      <x v="497"/>
    </i>
    <i r="1">
      <x v="463"/>
    </i>
    <i r="1">
      <x v="524"/>
    </i>
    <i r="1">
      <x v="449"/>
    </i>
    <i r="1">
      <x v="468"/>
    </i>
    <i r="1">
      <x v="507"/>
    </i>
    <i r="1">
      <x v="461"/>
    </i>
    <i r="1">
      <x v="514"/>
    </i>
    <i r="1">
      <x v="521"/>
    </i>
    <i r="1">
      <x v="469"/>
    </i>
    <i r="1">
      <x v="452"/>
    </i>
    <i r="1">
      <x v="500"/>
    </i>
    <i r="1">
      <x v="475"/>
    </i>
    <i r="1">
      <x v="485"/>
    </i>
    <i r="1">
      <x v="511"/>
    </i>
    <i r="1">
      <x v="480"/>
    </i>
    <i r="1">
      <x v="462"/>
    </i>
    <i r="1">
      <x v="512"/>
    </i>
    <i r="1">
      <x v="499"/>
    </i>
    <i r="1">
      <x v="439"/>
    </i>
    <i r="1">
      <x v="464"/>
    </i>
    <i r="1">
      <x v="492"/>
    </i>
    <i r="1">
      <x v="490"/>
    </i>
    <i r="1">
      <x v="444"/>
    </i>
    <i r="1">
      <x v="510"/>
    </i>
    <i r="1">
      <x v="484"/>
    </i>
    <i r="1">
      <x v="481"/>
    </i>
    <i r="1">
      <x v="520"/>
    </i>
    <i r="1">
      <x v="504"/>
    </i>
    <i r="1">
      <x v="459"/>
    </i>
    <i r="1">
      <x v="453"/>
    </i>
    <i r="1">
      <x v="455"/>
    </i>
    <i r="1">
      <x v="498"/>
    </i>
    <i r="1">
      <x v="472"/>
    </i>
    <i r="1">
      <x v="447"/>
    </i>
    <i r="1">
      <x v="488"/>
    </i>
    <i r="1">
      <x v="454"/>
    </i>
    <i r="1">
      <x v="467"/>
    </i>
    <i r="1">
      <x v="483"/>
    </i>
    <i r="1">
      <x v="509"/>
    </i>
    <i r="1">
      <x v="496"/>
    </i>
    <i r="1">
      <x v="494"/>
    </i>
    <i r="1">
      <x v="445"/>
    </i>
    <i r="1">
      <x v="450"/>
    </i>
    <i r="1">
      <x v="457"/>
    </i>
    <i r="1">
      <x v="477"/>
    </i>
    <i r="1">
      <x v="470"/>
    </i>
    <i r="1">
      <x v="491"/>
    </i>
    <i r="1">
      <x v="442"/>
    </i>
    <i r="1">
      <x v="515"/>
    </i>
    <i r="1">
      <x v="471"/>
    </i>
    <i r="1">
      <x v="441"/>
    </i>
    <i r="1">
      <x v="458"/>
    </i>
    <i r="1">
      <x v="466"/>
    </i>
    <i r="1">
      <x v="519"/>
    </i>
    <i r="1">
      <x v="482"/>
    </i>
    <i r="1">
      <x v="506"/>
    </i>
    <i r="1">
      <x v="465"/>
    </i>
    <i>
      <x v="6"/>
    </i>
    <i r="1">
      <x v="536"/>
    </i>
    <i r="1">
      <x v="588"/>
    </i>
    <i r="1">
      <x v="598"/>
    </i>
    <i r="1">
      <x v="544"/>
    </i>
    <i r="1">
      <x v="621"/>
    </i>
    <i r="1">
      <x v="616"/>
    </i>
    <i r="1">
      <x v="542"/>
    </i>
    <i r="1">
      <x v="585"/>
    </i>
    <i r="1">
      <x v="575"/>
    </i>
    <i r="1">
      <x v="583"/>
    </i>
    <i r="1">
      <x v="600"/>
    </i>
    <i r="1">
      <x v="569"/>
    </i>
    <i r="1">
      <x v="534"/>
    </i>
    <i r="1">
      <x v="563"/>
    </i>
    <i r="1">
      <x v="623"/>
    </i>
    <i r="1">
      <x v="552"/>
    </i>
    <i r="1">
      <x v="601"/>
    </i>
    <i r="1">
      <x v="533"/>
    </i>
    <i r="1">
      <x v="548"/>
    </i>
    <i r="1">
      <x v="531"/>
    </i>
    <i r="1">
      <x v="596"/>
    </i>
    <i r="1">
      <x v="549"/>
    </i>
    <i r="1">
      <x v="580"/>
    </i>
    <i r="1">
      <x v="619"/>
    </i>
    <i r="1">
      <x v="538"/>
    </i>
    <i r="1">
      <x v="622"/>
    </i>
    <i r="1">
      <x v="610"/>
    </i>
    <i r="1">
      <x v="540"/>
    </i>
    <i r="1">
      <x v="567"/>
    </i>
    <i r="1">
      <x v="629"/>
    </i>
    <i r="1">
      <x v="624"/>
    </i>
    <i r="1">
      <x v="568"/>
    </i>
    <i r="1">
      <x v="618"/>
    </i>
    <i r="1">
      <x v="578"/>
    </i>
    <i r="1">
      <x v="604"/>
    </i>
    <i r="1">
      <x v="541"/>
    </i>
    <i r="1">
      <x v="553"/>
    </i>
    <i r="1">
      <x v="528"/>
    </i>
    <i r="1">
      <x v="584"/>
    </i>
    <i r="1">
      <x v="573"/>
    </i>
    <i r="1">
      <x v="602"/>
    </i>
    <i r="1">
      <x v="560"/>
    </i>
    <i r="1">
      <x v="594"/>
    </i>
    <i r="1">
      <x v="593"/>
    </i>
    <i r="1">
      <x v="545"/>
    </i>
    <i r="1">
      <x v="554"/>
    </i>
    <i r="1">
      <x v="532"/>
    </i>
    <i r="1">
      <x v="543"/>
    </i>
    <i r="1">
      <x v="565"/>
    </i>
    <i r="1">
      <x v="558"/>
    </i>
    <i r="1">
      <x v="613"/>
    </i>
    <i r="1">
      <x v="535"/>
    </i>
    <i r="1">
      <x v="607"/>
    </i>
    <i r="1">
      <x v="527"/>
    </i>
    <i r="1">
      <x v="625"/>
    </i>
    <i r="1">
      <x v="574"/>
    </i>
    <i r="1">
      <x v="620"/>
    </i>
    <i r="1">
      <x v="617"/>
    </i>
    <i r="1">
      <x v="590"/>
    </i>
    <i r="1">
      <x v="561"/>
    </i>
    <i r="1">
      <x v="591"/>
    </i>
    <i r="1">
      <x v="615"/>
    </i>
    <i r="1">
      <x v="547"/>
    </i>
    <i r="1">
      <x v="586"/>
    </i>
    <i r="1">
      <x v="595"/>
    </i>
    <i r="1">
      <x v="626"/>
    </i>
    <i r="1">
      <x v="599"/>
    </i>
    <i r="1">
      <x v="546"/>
    </i>
    <i r="1">
      <x v="551"/>
    </i>
    <i r="1">
      <x v="537"/>
    </i>
    <i r="1">
      <x v="562"/>
    </i>
    <i r="1">
      <x v="579"/>
    </i>
    <i r="1">
      <x v="566"/>
    </i>
    <i r="1">
      <x v="572"/>
    </i>
    <i r="1">
      <x v="550"/>
    </i>
    <i r="1">
      <x v="557"/>
    </i>
    <i r="1">
      <x v="611"/>
    </i>
    <i r="1">
      <x v="555"/>
    </i>
    <i r="1">
      <x v="571"/>
    </i>
    <i r="1">
      <x v="608"/>
    </i>
    <i r="1">
      <x v="627"/>
    </i>
    <i r="1">
      <x v="570"/>
    </i>
    <i r="1">
      <x v="605"/>
    </i>
    <i r="1">
      <x v="609"/>
    </i>
    <i r="1">
      <x v="603"/>
    </i>
    <i r="1">
      <x v="612"/>
    </i>
    <i r="1">
      <x v="597"/>
    </i>
    <i r="1">
      <x v="581"/>
    </i>
    <i r="1">
      <x v="592"/>
    </i>
    <i r="1">
      <x v="564"/>
    </i>
    <i r="1">
      <x v="529"/>
    </i>
    <i r="1">
      <x v="577"/>
    </i>
    <i r="1">
      <x v="530"/>
    </i>
    <i r="1">
      <x v="539"/>
    </i>
    <i r="1">
      <x v="556"/>
    </i>
    <i r="1">
      <x v="606"/>
    </i>
    <i r="1">
      <x v="559"/>
    </i>
    <i r="1">
      <x v="628"/>
    </i>
    <i r="1">
      <x v="614"/>
    </i>
    <i r="1">
      <x v="589"/>
    </i>
    <i r="1">
      <x v="576"/>
    </i>
    <i r="1">
      <x v="582"/>
    </i>
    <i r="1">
      <x v="587"/>
    </i>
    <i t="grand">
      <x/>
    </i>
  </rowItems>
  <colFields count="1">
    <field x="-2"/>
  </colFields>
  <colItems count="2">
    <i>
      <x/>
    </i>
    <i i="1">
      <x v="1"/>
    </i>
  </colItems>
  <dataFields count="2">
    <dataField name="Sum of Gross Revenue" fld="20" baseField="0" baseItem="0"/>
    <dataField name="SKU Rank" fld="20" baseField="14"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296B9D-87F2-419F-9F0B-5F122C545D8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0" firstHeaderRow="0" firstDataRow="1" firstDataCol="1"/>
  <pivotFields count="28">
    <pivotField dataField="1"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numFmtId="14" showAll="0"/>
    <pivotField dataField="1"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numFmtId="14" showAll="0"/>
    <pivotField numFmtId="1" showAll="0"/>
    <pivotField showAll="0"/>
    <pivotField showAll="0"/>
    <pivotField showAll="0"/>
    <pivotField showAll="0"/>
    <pivotField showAll="0"/>
    <pivotField showAll="0"/>
    <pivotField axis="axisRow" showAll="0">
      <items count="17">
        <item x="8"/>
        <item x="5"/>
        <item x="0"/>
        <item x="14"/>
        <item x="6"/>
        <item x="9"/>
        <item x="3"/>
        <item x="10"/>
        <item x="2"/>
        <item x="1"/>
        <item x="11"/>
        <item x="4"/>
        <item x="12"/>
        <item x="13"/>
        <item x="15"/>
        <item x="7"/>
        <item t="default"/>
      </items>
    </pivotField>
    <pivotField showAll="0"/>
    <pivotField showAll="0"/>
    <pivotField numFmtId="2" showAll="0"/>
    <pivotField numFmtId="2" showAll="0"/>
    <pivotField showAll="0"/>
    <pivotField numFmtId="2" showAll="0"/>
    <pivotField numFmtId="2" showAll="0"/>
    <pivotField dataField="1" showAll="0"/>
    <pivotField showAll="0"/>
    <pivotField dataField="1" numFmtId="2" showAll="0"/>
    <pivotField showAll="0"/>
    <pivotField showAll="0"/>
    <pivotField showAll="0"/>
    <pivotField showAll="0"/>
    <pivotField showAll="0"/>
  </pivotFields>
  <rowFields count="1">
    <field x="12"/>
  </rowFields>
  <rowItems count="17">
    <i>
      <x/>
    </i>
    <i>
      <x v="1"/>
    </i>
    <i>
      <x v="2"/>
    </i>
    <i>
      <x v="3"/>
    </i>
    <i>
      <x v="4"/>
    </i>
    <i>
      <x v="5"/>
    </i>
    <i>
      <x v="6"/>
    </i>
    <i>
      <x v="7"/>
    </i>
    <i>
      <x v="8"/>
    </i>
    <i>
      <x v="9"/>
    </i>
    <i>
      <x v="10"/>
    </i>
    <i>
      <x v="11"/>
    </i>
    <i>
      <x v="12"/>
    </i>
    <i>
      <x v="13"/>
    </i>
    <i>
      <x v="14"/>
    </i>
    <i>
      <x v="15"/>
    </i>
    <i t="grand">
      <x/>
    </i>
  </rowItems>
  <colFields count="1">
    <field x="-2"/>
  </colFields>
  <colItems count="4">
    <i>
      <x/>
    </i>
    <i i="1">
      <x v="1"/>
    </i>
    <i i="2">
      <x v="2"/>
    </i>
    <i i="3">
      <x v="3"/>
    </i>
  </colItems>
  <dataFields count="4">
    <dataField name="Sum of Gross Revenue" fld="20" baseField="0" baseItem="0"/>
    <dataField name="Count of OrderID" fld="0" subtotal="count" baseField="0" baseItem="0"/>
    <dataField name="Sum of Gross Profit" fld="22" baseField="0" baseItem="0"/>
    <dataField name="Count of Month"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0440CE-73B6-4986-BAA5-E7B988BE820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8" firstHeaderRow="1" firstDataRow="1" firstDataCol="1"/>
  <pivotFields count="28">
    <pivotField showAll="0"/>
    <pivotField numFmtId="14" showAll="0"/>
    <pivotField axis="axisRow"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items count="5">
        <item h="1" x="0"/>
        <item x="2"/>
        <item h="1" x="3"/>
        <item h="1" x="1"/>
        <item t="default"/>
      </items>
    </pivotField>
    <pivotField numFmtId="14" showAll="0"/>
    <pivotField numFmtId="1" showAll="0"/>
    <pivotField axis="axisRow" showAll="0">
      <items count="5">
        <item x="0"/>
        <item x="2"/>
        <item x="1"/>
        <item x="3"/>
        <item t="default"/>
      </items>
    </pivotField>
    <pivotField showAll="0"/>
    <pivotField showAll="0"/>
    <pivotField showAll="0"/>
    <pivotField showAll="0"/>
    <pivotField axis="axisRow" showAll="0">
      <items count="7">
        <item h="1" x="4"/>
        <item h="1" x="3"/>
        <item h="1" x="2"/>
        <item h="1"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2" showAll="0"/>
    <pivotField numFmtId="2" showAll="0"/>
    <pivotField showAll="0"/>
    <pivotField numFmtId="2" showAll="0"/>
    <pivotField numFmtId="2" showAll="0"/>
    <pivotField dataField="1" showAll="0"/>
    <pivotField showAll="0"/>
    <pivotField numFmtId="2" showAll="0"/>
    <pivotField showAll="0"/>
    <pivotField showAll="0"/>
    <pivotField showAll="0"/>
    <pivotField showAll="0"/>
    <pivotField showAll="0"/>
  </pivotFields>
  <rowFields count="3">
    <field x="6"/>
    <field x="11"/>
    <field x="2"/>
  </rowFields>
  <rowItems count="55">
    <i>
      <x/>
    </i>
    <i r="1">
      <x v="4"/>
    </i>
    <i r="2">
      <x v="1"/>
    </i>
    <i r="2">
      <x v="17"/>
    </i>
    <i r="2">
      <x v="18"/>
    </i>
    <i r="2">
      <x v="19"/>
    </i>
    <i r="2">
      <x v="23"/>
    </i>
    <i r="2">
      <x v="24"/>
    </i>
    <i r="2">
      <x v="25"/>
    </i>
    <i r="1">
      <x v="5"/>
    </i>
    <i r="2">
      <x v="18"/>
    </i>
    <i r="2">
      <x v="23"/>
    </i>
    <i>
      <x v="1"/>
    </i>
    <i r="1">
      <x v="4"/>
    </i>
    <i r="2">
      <x/>
    </i>
    <i r="2">
      <x v="2"/>
    </i>
    <i r="2">
      <x v="17"/>
    </i>
    <i r="2">
      <x v="23"/>
    </i>
    <i r="2">
      <x v="24"/>
    </i>
    <i r="2">
      <x v="25"/>
    </i>
    <i r="1">
      <x v="5"/>
    </i>
    <i r="2">
      <x v="17"/>
    </i>
    <i r="2">
      <x v="18"/>
    </i>
    <i r="2">
      <x v="23"/>
    </i>
    <i r="2">
      <x v="24"/>
    </i>
    <i r="2">
      <x v="25"/>
    </i>
    <i>
      <x v="2"/>
    </i>
    <i r="1">
      <x v="4"/>
    </i>
    <i r="2">
      <x v="2"/>
    </i>
    <i r="2">
      <x v="18"/>
    </i>
    <i r="2">
      <x v="24"/>
    </i>
    <i r="2">
      <x v="25"/>
    </i>
    <i r="1">
      <x v="5"/>
    </i>
    <i r="2">
      <x/>
    </i>
    <i r="2">
      <x v="1"/>
    </i>
    <i r="2">
      <x v="17"/>
    </i>
    <i r="2">
      <x v="18"/>
    </i>
    <i r="2">
      <x v="19"/>
    </i>
    <i r="2">
      <x v="23"/>
    </i>
    <i r="2">
      <x v="24"/>
    </i>
    <i r="2">
      <x v="25"/>
    </i>
    <i>
      <x v="3"/>
    </i>
    <i r="1">
      <x v="4"/>
    </i>
    <i r="2">
      <x/>
    </i>
    <i r="2">
      <x v="1"/>
    </i>
    <i r="2">
      <x v="17"/>
    </i>
    <i r="2">
      <x v="24"/>
    </i>
    <i r="2">
      <x v="25"/>
    </i>
    <i r="1">
      <x v="5"/>
    </i>
    <i r="2">
      <x/>
    </i>
    <i r="2">
      <x v="2"/>
    </i>
    <i r="2">
      <x v="17"/>
    </i>
    <i r="2">
      <x v="23"/>
    </i>
    <i r="2">
      <x v="24"/>
    </i>
    <i t="grand">
      <x/>
    </i>
  </rowItems>
  <colItems count="1">
    <i/>
  </colItems>
  <dataFields count="1">
    <dataField name="Sum of Gross Revenue" fld="20" baseField="6" baseItem="0" numFmtId="10">
      <extLst>
        <ext xmlns:x14="http://schemas.microsoft.com/office/spreadsheetml/2009/9/main" uri="{E15A36E0-9728-4e99-A89B-3F7291B0FE68}">
          <x14:dataField pivotShowAs="percentOfParentRow"/>
        </ext>
      </extLst>
    </dataField>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A6C074-AFA0-4F55-B32D-41BC8BE603F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6" firstHeaderRow="0" firstDataRow="1" firstDataCol="1"/>
  <pivotFields count="31">
    <pivotField dataField="1"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numFmtId="14" showAll="0"/>
    <pivotField showAll="0"/>
    <pivotField showAll="0"/>
    <pivotField numFmtId="14" showAll="0"/>
    <pivotField numFmtId="1" showAll="0"/>
    <pivotField axis="axisRow" showAll="0">
      <items count="5">
        <item x="0"/>
        <item x="2"/>
        <item x="1"/>
        <item x="3"/>
        <item t="default"/>
      </items>
    </pivotField>
    <pivotField showAll="0"/>
    <pivotField showAll="0"/>
    <pivotField showAll="0"/>
    <pivotField showAll="0"/>
    <pivotField showAll="0"/>
    <pivotField showAll="0"/>
    <pivotField axis="axisRow" showAll="0">
      <items count="8">
        <item x="6"/>
        <item x="0"/>
        <item x="4"/>
        <item x="5"/>
        <item x="2"/>
        <item x="3"/>
        <item x="1"/>
        <item t="default"/>
      </items>
    </pivotField>
    <pivotField showAll="0"/>
    <pivotField numFmtId="2" showAll="0"/>
    <pivotField numFmtId="2" showAll="0"/>
    <pivotField showAll="0"/>
    <pivotField numFmtId="2" showAll="0"/>
    <pivotField numFmtId="2" showAll="0"/>
    <pivotField showAll="0"/>
    <pivotField showAll="0"/>
    <pivotField showAll="0"/>
    <pivotField numFmtId="2" showAll="0"/>
    <pivotField showAll="0"/>
    <pivotField showAll="0"/>
    <pivotField showAll="0"/>
    <pivotField showAll="0"/>
    <pivotField showAll="0"/>
    <pivotField showAll="0"/>
    <pivotField dataField="1" showAll="0"/>
  </pivotFields>
  <rowFields count="2">
    <field x="6"/>
    <field x="13"/>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Fields count="1">
    <field x="-2"/>
  </colFields>
  <colItems count="2">
    <i>
      <x/>
    </i>
    <i i="1">
      <x v="1"/>
    </i>
  </colItems>
  <dataFields count="2">
    <dataField name="Average of On Time number" fld="30" subtotal="average" baseField="6" baseItem="0" numFmtId="9"/>
    <dataField name="Count of OrderID" fld="0" subtotal="count" baseField="0" baseItem="0" numFmtId="1"/>
  </dataFields>
  <formats count="4">
    <format dxfId="14">
      <pivotArea outline="0" collapsedLevelsAreSubtotals="1" fieldPosition="0"/>
    </format>
    <format dxfId="13">
      <pivotArea dataOnly="0" labelOnly="1" outline="0" axis="axisValues" fieldPosition="0"/>
    </format>
    <format dxfId="12">
      <pivotArea outline="0" collapsedLevelsAreSubtotals="1" fieldPosition="0">
        <references count="1">
          <reference field="4294967294" count="1" selected="0">
            <x v="1"/>
          </reference>
        </references>
      </pivotArea>
    </format>
    <format dxfId="11">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6A849E-6529-4E5C-AA96-89DA625C950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2" firstHeaderRow="0" firstDataRow="1" firstDataCol="1"/>
  <pivotFields count="32">
    <pivotField dataField="1"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numFmtId="14" showAll="0"/>
    <pivotField showAll="0"/>
    <pivotField showAll="0">
      <items count="5">
        <item x="0"/>
        <item x="2"/>
        <item x="3"/>
        <item x="1"/>
        <item t="default"/>
      </items>
    </pivotField>
    <pivotField numFmtId="14" showAll="0"/>
    <pivotField numFmtId="1"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pivotField showAll="0"/>
    <pivotField axis="axisRow" showAll="0">
      <items count="17">
        <item x="8"/>
        <item x="5"/>
        <item x="0"/>
        <item x="14"/>
        <item x="6"/>
        <item x="9"/>
        <item x="3"/>
        <item x="10"/>
        <item x="2"/>
        <item x="1"/>
        <item x="11"/>
        <item x="4"/>
        <item x="12"/>
        <item x="13"/>
        <item x="15"/>
        <item x="7"/>
        <item t="default"/>
      </items>
    </pivotField>
    <pivotField showAll="0"/>
    <pivotField showAll="0"/>
    <pivotField numFmtId="2" showAll="0"/>
    <pivotField numFmtId="2" showAll="0"/>
    <pivotField showAll="0"/>
    <pivotField numFmtId="2" showAll="0"/>
    <pivotField numFmtId="2" showAll="0"/>
    <pivotField showAll="0"/>
    <pivotField showAll="0"/>
    <pivotField showAll="0"/>
    <pivotField numFmtId="2" showAll="0"/>
    <pivotField showAll="0"/>
    <pivotField showAll="0"/>
    <pivotField showAll="0"/>
    <pivotField showAll="0"/>
    <pivotField showAll="0"/>
    <pivotField showAll="0"/>
    <pivotField showAll="0"/>
    <pivotField dataField="1" showAll="0"/>
  </pivotFields>
  <rowFields count="2">
    <field x="6"/>
    <field x="12"/>
  </rowFields>
  <rowItems count="69">
    <i>
      <x/>
    </i>
    <i r="1">
      <x/>
    </i>
    <i r="1">
      <x v="1"/>
    </i>
    <i r="1">
      <x v="2"/>
    </i>
    <i r="1">
      <x v="3"/>
    </i>
    <i r="1">
      <x v="4"/>
    </i>
    <i r="1">
      <x v="5"/>
    </i>
    <i r="1">
      <x v="6"/>
    </i>
    <i r="1">
      <x v="7"/>
    </i>
    <i r="1">
      <x v="8"/>
    </i>
    <i r="1">
      <x v="9"/>
    </i>
    <i r="1">
      <x v="10"/>
    </i>
    <i r="1">
      <x v="11"/>
    </i>
    <i r="1">
      <x v="12"/>
    </i>
    <i r="1">
      <x v="13"/>
    </i>
    <i r="1">
      <x v="14"/>
    </i>
    <i r="1">
      <x v="15"/>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r="1">
      <x v="15"/>
    </i>
    <i>
      <x v="3"/>
    </i>
    <i r="1">
      <x/>
    </i>
    <i r="1">
      <x v="1"/>
    </i>
    <i r="1">
      <x v="2"/>
    </i>
    <i r="1">
      <x v="3"/>
    </i>
    <i r="1">
      <x v="4"/>
    </i>
    <i r="1">
      <x v="5"/>
    </i>
    <i r="1">
      <x v="6"/>
    </i>
    <i r="1">
      <x v="7"/>
    </i>
    <i r="1">
      <x v="8"/>
    </i>
    <i r="1">
      <x v="9"/>
    </i>
    <i r="1">
      <x v="10"/>
    </i>
    <i r="1">
      <x v="11"/>
    </i>
    <i r="1">
      <x v="12"/>
    </i>
    <i r="1">
      <x v="13"/>
    </i>
    <i r="1">
      <x v="14"/>
    </i>
    <i r="1">
      <x v="15"/>
    </i>
    <i t="grand">
      <x/>
    </i>
  </rowItems>
  <colFields count="1">
    <field x="-2"/>
  </colFields>
  <colItems count="2">
    <i>
      <x/>
    </i>
    <i i="1">
      <x v="1"/>
    </i>
  </colItems>
  <dataFields count="2">
    <dataField name="Count of OrderID" fld="0" subtotal="count" baseField="0" baseItem="0" numFmtId="1"/>
    <dataField name="Average of High Discount" fld="31" subtotal="average" baseField="6" baseItem="0" numFmtId="9"/>
  </dataFields>
  <formats count="4">
    <format dxfId="10">
      <pivotArea outline="0" collapsedLevelsAreSubtotals="1" fieldPosition="0"/>
    </format>
    <format dxfId="9">
      <pivotArea dataOnly="0" labelOnly="1" outline="0" axis="axisValues" fieldPosition="0"/>
    </format>
    <format dxfId="8">
      <pivotArea outline="0" collapsedLevelsAreSubtotals="1" fieldPosition="0">
        <references count="1">
          <reference field="4294967294" count="1" selected="0">
            <x v="0"/>
          </reference>
        </references>
      </pivotArea>
    </format>
    <format dxfId="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5A165A-2643-4FBE-BBB9-C2683A15F96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2">
    <pivotField showAll="0"/>
    <pivotField numFmtId="14" showAll="0"/>
    <pivotField showAll="0"/>
    <pivotField showAll="0">
      <items count="5">
        <item x="0"/>
        <item x="2"/>
        <item x="3"/>
        <item x="1"/>
        <item t="default"/>
      </items>
    </pivotField>
    <pivotField numFmtId="1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2" showAll="0"/>
    <pivotField numFmtId="2" showAll="0"/>
    <pivotField showAll="0"/>
    <pivotField numFmtId="2" showAll="0"/>
    <pivotField numFmtId="2" showAll="0"/>
    <pivotField showAll="0"/>
    <pivotField showAll="0"/>
    <pivotField showAll="0"/>
    <pivotField numFmtId="2"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073DA5C-1E3C-436D-BF23-335362D85705}" sourceName="Month">
  <pivotTables>
    <pivotTable tabId="22" name="PivotTable17"/>
  </pivotTables>
  <data>
    <tabular pivotCacheId="563089764">
      <items count="33">
        <i x="12" s="1"/>
        <i x="20" s="1"/>
        <i x="19" s="1"/>
        <i x="23" s="1"/>
        <i x="17" s="1"/>
        <i x="16" s="1"/>
        <i x="15" s="1"/>
        <i x="7" s="1"/>
        <i x="8" s="1"/>
        <i x="25" s="1" nd="1"/>
        <i x="21" s="1" nd="1"/>
        <i x="28" s="1" nd="1"/>
        <i x="4" s="1" nd="1"/>
        <i x="6" s="1" nd="1"/>
        <i x="2" s="1" nd="1"/>
        <i x="31" s="1" nd="1"/>
        <i x="26" s="1" nd="1"/>
        <i x="5" s="1" nd="1"/>
        <i x="9" s="1" nd="1"/>
        <i x="10" s="1" nd="1"/>
        <i x="24" s="1" nd="1"/>
        <i x="14" s="1" nd="1"/>
        <i x="13" s="1" nd="1"/>
        <i x="22" s="1" nd="1"/>
        <i x="0" s="1" nd="1"/>
        <i x="3" s="1" nd="1"/>
        <i x="30" s="1" nd="1"/>
        <i x="18" s="1" nd="1"/>
        <i x="32" s="1" nd="1"/>
        <i x="1" s="1" nd="1"/>
        <i x="27" s="1" nd="1"/>
        <i x="29" s="1" nd="1"/>
        <i x="1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4262532F-502B-48AF-A2EC-130A2C65895E}" sourceName="Quarters">
  <pivotTables>
    <pivotTable tabId="22" name="PivotTable17"/>
  </pivotTables>
  <data>
    <tabular pivotCacheId="563089764">
      <items count="4">
        <i x="0"/>
        <i x="2" s="1"/>
        <i x="3"/>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3ED114B-963D-4790-B7DC-C273B0ECB47C}" sourceName="Channel">
  <pivotTables>
    <pivotTable tabId="22" name="PivotTable17"/>
  </pivotTables>
  <data>
    <tabular pivotCacheId="563089764">
      <items count="6">
        <i x="4"/>
        <i x="3"/>
        <i x="2"/>
        <i x="5"/>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6BD999-397B-4B74-B02F-39789EB52AEC}" sourceName="Region">
  <pivotTables>
    <pivotTable tabId="22" name="PivotTable17"/>
  </pivotTables>
  <data>
    <tabular pivotCacheId="563089764">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1" xr10:uid="{1989AFDE-6A6B-4946-A94D-0E738DEFE4DC}" sourceName="Quarters">
  <pivotTables>
    <pivotTable tabId="34" name="PivotTable9"/>
    <pivotTable tabId="30" name="PivotTable8"/>
  </pivotTables>
  <data>
    <tabular pivotCacheId="1741553426">
      <items count="4">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57ECD72-F32E-4533-A768-A4007C383FCC}" sourceName="Region">
  <pivotTables>
    <pivotTable tabId="34" name="PivotTable9"/>
    <pivotTable tabId="30" name="PivotTable8"/>
  </pivotTables>
  <data>
    <tabular pivotCacheId="1741553426">
      <items count="4">
        <i x="0" s="1"/>
        <i x="2"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6FDB6B3-7D95-4EAD-A38F-5CE436A48082}" sourceName="Country">
  <pivotTables>
    <pivotTable tabId="34" name="PivotTable9"/>
    <pivotTable tabId="30" name="PivotTable8"/>
  </pivotTables>
  <data>
    <tabular pivotCacheId="1741553426">
      <items count="12">
        <i x="5" s="1"/>
        <i x="3" s="1"/>
        <i x="9" s="1"/>
        <i x="7" s="1"/>
        <i x="6" s="1"/>
        <i x="4" s="1"/>
        <i x="2" s="1"/>
        <i x="0" s="1"/>
        <i x="1" s="1"/>
        <i x="11" s="1"/>
        <i x="8" s="1"/>
        <i x="1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75C0B204-381F-4A03-BA37-7B4809FADB2D}" sourceName="Channel">
  <pivotTables>
    <pivotTable tabId="34" name="PivotTable9"/>
  </pivotTables>
  <data>
    <tabular pivotCacheId="1741553426">
      <items count="6">
        <i x="4" s="1"/>
        <i x="3" s="1"/>
        <i x="2" s="1"/>
        <i x="5"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21D982C-2099-46F4-AAB6-4BC79EBEB99F}" sourceName="Salesperson">
  <pivotTables>
    <pivotTable tabId="34" name="PivotTable9"/>
  </pivotTables>
  <data>
    <tabular pivotCacheId="1741553426">
      <items count="16">
        <i x="8" s="1"/>
        <i x="5" s="1"/>
        <i x="0" s="1"/>
        <i x="14" s="1"/>
        <i x="6" s="1"/>
        <i x="9" s="1"/>
        <i x="3" s="1"/>
        <i x="10" s="1"/>
        <i x="2" s="1"/>
        <i x="1" s="1"/>
        <i x="11" s="1"/>
        <i x="4" s="1"/>
        <i x="12" s="1"/>
        <i x="13" s="1"/>
        <i x="15" s="1"/>
        <i x="7"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94F14C1-D6CB-46A8-B531-23E850386BA5}" sourceName="Product Category">
  <pivotTables>
    <pivotTable tabId="34" name="PivotTable9"/>
  </pivotTables>
  <data>
    <tabular pivotCacheId="1741553426">
      <items count="7">
        <i x="6" s="1"/>
        <i x="0" s="1"/>
        <i x="4" s="1"/>
        <i x="5"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CC782F1-0A54-4B99-8456-F9C11A7ABD08}" cache="Slicer_Month" caption="Month" rowHeight="241300"/>
  <slicer name="Quarters" xr10:uid="{AADDA80A-8EE2-408E-AA7F-1E4E56128742}" cache="Slicer_Quarters" caption="Quarters" rowHeight="241300"/>
  <slicer name="Channel" xr10:uid="{400C434D-53C1-494B-B3F7-3B2864CBAFA8}" cache="Slicer_Channel" caption="Channel" rowHeight="241300"/>
  <slicer name="Region" xr10:uid="{EA44BB29-59C9-45FD-A2F9-6B5543BE66CB}"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1" xr10:uid="{C83FF685-0ED9-45D3-B811-C873B7ED6150}" cache="Slicer_Quarters1" caption="Quarters" rowHeight="241300"/>
  <slicer name="Region 1" xr10:uid="{AD73FA73-0972-4AC6-9A37-A30130181AB4}" cache="Slicer_Region1" caption="Region" rowHeight="241300"/>
  <slicer name="Country" xr10:uid="{0F97E9DF-6EB8-4847-93FC-F1F156FE66FD}" cache="Slicer_Country" caption="Country" rowHeight="241300"/>
  <slicer name="Channel 1" xr10:uid="{4A0AF40E-66F9-432D-9B13-8DAB0D7C12D1}" cache="Slicer_Channel1" caption="Channel" rowHeight="241300"/>
  <slicer name="Salesperson" xr10:uid="{0E786D04-0397-4E6A-BFE7-2F9EE6FD1C48}" cache="Slicer_Salesperson" caption="Salesperson" rowHeight="241300"/>
  <slicer name="Product Category" xr10:uid="{3797B88B-9FB2-4598-8AEE-7D7BFB5AB930}" cache="Slicer_Product_Category" caption="Produc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58066A-0BAC-4F11-B37E-62340D5771BB}" name="SalesData" displayName="SalesData" ref="A1:AF633" totalsRowShown="0">
  <autoFilter ref="A1:AF633" xr:uid="{D458066A-0BAC-4F11-B37E-62340D5771BB}"/>
  <tableColumns count="32">
    <tableColumn id="1" xr3:uid="{E73157B8-9FFF-40E2-B244-AAADD439C7EA}" name="OrderID"/>
    <tableColumn id="2" xr3:uid="{66DEEA79-902C-41E6-82E5-500CE547EA6C}" name="Order Date" dataDxfId="6"/>
    <tableColumn id="3" xr3:uid="{DAE474E7-B5F6-418B-AAE8-611B4B578F33}" name="Month"/>
    <tableColumn id="4" xr3:uid="{E3346EA9-2C62-465F-9CF3-F1B7EEDCD234}" name="Quarters"/>
    <tableColumn id="5" xr3:uid="{093806F0-81FA-4B70-A980-0F4264A97731}" name="Required Date" dataDxfId="5"/>
    <tableColumn id="6" xr3:uid="{F8BC954A-9062-49AC-8D0F-1ADD92B34930}" name="Lead Time Days"/>
    <tableColumn id="7" xr3:uid="{E26C8C8A-990A-4642-A316-7254FB6D83E2}" name="Region"/>
    <tableColumn id="8" xr3:uid="{FEDBB35F-8008-4AF4-9F83-7000F5049811}" name="Country"/>
    <tableColumn id="9" xr3:uid="{799C22B5-E174-4FE0-ADD5-4AC53028DC8D}" name="City"/>
    <tableColumn id="10" xr3:uid="{214B7646-3DEB-4113-8203-98EAA7A8FFA4}" name="Region Heirarchy"/>
    <tableColumn id="11" xr3:uid="{1ABE4F4C-C64E-4CCD-AE8F-6958E89442E4}" name="Customer Segment"/>
    <tableColumn id="12" xr3:uid="{010654C5-397A-48A6-B3CC-C9AABC98A99B}" name="Channel"/>
    <tableColumn id="13" xr3:uid="{E9CA36FF-C7B8-421E-98EA-FA2535E6D08D}" name="Salesperson"/>
    <tableColumn id="14" xr3:uid="{D3F1690B-3381-4A53-88A2-649CB73A6987}" name="Product Category"/>
    <tableColumn id="15" xr3:uid="{078E6DFB-F08E-49E2-8159-B202F13A1119}" name="SKU"/>
    <tableColumn id="16" xr3:uid="{AEB1516C-0DC9-4DCE-80BF-193AECBA75AD}" name="Unit Cost"/>
    <tableColumn id="17" xr3:uid="{E91DD0C1-EA4C-4952-80C1-CA58C4213A1B}" name="Unit Price"/>
    <tableColumn id="18" xr3:uid="{9A478D13-AD86-47D7-8587-D29DEE4C7922}" name="Price Bands"/>
    <tableColumn id="19" xr3:uid="{D5610083-6356-4E9E-9EC9-729C27B95D22}" name="Discount Pct" dataDxfId="4"/>
    <tableColumn id="20" xr3:uid="{E14BD196-C07A-41B9-90F8-2D4AC9C8A1CB}" name="Quantity"/>
    <tableColumn id="21" xr3:uid="{9314D063-6791-4EAD-A2E9-3D1112A1B2A5}" name="Gross Revenue"/>
    <tableColumn id="22" xr3:uid="{4E5635EC-949E-479B-9B4C-3CC950423CBB}" name="Cat Total Revenue"/>
    <tableColumn id="23" xr3:uid="{41D406BC-3952-4FED-B2D1-90908B379DDD}" name="Cost Of Goods"/>
    <tableColumn id="24" xr3:uid="{F99D7BA6-A191-4C87-A5FB-798965A059B3}" name="Gross Profit"/>
    <tableColumn id="25" xr3:uid="{89A1211A-FE6E-4E36-8D2C-4E75C2146C9E}" name="Margin Pct" dataDxfId="3"/>
    <tableColumn id="26" xr3:uid="{DA749900-07A0-4E8F-B6CA-BE325263CE35}" name="OrderYearMonth"/>
    <tableColumn id="27" xr3:uid="{A9ACA248-F3F1-4704-902A-46782B06E4A6}" name="Cohort Month Number"/>
    <tableColumn id="28" xr3:uid="{A53DB267-1004-4C10-8AEC-941A5848E11B}" name="Cohort Month Date"/>
    <tableColumn id="29" xr3:uid="{4F9EE4F6-67F9-40F0-A322-48DAB8919550}" name="Month Since First"/>
    <tableColumn id="30" xr3:uid="{0C5FBAC1-BEF3-49F7-99AA-418819C180D8}" name="On Time"/>
    <tableColumn id="31" xr3:uid="{86D01488-BB58-4BED-A3DB-1DAC941535EC}" name="On Time number"/>
    <tableColumn id="32" xr3:uid="{CA89BA4A-7A43-4BB5-A819-67F92A8B2A4F}" name="High Discoun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C83B1-516D-401E-8376-51F62E2251D0}">
  <dimension ref="A3:AI17"/>
  <sheetViews>
    <sheetView workbookViewId="0">
      <selection activeCell="A3" sqref="A3"/>
    </sheetView>
  </sheetViews>
  <sheetFormatPr defaultRowHeight="15" x14ac:dyDescent="0.25"/>
  <cols>
    <col min="1" max="1" width="21.140625" bestFit="1" customWidth="1"/>
    <col min="2" max="2" width="16.28515625" bestFit="1" customWidth="1"/>
    <col min="3" max="35" width="12" bestFit="1" customWidth="1"/>
    <col min="36" max="36" width="15.5703125" bestFit="1" customWidth="1"/>
    <col min="37" max="37" width="12" bestFit="1" customWidth="1"/>
    <col min="38" max="38" width="10" bestFit="1" customWidth="1"/>
    <col min="39" max="39" width="12" bestFit="1" customWidth="1"/>
    <col min="40" max="40" width="11" bestFit="1" customWidth="1"/>
    <col min="41" max="42" width="12" bestFit="1" customWidth="1"/>
    <col min="43" max="45" width="11" bestFit="1" customWidth="1"/>
    <col min="46" max="46" width="12" bestFit="1" customWidth="1"/>
    <col min="47" max="47" width="15.5703125" bestFit="1" customWidth="1"/>
    <col min="48" max="51" width="12" bestFit="1" customWidth="1"/>
    <col min="52" max="52" width="11" bestFit="1" customWidth="1"/>
    <col min="53" max="57" width="12" bestFit="1" customWidth="1"/>
    <col min="58" max="58" width="15.5703125" bestFit="1" customWidth="1"/>
    <col min="59" max="60" width="12" bestFit="1" customWidth="1"/>
    <col min="61" max="61" width="11" bestFit="1" customWidth="1"/>
    <col min="62" max="62" width="12" bestFit="1" customWidth="1"/>
    <col min="63" max="63" width="10" bestFit="1" customWidth="1"/>
    <col min="64" max="64" width="9" bestFit="1" customWidth="1"/>
    <col min="65" max="65" width="10" bestFit="1" customWidth="1"/>
    <col min="66" max="66" width="9" bestFit="1" customWidth="1"/>
    <col min="67" max="67" width="11" bestFit="1" customWidth="1"/>
    <col min="68" max="68" width="8" bestFit="1" customWidth="1"/>
    <col min="69" max="69" width="15.5703125" bestFit="1" customWidth="1"/>
    <col min="70" max="71" width="12" bestFit="1" customWidth="1"/>
    <col min="72" max="72" width="11" bestFit="1" customWidth="1"/>
    <col min="73" max="73" width="10" bestFit="1" customWidth="1"/>
    <col min="74" max="74" width="12" bestFit="1" customWidth="1"/>
    <col min="75" max="75" width="11" bestFit="1" customWidth="1"/>
    <col min="76" max="77" width="12" bestFit="1" customWidth="1"/>
    <col min="78" max="78" width="11" bestFit="1" customWidth="1"/>
    <col min="79" max="80" width="12" bestFit="1" customWidth="1"/>
    <col min="81" max="81" width="15.5703125" bestFit="1" customWidth="1"/>
    <col min="82" max="85" width="12" bestFit="1" customWidth="1"/>
    <col min="86" max="86" width="11" bestFit="1" customWidth="1"/>
    <col min="87" max="87" width="12" bestFit="1" customWidth="1"/>
    <col min="89" max="89" width="10" bestFit="1" customWidth="1"/>
    <col min="90" max="90" width="11" bestFit="1" customWidth="1"/>
    <col min="91" max="91" width="7" bestFit="1" customWidth="1"/>
    <col min="92" max="93" width="12" bestFit="1" customWidth="1"/>
    <col min="94" max="94" width="15.5703125" bestFit="1" customWidth="1"/>
    <col min="95" max="95" width="9" bestFit="1" customWidth="1"/>
    <col min="96" max="96" width="12" bestFit="1" customWidth="1"/>
    <col min="97" max="97" width="11" bestFit="1" customWidth="1"/>
    <col min="98" max="99" width="12" bestFit="1" customWidth="1"/>
    <col min="100" max="100" width="10" bestFit="1" customWidth="1"/>
    <col min="101" max="102" width="12" bestFit="1" customWidth="1"/>
    <col min="103" max="104" width="10" bestFit="1" customWidth="1"/>
    <col min="105" max="105" width="12" bestFit="1" customWidth="1"/>
    <col min="106" max="106" width="11" bestFit="1" customWidth="1"/>
    <col min="107" max="107" width="10" bestFit="1" customWidth="1"/>
    <col min="108" max="108" width="12" bestFit="1" customWidth="1"/>
    <col min="109" max="109" width="11" bestFit="1" customWidth="1"/>
    <col min="110" max="111" width="12" bestFit="1" customWidth="1"/>
    <col min="112" max="112" width="11" bestFit="1" customWidth="1"/>
    <col min="113" max="113" width="12" bestFit="1" customWidth="1"/>
    <col min="114" max="114" width="11.7109375" bestFit="1" customWidth="1"/>
    <col min="115" max="115" width="15.5703125" bestFit="1" customWidth="1"/>
    <col min="116" max="116" width="9" bestFit="1" customWidth="1"/>
    <col min="117" max="119" width="12" bestFit="1" customWidth="1"/>
    <col min="121" max="121" width="11" bestFit="1" customWidth="1"/>
    <col min="122" max="123" width="12" bestFit="1" customWidth="1"/>
    <col min="124" max="124" width="15.5703125" bestFit="1" customWidth="1"/>
    <col min="125" max="127" width="12" bestFit="1" customWidth="1"/>
    <col min="128" max="128" width="9" bestFit="1" customWidth="1"/>
    <col min="129" max="131" width="12" bestFit="1" customWidth="1"/>
    <col min="132" max="132" width="11" bestFit="1" customWidth="1"/>
    <col min="133" max="136" width="12" bestFit="1" customWidth="1"/>
    <col min="137" max="137" width="10" bestFit="1" customWidth="1"/>
    <col min="138" max="138" width="12" bestFit="1" customWidth="1"/>
    <col min="139" max="139" width="11" bestFit="1" customWidth="1"/>
    <col min="140" max="142" width="12" bestFit="1" customWidth="1"/>
    <col min="143" max="143" width="15.5703125" bestFit="1" customWidth="1"/>
    <col min="144" max="144" width="9" bestFit="1" customWidth="1"/>
    <col min="145" max="145" width="12" bestFit="1" customWidth="1"/>
    <col min="146" max="146" width="11" bestFit="1" customWidth="1"/>
    <col min="147" max="147" width="10" bestFit="1" customWidth="1"/>
    <col min="148" max="148" width="12" bestFit="1" customWidth="1"/>
    <col min="149" max="149" width="11" bestFit="1" customWidth="1"/>
    <col min="150" max="150" width="10" bestFit="1" customWidth="1"/>
    <col min="151" max="154" width="12" bestFit="1" customWidth="1"/>
    <col min="155" max="155" width="9" bestFit="1" customWidth="1"/>
    <col min="156" max="157" width="12" bestFit="1" customWidth="1"/>
    <col min="158" max="158" width="11" bestFit="1" customWidth="1"/>
    <col min="159" max="161" width="12" bestFit="1" customWidth="1"/>
    <col min="162" max="162" width="10" bestFit="1" customWidth="1"/>
    <col min="163" max="163" width="12" bestFit="1" customWidth="1"/>
    <col min="164" max="164" width="11.7109375" bestFit="1" customWidth="1"/>
    <col min="165" max="165" width="15.5703125" bestFit="1" customWidth="1"/>
    <col min="166" max="168" width="12" bestFit="1" customWidth="1"/>
    <col min="169" max="169" width="11" bestFit="1" customWidth="1"/>
    <col min="170" max="170" width="12" bestFit="1" customWidth="1"/>
    <col min="171" max="171" width="11" bestFit="1" customWidth="1"/>
    <col min="172" max="175" width="12" bestFit="1" customWidth="1"/>
    <col min="176" max="176" width="15.5703125" bestFit="1" customWidth="1"/>
    <col min="177" max="177" width="12" bestFit="1" customWidth="1"/>
    <col min="178" max="178" width="10" bestFit="1" customWidth="1"/>
    <col min="179" max="182" width="12" bestFit="1" customWidth="1"/>
    <col min="183" max="183" width="11" bestFit="1" customWidth="1"/>
    <col min="184" max="186" width="12" bestFit="1" customWidth="1"/>
    <col min="187" max="187" width="15.5703125" bestFit="1" customWidth="1"/>
    <col min="188" max="194" width="12" bestFit="1" customWidth="1"/>
    <col min="195" max="195" width="11" bestFit="1" customWidth="1"/>
    <col min="196" max="196" width="12" bestFit="1" customWidth="1"/>
    <col min="197" max="197" width="11" bestFit="1" customWidth="1"/>
    <col min="198" max="198" width="12" bestFit="1" customWidth="1"/>
    <col min="199" max="199" width="15.5703125" bestFit="1" customWidth="1"/>
    <col min="200" max="200" width="12" bestFit="1" customWidth="1"/>
    <col min="201" max="201" width="9" bestFit="1" customWidth="1"/>
    <col min="202" max="210" width="12" bestFit="1" customWidth="1"/>
    <col min="211" max="212" width="10" bestFit="1" customWidth="1"/>
    <col min="213" max="215" width="12" bestFit="1" customWidth="1"/>
    <col min="216" max="216" width="11" bestFit="1" customWidth="1"/>
    <col min="217" max="217" width="11.7109375" bestFit="1" customWidth="1"/>
    <col min="218" max="218" width="15.5703125" bestFit="1" customWidth="1"/>
    <col min="219" max="225" width="12" bestFit="1" customWidth="1"/>
    <col min="226" max="226" width="10" bestFit="1" customWidth="1"/>
    <col min="227" max="227" width="12" bestFit="1" customWidth="1"/>
    <col min="228" max="228" width="15.5703125" bestFit="1" customWidth="1"/>
    <col min="229" max="229" width="11" bestFit="1" customWidth="1"/>
    <col min="230" max="232" width="12" bestFit="1" customWidth="1"/>
    <col min="233" max="233" width="8" bestFit="1" customWidth="1"/>
    <col min="234" max="234" width="12" bestFit="1" customWidth="1"/>
    <col min="235" max="235" width="10" bestFit="1" customWidth="1"/>
    <col min="236" max="237" width="12" bestFit="1" customWidth="1"/>
    <col min="238" max="238" width="15.5703125" bestFit="1" customWidth="1"/>
    <col min="239" max="239" width="10" bestFit="1" customWidth="1"/>
    <col min="240" max="240" width="12" bestFit="1" customWidth="1"/>
    <col min="241" max="241" width="11" bestFit="1" customWidth="1"/>
    <col min="242" max="242" width="12" bestFit="1" customWidth="1"/>
    <col min="243" max="243" width="7" bestFit="1" customWidth="1"/>
    <col min="244" max="246" width="12" bestFit="1" customWidth="1"/>
    <col min="247" max="247" width="11" bestFit="1" customWidth="1"/>
    <col min="248" max="248" width="12" bestFit="1" customWidth="1"/>
    <col min="249" max="249" width="15.5703125" bestFit="1" customWidth="1"/>
    <col min="250" max="255" width="12" bestFit="1" customWidth="1"/>
    <col min="256" max="256" width="11" bestFit="1" customWidth="1"/>
    <col min="257" max="257" width="12" bestFit="1" customWidth="1"/>
    <col min="258" max="258" width="15.5703125" bestFit="1" customWidth="1"/>
    <col min="259" max="260" width="12" bestFit="1" customWidth="1"/>
    <col min="261" max="261" width="11" bestFit="1" customWidth="1"/>
    <col min="262" max="263" width="12" bestFit="1" customWidth="1"/>
    <col min="264" max="264" width="9" bestFit="1" customWidth="1"/>
    <col min="265" max="266" width="12" bestFit="1" customWidth="1"/>
    <col min="267" max="267" width="11.7109375" bestFit="1" customWidth="1"/>
    <col min="268" max="268" width="15.5703125" bestFit="1" customWidth="1"/>
    <col min="269" max="269" width="10" bestFit="1" customWidth="1"/>
    <col min="270" max="271" width="12" bestFit="1" customWidth="1"/>
    <col min="272" max="272" width="11" bestFit="1" customWidth="1"/>
    <col min="273" max="274" width="12" bestFit="1" customWidth="1"/>
    <col min="275" max="275" width="11" bestFit="1" customWidth="1"/>
    <col min="276" max="278" width="12" bestFit="1" customWidth="1"/>
    <col min="279" max="279" width="15.5703125" bestFit="1" customWidth="1"/>
    <col min="280" max="280" width="10" bestFit="1" customWidth="1"/>
    <col min="281" max="282" width="12" bestFit="1" customWidth="1"/>
    <col min="283" max="283" width="11" bestFit="1" customWidth="1"/>
    <col min="284" max="286" width="12" bestFit="1" customWidth="1"/>
    <col min="287" max="287" width="9" bestFit="1" customWidth="1"/>
    <col min="288" max="288" width="12" bestFit="1" customWidth="1"/>
    <col min="289" max="289" width="11.7109375" bestFit="1" customWidth="1"/>
    <col min="290" max="290" width="15.5703125" bestFit="1" customWidth="1"/>
    <col min="291" max="292" width="12" bestFit="1" customWidth="1"/>
    <col min="293" max="296" width="11" bestFit="1" customWidth="1"/>
    <col min="297" max="297" width="12" bestFit="1" customWidth="1"/>
    <col min="298" max="298" width="10" bestFit="1" customWidth="1"/>
    <col min="299" max="299" width="12" bestFit="1" customWidth="1"/>
    <col min="300" max="300" width="11.7109375" bestFit="1" customWidth="1"/>
    <col min="301" max="301" width="15.5703125" bestFit="1" customWidth="1"/>
    <col min="302" max="304" width="12" bestFit="1" customWidth="1"/>
    <col min="305" max="305" width="11" bestFit="1" customWidth="1"/>
    <col min="306" max="307" width="10" bestFit="1" customWidth="1"/>
    <col min="308" max="309" width="12" bestFit="1" customWidth="1"/>
    <col min="310" max="310" width="11" bestFit="1" customWidth="1"/>
    <col min="311" max="311" width="10" bestFit="1" customWidth="1"/>
    <col min="312" max="312" width="11" bestFit="1" customWidth="1"/>
    <col min="313" max="313" width="11.7109375" bestFit="1" customWidth="1"/>
    <col min="314" max="314" width="15.5703125" bestFit="1" customWidth="1"/>
    <col min="315" max="315" width="11" bestFit="1" customWidth="1"/>
    <col min="316" max="316" width="12" bestFit="1" customWidth="1"/>
    <col min="317" max="317" width="11" bestFit="1" customWidth="1"/>
    <col min="318" max="318" width="12" bestFit="1" customWidth="1"/>
    <col min="319" max="319" width="11" bestFit="1" customWidth="1"/>
    <col min="320" max="320" width="12" bestFit="1" customWidth="1"/>
    <col min="321" max="321" width="11" bestFit="1" customWidth="1"/>
    <col min="322" max="324" width="12" bestFit="1" customWidth="1"/>
    <col min="325" max="325" width="15.5703125" bestFit="1" customWidth="1"/>
    <col min="326" max="327" width="12" bestFit="1" customWidth="1"/>
    <col min="328" max="328" width="11" bestFit="1" customWidth="1"/>
    <col min="329" max="329" width="12" bestFit="1" customWidth="1"/>
    <col min="330" max="330" width="11" bestFit="1" customWidth="1"/>
    <col min="331" max="333" width="12" bestFit="1" customWidth="1"/>
    <col min="334" max="334" width="15.5703125" bestFit="1" customWidth="1"/>
    <col min="335" max="336" width="12" bestFit="1" customWidth="1"/>
    <col min="337" max="337" width="10" bestFit="1" customWidth="1"/>
    <col min="338" max="338" width="11" bestFit="1" customWidth="1"/>
    <col min="339" max="339" width="10" bestFit="1" customWidth="1"/>
    <col min="340" max="340" width="11" bestFit="1" customWidth="1"/>
    <col min="341" max="341" width="12" bestFit="1" customWidth="1"/>
    <col min="342" max="342" width="11" bestFit="1" customWidth="1"/>
    <col min="343" max="343" width="12" bestFit="1" customWidth="1"/>
    <col min="344" max="344" width="15.5703125" bestFit="1" customWidth="1"/>
    <col min="345" max="349" width="12" bestFit="1" customWidth="1"/>
    <col min="350" max="350" width="10" bestFit="1" customWidth="1"/>
    <col min="351" max="351" width="11.7109375" bestFit="1" customWidth="1"/>
    <col min="352" max="352" width="15.5703125" bestFit="1" customWidth="1"/>
    <col min="353" max="353" width="10" bestFit="1" customWidth="1"/>
    <col min="354" max="354" width="12" bestFit="1" customWidth="1"/>
  </cols>
  <sheetData>
    <row r="3" spans="1:35" x14ac:dyDescent="0.25">
      <c r="A3" s="15" t="s">
        <v>1438</v>
      </c>
      <c r="B3" s="15" t="s">
        <v>1434</v>
      </c>
    </row>
    <row r="4" spans="1:35" x14ac:dyDescent="0.25">
      <c r="A4" s="15" t="s">
        <v>1421</v>
      </c>
      <c r="B4">
        <v>0</v>
      </c>
      <c r="C4">
        <v>1</v>
      </c>
      <c r="D4">
        <v>2</v>
      </c>
      <c r="E4">
        <v>3</v>
      </c>
      <c r="F4">
        <v>4</v>
      </c>
      <c r="G4">
        <v>5</v>
      </c>
      <c r="H4">
        <v>6</v>
      </c>
      <c r="I4">
        <v>7</v>
      </c>
      <c r="J4">
        <v>8</v>
      </c>
      <c r="K4">
        <v>9</v>
      </c>
      <c r="L4">
        <v>10</v>
      </c>
      <c r="M4">
        <v>11</v>
      </c>
      <c r="N4">
        <v>12</v>
      </c>
      <c r="O4">
        <v>13</v>
      </c>
      <c r="P4">
        <v>14</v>
      </c>
      <c r="Q4">
        <v>15</v>
      </c>
      <c r="R4">
        <v>16</v>
      </c>
      <c r="S4">
        <v>17</v>
      </c>
      <c r="T4">
        <v>18</v>
      </c>
      <c r="U4">
        <v>19</v>
      </c>
      <c r="V4">
        <v>20</v>
      </c>
      <c r="W4">
        <v>21</v>
      </c>
      <c r="X4">
        <v>22</v>
      </c>
      <c r="Y4">
        <v>23</v>
      </c>
      <c r="Z4">
        <v>24</v>
      </c>
      <c r="AA4">
        <v>25</v>
      </c>
      <c r="AB4">
        <v>26</v>
      </c>
      <c r="AC4">
        <v>27</v>
      </c>
      <c r="AD4">
        <v>28</v>
      </c>
      <c r="AE4">
        <v>29</v>
      </c>
      <c r="AF4">
        <v>30</v>
      </c>
      <c r="AG4">
        <v>31</v>
      </c>
      <c r="AH4">
        <v>32</v>
      </c>
      <c r="AI4" t="s">
        <v>1422</v>
      </c>
    </row>
    <row r="5" spans="1:35" x14ac:dyDescent="0.25">
      <c r="A5" s="16" t="s">
        <v>647</v>
      </c>
      <c r="B5" s="18">
        <v>1801.4076000000002</v>
      </c>
      <c r="C5" s="18">
        <v>24894.430559999997</v>
      </c>
      <c r="D5" s="18">
        <v>24523.006720000001</v>
      </c>
      <c r="E5" s="18">
        <v>12248.675999999999</v>
      </c>
      <c r="F5" s="18">
        <v>27194.152039999997</v>
      </c>
      <c r="G5" s="18">
        <v>46991.747199999998</v>
      </c>
      <c r="H5" s="18">
        <v>93430.735400000005</v>
      </c>
      <c r="I5" s="18">
        <v>37330.00275</v>
      </c>
      <c r="J5" s="18">
        <v>7071.6331400000008</v>
      </c>
      <c r="K5" s="18">
        <v>16213.632800000001</v>
      </c>
      <c r="L5" s="18">
        <v>24161.26311</v>
      </c>
      <c r="M5" s="18">
        <v>61471.696859999996</v>
      </c>
      <c r="N5" s="18">
        <v>8567.3924999999999</v>
      </c>
      <c r="O5" s="18">
        <v>39239.197899999999</v>
      </c>
      <c r="P5" s="18">
        <v>110.14919999999999</v>
      </c>
      <c r="Q5" s="18">
        <v>57491.062559999998</v>
      </c>
      <c r="R5" s="18">
        <v>9469.7678000000014</v>
      </c>
      <c r="S5" s="18">
        <v>41658.527040000008</v>
      </c>
      <c r="T5" s="18">
        <v>10937.519999999999</v>
      </c>
      <c r="U5" s="18">
        <v>41358.420049999993</v>
      </c>
      <c r="V5" s="18">
        <v>85419.017859999993</v>
      </c>
      <c r="W5" s="18"/>
      <c r="X5" s="18">
        <v>11939.431199999999</v>
      </c>
      <c r="Y5" s="18"/>
      <c r="Z5" s="18">
        <v>22987.3279</v>
      </c>
      <c r="AA5" s="18">
        <v>70563.592109999998</v>
      </c>
      <c r="AB5" s="18">
        <v>16257.340179999999</v>
      </c>
      <c r="AC5" s="18">
        <v>68920.107260000004</v>
      </c>
      <c r="AD5" s="18">
        <v>67158.244760000001</v>
      </c>
      <c r="AE5" s="18"/>
      <c r="AF5" s="18">
        <v>38096.18406</v>
      </c>
      <c r="AG5" s="18">
        <v>45754.744080000004</v>
      </c>
      <c r="AH5" s="18">
        <v>24172.044580000002</v>
      </c>
      <c r="AI5" s="18">
        <v>1037432.45522</v>
      </c>
    </row>
    <row r="6" spans="1:35" x14ac:dyDescent="0.25">
      <c r="A6" s="16" t="s">
        <v>645</v>
      </c>
      <c r="B6" s="18">
        <v>4141.7599999999993</v>
      </c>
      <c r="C6" s="18">
        <v>26150.364320000001</v>
      </c>
      <c r="D6" s="18">
        <v>17453.3436</v>
      </c>
      <c r="E6" s="18">
        <v>15618.84504</v>
      </c>
      <c r="F6" s="18"/>
      <c r="G6" s="18">
        <v>46226.11952</v>
      </c>
      <c r="H6" s="18">
        <v>29536.716</v>
      </c>
      <c r="I6" s="18">
        <v>52625.804160000007</v>
      </c>
      <c r="J6" s="18">
        <v>15530.929919999999</v>
      </c>
      <c r="K6" s="18">
        <v>27756.432000000001</v>
      </c>
      <c r="L6" s="18"/>
      <c r="M6" s="18">
        <v>14466.95104</v>
      </c>
      <c r="N6" s="18">
        <v>19139.594240000002</v>
      </c>
      <c r="O6" s="18">
        <v>9774.3888000000006</v>
      </c>
      <c r="P6" s="18">
        <v>21931.50405</v>
      </c>
      <c r="Q6" s="18"/>
      <c r="R6" s="18">
        <v>17930.494560000003</v>
      </c>
      <c r="S6" s="18">
        <v>55516.603510000001</v>
      </c>
      <c r="T6" s="18">
        <v>79082.507010000001</v>
      </c>
      <c r="U6" s="18">
        <v>7466.3063999999986</v>
      </c>
      <c r="V6" s="18">
        <v>64160.245439999999</v>
      </c>
      <c r="W6" s="18"/>
      <c r="X6" s="18">
        <v>60697.470840000002</v>
      </c>
      <c r="Y6" s="18">
        <v>20713.040080000002</v>
      </c>
      <c r="Z6" s="18"/>
      <c r="AA6" s="18">
        <v>8128.5187499999993</v>
      </c>
      <c r="AB6" s="18"/>
      <c r="AC6" s="18">
        <v>7901.5041599999995</v>
      </c>
      <c r="AD6" s="18">
        <v>76122.593299999993</v>
      </c>
      <c r="AE6" s="18">
        <v>5335.5655499999993</v>
      </c>
      <c r="AF6" s="18">
        <v>141645.56601000001</v>
      </c>
      <c r="AG6" s="18">
        <v>24972.288</v>
      </c>
      <c r="AH6" s="18">
        <v>12597.52224</v>
      </c>
      <c r="AI6" s="18">
        <v>882622.97853999969</v>
      </c>
    </row>
    <row r="7" spans="1:35" x14ac:dyDescent="0.25">
      <c r="A7" s="16" t="s">
        <v>651</v>
      </c>
      <c r="B7" s="18">
        <v>11406.96</v>
      </c>
      <c r="C7" s="18">
        <v>10869.182940000001</v>
      </c>
      <c r="D7" s="18">
        <v>13437.300239999999</v>
      </c>
      <c r="E7" s="18">
        <v>23379.011199999997</v>
      </c>
      <c r="F7" s="18">
        <v>49097.717239999998</v>
      </c>
      <c r="G7" s="18">
        <v>5769.2758000000003</v>
      </c>
      <c r="H7" s="18"/>
      <c r="I7" s="18">
        <v>64096.735299999993</v>
      </c>
      <c r="J7" s="18">
        <v>14108.16791</v>
      </c>
      <c r="K7" s="18">
        <v>62366.338009999999</v>
      </c>
      <c r="L7" s="18"/>
      <c r="M7" s="18">
        <v>23668.560000000001</v>
      </c>
      <c r="N7" s="18"/>
      <c r="O7" s="18">
        <v>79081.561010000005</v>
      </c>
      <c r="P7" s="18">
        <v>45749.975680000003</v>
      </c>
      <c r="Q7" s="18">
        <v>14197.064400000001</v>
      </c>
      <c r="R7" s="18"/>
      <c r="S7" s="18">
        <v>70180.55992</v>
      </c>
      <c r="T7" s="18">
        <v>50774.406560000003</v>
      </c>
      <c r="U7" s="18"/>
      <c r="V7" s="18">
        <v>21270.482609999999</v>
      </c>
      <c r="W7" s="18">
        <v>68861.979880000014</v>
      </c>
      <c r="X7" s="18">
        <v>4071.8</v>
      </c>
      <c r="Y7" s="18">
        <v>77129.274059999996</v>
      </c>
      <c r="Z7" s="18">
        <v>56274.47408</v>
      </c>
      <c r="AA7" s="18"/>
      <c r="AB7" s="18">
        <v>9378.6258099999995</v>
      </c>
      <c r="AC7" s="18"/>
      <c r="AD7" s="18">
        <v>9684.8756000000012</v>
      </c>
      <c r="AE7" s="18">
        <v>55548.646980000005</v>
      </c>
      <c r="AF7" s="18">
        <v>20703.052239999997</v>
      </c>
      <c r="AG7" s="18">
        <v>33684.350699999995</v>
      </c>
      <c r="AH7" s="18"/>
      <c r="AI7" s="18">
        <v>894790.37816999981</v>
      </c>
    </row>
    <row r="8" spans="1:35" x14ac:dyDescent="0.25">
      <c r="A8" s="16" t="s">
        <v>649</v>
      </c>
      <c r="B8" s="18">
        <v>9847.2358600000007</v>
      </c>
      <c r="C8" s="18">
        <v>39546.774539999999</v>
      </c>
      <c r="D8" s="18"/>
      <c r="E8" s="18">
        <v>40811.05186</v>
      </c>
      <c r="F8" s="18"/>
      <c r="G8" s="18">
        <v>10388.429999999998</v>
      </c>
      <c r="H8" s="18">
        <v>60768.60312</v>
      </c>
      <c r="I8" s="18">
        <v>36549.429260000004</v>
      </c>
      <c r="J8" s="18">
        <v>14877.464000000002</v>
      </c>
      <c r="K8" s="18">
        <v>5159.7893599999998</v>
      </c>
      <c r="L8" s="18">
        <v>22983.34563</v>
      </c>
      <c r="M8" s="18">
        <v>28412.100360000004</v>
      </c>
      <c r="N8" s="18">
        <v>29263.361400000002</v>
      </c>
      <c r="O8" s="18">
        <v>20654.544699999999</v>
      </c>
      <c r="P8" s="18">
        <v>45104.930900000007</v>
      </c>
      <c r="Q8" s="18">
        <v>16219.34496</v>
      </c>
      <c r="R8" s="18">
        <v>43635.435039999997</v>
      </c>
      <c r="S8" s="18"/>
      <c r="T8" s="18">
        <v>27907.424579999999</v>
      </c>
      <c r="U8" s="18">
        <v>9189.1634999999987</v>
      </c>
      <c r="V8" s="18"/>
      <c r="W8" s="18">
        <v>41419.524249999995</v>
      </c>
      <c r="X8" s="18">
        <v>67281.056590000007</v>
      </c>
      <c r="Y8" s="18">
        <v>32011.666519999995</v>
      </c>
      <c r="Z8" s="18">
        <v>20050.102040000002</v>
      </c>
      <c r="AA8" s="18">
        <v>12040.64352</v>
      </c>
      <c r="AB8" s="18"/>
      <c r="AC8" s="18">
        <v>33208.325400000002</v>
      </c>
      <c r="AD8" s="18">
        <v>5331.6696000000002</v>
      </c>
      <c r="AE8" s="18">
        <v>17419.586900000002</v>
      </c>
      <c r="AF8" s="18"/>
      <c r="AG8" s="18">
        <v>68199.913</v>
      </c>
      <c r="AH8" s="18"/>
      <c r="AI8" s="18">
        <v>758280.91689000023</v>
      </c>
    </row>
    <row r="9" spans="1:35" x14ac:dyDescent="0.25">
      <c r="A9" s="16" t="s">
        <v>648</v>
      </c>
      <c r="B9" s="18">
        <v>13921.506140000001</v>
      </c>
      <c r="C9" s="18">
        <v>142962.67473</v>
      </c>
      <c r="D9" s="18">
        <v>6271.3801999999996</v>
      </c>
      <c r="E9" s="18">
        <v>104633.05091000001</v>
      </c>
      <c r="F9" s="18">
        <v>17964.4038</v>
      </c>
      <c r="G9" s="18">
        <v>5189.8836000000001</v>
      </c>
      <c r="H9" s="18">
        <v>14114.068500000001</v>
      </c>
      <c r="I9" s="18">
        <v>215.19839999999996</v>
      </c>
      <c r="J9" s="18"/>
      <c r="K9" s="18"/>
      <c r="L9" s="18">
        <v>7643.2649999999994</v>
      </c>
      <c r="M9" s="18">
        <v>56963.241009999998</v>
      </c>
      <c r="N9" s="18">
        <v>41020.909639999998</v>
      </c>
      <c r="O9" s="18">
        <v>321.93290999999999</v>
      </c>
      <c r="P9" s="18">
        <v>68292.728010000006</v>
      </c>
      <c r="Q9" s="18">
        <v>37482.345600000001</v>
      </c>
      <c r="R9" s="18">
        <v>32187.988280000001</v>
      </c>
      <c r="S9" s="18">
        <v>65111.38614000001</v>
      </c>
      <c r="T9" s="18"/>
      <c r="U9" s="18">
        <v>47066.843850000005</v>
      </c>
      <c r="V9" s="18"/>
      <c r="W9" s="18"/>
      <c r="X9" s="18">
        <v>12955.824749999998</v>
      </c>
      <c r="Y9" s="18">
        <v>78869.293639999989</v>
      </c>
      <c r="Z9" s="18"/>
      <c r="AA9" s="18">
        <v>30546.068040000002</v>
      </c>
      <c r="AB9" s="18">
        <v>16870.419779999997</v>
      </c>
      <c r="AC9" s="18">
        <v>5810.4844599999997</v>
      </c>
      <c r="AD9" s="18">
        <v>10666.229420000001</v>
      </c>
      <c r="AE9" s="18">
        <v>56166.983609999996</v>
      </c>
      <c r="AF9" s="18"/>
      <c r="AG9" s="18">
        <v>56176.777799999996</v>
      </c>
      <c r="AH9" s="18"/>
      <c r="AI9" s="18">
        <v>929424.88821999996</v>
      </c>
    </row>
    <row r="10" spans="1:35" x14ac:dyDescent="0.25">
      <c r="A10" s="16" t="s">
        <v>646</v>
      </c>
      <c r="B10" s="18">
        <v>26759.28775</v>
      </c>
      <c r="C10" s="18">
        <v>22044.871499999997</v>
      </c>
      <c r="D10" s="18">
        <v>6631.6443100000006</v>
      </c>
      <c r="E10" s="18">
        <v>32506.559399999998</v>
      </c>
      <c r="F10" s="18">
        <v>249678.13582000002</v>
      </c>
      <c r="G10" s="18">
        <v>4577.1480000000001</v>
      </c>
      <c r="H10" s="18">
        <v>12462.65055</v>
      </c>
      <c r="I10" s="18">
        <v>7105.3528000000006</v>
      </c>
      <c r="J10" s="18">
        <v>42824.196989999997</v>
      </c>
      <c r="K10" s="18">
        <v>34805.040549999998</v>
      </c>
      <c r="L10" s="18">
        <v>39388.573900000003</v>
      </c>
      <c r="M10" s="18">
        <v>35984.636809999996</v>
      </c>
      <c r="N10" s="18">
        <v>33792.866320000001</v>
      </c>
      <c r="O10" s="18">
        <v>24305.882859999998</v>
      </c>
      <c r="P10" s="18">
        <v>12668.50728</v>
      </c>
      <c r="Q10" s="18"/>
      <c r="R10" s="18">
        <v>35554.10024</v>
      </c>
      <c r="S10" s="18">
        <v>31513.423040000001</v>
      </c>
      <c r="T10" s="18">
        <v>30229.994880000002</v>
      </c>
      <c r="U10" s="18">
        <v>43785.68778</v>
      </c>
      <c r="V10" s="18">
        <v>20028.787380000002</v>
      </c>
      <c r="W10" s="18">
        <v>599.53200000000004</v>
      </c>
      <c r="X10" s="18">
        <v>91856.869250000003</v>
      </c>
      <c r="Y10" s="18">
        <v>40695.91504</v>
      </c>
      <c r="Z10" s="18">
        <v>33308.550000000003</v>
      </c>
      <c r="AA10" s="18">
        <v>7120.6486400000003</v>
      </c>
      <c r="AB10" s="18">
        <v>24075.089819999997</v>
      </c>
      <c r="AC10" s="18">
        <v>4856.35725</v>
      </c>
      <c r="AD10" s="18">
        <v>62421.224639999993</v>
      </c>
      <c r="AE10" s="18">
        <v>39717.144099999998</v>
      </c>
      <c r="AF10" s="18"/>
      <c r="AG10" s="18">
        <v>11006.647559999999</v>
      </c>
      <c r="AH10" s="18">
        <v>29627.320319999999</v>
      </c>
      <c r="AI10" s="18">
        <v>1091932.6467800001</v>
      </c>
    </row>
    <row r="11" spans="1:35" x14ac:dyDescent="0.25">
      <c r="A11" s="16" t="s">
        <v>644</v>
      </c>
      <c r="B11" s="18">
        <v>31024.83872</v>
      </c>
      <c r="C11" s="18">
        <v>21196.913249999998</v>
      </c>
      <c r="D11" s="18">
        <v>9062.34692</v>
      </c>
      <c r="E11" s="18">
        <v>4603.0824400000001</v>
      </c>
      <c r="F11" s="18">
        <v>32142.113530000002</v>
      </c>
      <c r="G11" s="18"/>
      <c r="H11" s="18">
        <v>31130.741829999995</v>
      </c>
      <c r="I11" s="18">
        <v>14527.748400000002</v>
      </c>
      <c r="J11" s="18">
        <v>14268.607679999999</v>
      </c>
      <c r="K11" s="18">
        <v>38506.528819999992</v>
      </c>
      <c r="L11" s="18">
        <v>67110.666420000009</v>
      </c>
      <c r="M11" s="18">
        <v>15253.069799999999</v>
      </c>
      <c r="N11" s="18"/>
      <c r="O11" s="18"/>
      <c r="P11" s="18">
        <v>14287.896349999999</v>
      </c>
      <c r="Q11" s="18">
        <v>68665.574250000005</v>
      </c>
      <c r="R11" s="18">
        <v>23449.833500000001</v>
      </c>
      <c r="S11" s="18">
        <v>82602.550499999998</v>
      </c>
      <c r="T11" s="18">
        <v>50582.705609999997</v>
      </c>
      <c r="U11" s="18">
        <v>29808.424959999997</v>
      </c>
      <c r="V11" s="18"/>
      <c r="W11" s="18">
        <v>18641.222160000001</v>
      </c>
      <c r="X11" s="18">
        <v>15705.464199999999</v>
      </c>
      <c r="Y11" s="18">
        <v>7955.6342199999999</v>
      </c>
      <c r="Z11" s="18">
        <v>49494.318980000011</v>
      </c>
      <c r="AA11" s="18">
        <v>20606.46444</v>
      </c>
      <c r="AB11" s="18">
        <v>63856.506820000002</v>
      </c>
      <c r="AC11" s="18">
        <v>11984.891250000001</v>
      </c>
      <c r="AD11" s="18">
        <v>9315.4974099999999</v>
      </c>
      <c r="AE11" s="18">
        <v>34082.864639999993</v>
      </c>
      <c r="AF11" s="18">
        <v>74882.385600000009</v>
      </c>
      <c r="AG11" s="18"/>
      <c r="AH11" s="18"/>
      <c r="AI11" s="18">
        <v>854748.89270000008</v>
      </c>
    </row>
    <row r="12" spans="1:35" x14ac:dyDescent="0.25">
      <c r="A12" s="16" t="s">
        <v>642</v>
      </c>
      <c r="B12" s="18">
        <v>47962.717579999997</v>
      </c>
      <c r="C12" s="18">
        <v>3115.3609199999996</v>
      </c>
      <c r="D12" s="18">
        <v>70602.927789999987</v>
      </c>
      <c r="E12" s="18">
        <v>11003.7672</v>
      </c>
      <c r="F12" s="18">
        <v>10946.711730000001</v>
      </c>
      <c r="G12" s="18">
        <v>3799.8031499999997</v>
      </c>
      <c r="H12" s="18">
        <v>36649.808400000002</v>
      </c>
      <c r="I12" s="18">
        <v>667.74</v>
      </c>
      <c r="J12" s="18">
        <v>1030.7574</v>
      </c>
      <c r="K12" s="18">
        <v>38264.510399999999</v>
      </c>
      <c r="L12" s="18"/>
      <c r="M12" s="18">
        <v>16061.972879999999</v>
      </c>
      <c r="N12" s="18"/>
      <c r="O12" s="18">
        <v>66852.128960000002</v>
      </c>
      <c r="P12" s="18">
        <v>4866.3287999999993</v>
      </c>
      <c r="Q12" s="18">
        <v>24447.95865</v>
      </c>
      <c r="R12" s="18">
        <v>13108.78584</v>
      </c>
      <c r="S12" s="18">
        <v>181608.69623999999</v>
      </c>
      <c r="T12" s="18">
        <v>27763.018220000002</v>
      </c>
      <c r="U12" s="18">
        <v>3823.6151599999998</v>
      </c>
      <c r="V12" s="18">
        <v>52863.98113</v>
      </c>
      <c r="W12" s="18">
        <v>50650.005999999994</v>
      </c>
      <c r="X12" s="18">
        <v>123535.74428</v>
      </c>
      <c r="Y12" s="18"/>
      <c r="Z12" s="18">
        <v>52609.065839999996</v>
      </c>
      <c r="AA12" s="18">
        <v>15860.782080000001</v>
      </c>
      <c r="AB12" s="18">
        <v>13669.81</v>
      </c>
      <c r="AC12" s="18">
        <v>17731.623</v>
      </c>
      <c r="AD12" s="18">
        <v>4569.8508000000002</v>
      </c>
      <c r="AE12" s="18"/>
      <c r="AF12" s="18">
        <v>17867.219160000001</v>
      </c>
      <c r="AG12" s="18">
        <v>15174.425699999998</v>
      </c>
      <c r="AH12" s="18">
        <v>9050.5052999999989</v>
      </c>
      <c r="AI12" s="18">
        <v>936159.62261000019</v>
      </c>
    </row>
    <row r="13" spans="1:35" x14ac:dyDescent="0.25">
      <c r="A13" s="16" t="s">
        <v>643</v>
      </c>
      <c r="B13" s="18">
        <v>685.06776000000002</v>
      </c>
      <c r="C13" s="18">
        <v>4737.2198399999997</v>
      </c>
      <c r="D13" s="18"/>
      <c r="E13" s="18">
        <v>32280.32474</v>
      </c>
      <c r="F13" s="18">
        <v>43539.233140000004</v>
      </c>
      <c r="G13" s="18">
        <v>7135.57</v>
      </c>
      <c r="H13" s="18">
        <v>112088.8161</v>
      </c>
      <c r="I13" s="18">
        <v>24833.097520000003</v>
      </c>
      <c r="J13" s="18"/>
      <c r="K13" s="18">
        <v>10786.32144</v>
      </c>
      <c r="L13" s="18"/>
      <c r="M13" s="18">
        <v>27158.894079999998</v>
      </c>
      <c r="N13" s="18"/>
      <c r="O13" s="18"/>
      <c r="P13" s="18">
        <v>28041.02492</v>
      </c>
      <c r="Q13" s="18">
        <v>48850.80702</v>
      </c>
      <c r="R13" s="18">
        <v>68626.652039999986</v>
      </c>
      <c r="S13" s="18">
        <v>15009.056700000001</v>
      </c>
      <c r="T13" s="18"/>
      <c r="U13" s="18"/>
      <c r="V13" s="18">
        <v>2879.9836</v>
      </c>
      <c r="W13" s="18">
        <v>100069.71683999999</v>
      </c>
      <c r="X13" s="18"/>
      <c r="Y13" s="18">
        <v>12967.958640000001</v>
      </c>
      <c r="Z13" s="18"/>
      <c r="AA13" s="18">
        <v>23687.576009999997</v>
      </c>
      <c r="AB13" s="18">
        <v>52727.976460000005</v>
      </c>
      <c r="AC13" s="18">
        <v>40139.874619999995</v>
      </c>
      <c r="AD13" s="18">
        <v>1010.3759200000001</v>
      </c>
      <c r="AE13" s="18">
        <v>55110.619960000004</v>
      </c>
      <c r="AF13" s="18">
        <v>119970.84924</v>
      </c>
      <c r="AG13" s="18">
        <v>49501.660319999995</v>
      </c>
      <c r="AH13" s="18"/>
      <c r="AI13" s="18">
        <v>881838.67691000004</v>
      </c>
    </row>
    <row r="14" spans="1:35" x14ac:dyDescent="0.25">
      <c r="A14" s="16" t="s">
        <v>653</v>
      </c>
      <c r="B14" s="18">
        <v>3116.21</v>
      </c>
      <c r="C14" s="18">
        <v>86597.081299999991</v>
      </c>
      <c r="D14" s="18">
        <v>29618.551199999998</v>
      </c>
      <c r="E14" s="18"/>
      <c r="F14" s="18">
        <v>15187.141260000002</v>
      </c>
      <c r="G14" s="18"/>
      <c r="H14" s="18">
        <v>78566.392940000005</v>
      </c>
      <c r="I14" s="18">
        <v>58520.369640000004</v>
      </c>
      <c r="J14" s="18"/>
      <c r="K14" s="18">
        <v>434.45248000000004</v>
      </c>
      <c r="L14" s="18">
        <v>12954.358080000002</v>
      </c>
      <c r="M14" s="18">
        <v>79406.784939999983</v>
      </c>
      <c r="N14" s="18">
        <v>54214.972159999998</v>
      </c>
      <c r="O14" s="18"/>
      <c r="P14" s="18">
        <v>4826.5396199999996</v>
      </c>
      <c r="Q14" s="18">
        <v>20171.63305</v>
      </c>
      <c r="R14" s="18">
        <v>14032.850879999998</v>
      </c>
      <c r="S14" s="18">
        <v>39907.476419999999</v>
      </c>
      <c r="T14" s="18"/>
      <c r="U14" s="18">
        <v>27331.829999999998</v>
      </c>
      <c r="V14" s="18">
        <v>12972.00222</v>
      </c>
      <c r="W14" s="18">
        <v>18061.204320000004</v>
      </c>
      <c r="X14" s="18"/>
      <c r="Y14" s="18"/>
      <c r="Z14" s="18">
        <v>6576.298960000001</v>
      </c>
      <c r="AA14" s="18"/>
      <c r="AB14" s="18">
        <v>5565.3272500000003</v>
      </c>
      <c r="AC14" s="18">
        <v>1886.9915999999998</v>
      </c>
      <c r="AD14" s="18">
        <v>31556.187599999997</v>
      </c>
      <c r="AE14" s="18">
        <v>88311.186580000009</v>
      </c>
      <c r="AF14" s="18">
        <v>76636.156479999991</v>
      </c>
      <c r="AG14" s="18"/>
      <c r="AH14" s="18">
        <v>13185.543</v>
      </c>
      <c r="AI14" s="18">
        <v>779637.54197999986</v>
      </c>
    </row>
    <row r="15" spans="1:35" x14ac:dyDescent="0.25">
      <c r="A15" s="16" t="s">
        <v>650</v>
      </c>
      <c r="B15" s="18">
        <v>27965.366600000001</v>
      </c>
      <c r="C15" s="18">
        <v>4132.0325200000007</v>
      </c>
      <c r="D15" s="18">
        <v>16013.681599999998</v>
      </c>
      <c r="E15" s="18">
        <v>66551.125379999983</v>
      </c>
      <c r="F15" s="18">
        <v>19800.88896</v>
      </c>
      <c r="G15" s="18">
        <v>29905.537640000002</v>
      </c>
      <c r="H15" s="18">
        <v>48616.566040000005</v>
      </c>
      <c r="I15" s="18">
        <v>31801.900559999998</v>
      </c>
      <c r="J15" s="18"/>
      <c r="K15" s="18">
        <v>26003.218060000003</v>
      </c>
      <c r="L15" s="18">
        <v>5610.0923999999995</v>
      </c>
      <c r="M15" s="18"/>
      <c r="N15" s="18">
        <v>27424.450400000002</v>
      </c>
      <c r="O15" s="18"/>
      <c r="P15" s="18">
        <v>33938.142760000002</v>
      </c>
      <c r="Q15" s="18">
        <v>20646.6109</v>
      </c>
      <c r="R15" s="18">
        <v>114279.15346</v>
      </c>
      <c r="S15" s="18">
        <v>65319.420119999995</v>
      </c>
      <c r="T15" s="18"/>
      <c r="U15" s="18">
        <v>23687.524440000001</v>
      </c>
      <c r="V15" s="18">
        <v>25249.613219999999</v>
      </c>
      <c r="W15" s="18">
        <v>91431.437760000001</v>
      </c>
      <c r="X15" s="18">
        <v>44605.988639999996</v>
      </c>
      <c r="Y15" s="18">
        <v>61319.075339999996</v>
      </c>
      <c r="Z15" s="18">
        <v>11332.142999999998</v>
      </c>
      <c r="AA15" s="18">
        <v>35720.318400000004</v>
      </c>
      <c r="AB15" s="18">
        <v>21062.61248</v>
      </c>
      <c r="AC15" s="18">
        <v>96832.738060000003</v>
      </c>
      <c r="AD15" s="18">
        <v>39263.702919999996</v>
      </c>
      <c r="AE15" s="18">
        <v>52414.751029999999</v>
      </c>
      <c r="AF15" s="18">
        <v>62736.308879999997</v>
      </c>
      <c r="AG15" s="18">
        <v>853.32276999999988</v>
      </c>
      <c r="AH15" s="18">
        <v>8764.4065599999994</v>
      </c>
      <c r="AI15" s="18">
        <v>1113282.1309</v>
      </c>
    </row>
    <row r="16" spans="1:35" x14ac:dyDescent="0.25">
      <c r="A16" s="16" t="s">
        <v>652</v>
      </c>
      <c r="B16" s="18">
        <v>31035.217859999997</v>
      </c>
      <c r="C16" s="18">
        <v>68738.647320000004</v>
      </c>
      <c r="D16" s="18"/>
      <c r="E16" s="18">
        <v>11375.257759999999</v>
      </c>
      <c r="F16" s="18">
        <v>27431.638109999996</v>
      </c>
      <c r="G16" s="18">
        <v>71887.464219999994</v>
      </c>
      <c r="H16" s="18">
        <v>32086.37586</v>
      </c>
      <c r="I16" s="18">
        <v>25299.040000000001</v>
      </c>
      <c r="J16" s="18">
        <v>14692.623000000001</v>
      </c>
      <c r="K16" s="18">
        <v>5533.6230000000005</v>
      </c>
      <c r="L16" s="18"/>
      <c r="M16" s="18"/>
      <c r="N16" s="18">
        <v>18566.16</v>
      </c>
      <c r="O16" s="18">
        <v>52311.007679999995</v>
      </c>
      <c r="P16" s="18">
        <v>108770.27859</v>
      </c>
      <c r="Q16" s="18"/>
      <c r="R16" s="18">
        <v>53872.641179999999</v>
      </c>
      <c r="S16" s="18"/>
      <c r="T16" s="18">
        <v>25483.91488</v>
      </c>
      <c r="U16" s="18">
        <v>97443.477979999996</v>
      </c>
      <c r="V16" s="18">
        <v>12186.368600000002</v>
      </c>
      <c r="W16" s="18">
        <v>16023.123</v>
      </c>
      <c r="X16" s="18"/>
      <c r="Y16" s="18">
        <v>12031.491680000001</v>
      </c>
      <c r="Z16" s="18">
        <v>4654.7743</v>
      </c>
      <c r="AA16" s="18">
        <v>9984.7160999999978</v>
      </c>
      <c r="AB16" s="18"/>
      <c r="AC16" s="18">
        <v>38240.697249999997</v>
      </c>
      <c r="AD16" s="18">
        <v>3644.3212800000006</v>
      </c>
      <c r="AE16" s="18"/>
      <c r="AF16" s="18"/>
      <c r="AG16" s="18">
        <v>27401.727929999997</v>
      </c>
      <c r="AH16" s="18"/>
      <c r="AI16" s="18">
        <v>768694.58758000005</v>
      </c>
    </row>
    <row r="17" spans="1:35" x14ac:dyDescent="0.25">
      <c r="A17" s="16" t="s">
        <v>1422</v>
      </c>
      <c r="B17" s="18">
        <v>209667.57587</v>
      </c>
      <c r="C17" s="18">
        <v>454985.55374</v>
      </c>
      <c r="D17" s="18">
        <v>193614.18257999996</v>
      </c>
      <c r="E17" s="18">
        <v>355010.75193000003</v>
      </c>
      <c r="F17" s="18">
        <v>492982.13563000003</v>
      </c>
      <c r="G17" s="18">
        <v>231870.97912999999</v>
      </c>
      <c r="H17" s="18">
        <v>549451.47473999998</v>
      </c>
      <c r="I17" s="18">
        <v>353572.41878999997</v>
      </c>
      <c r="J17" s="18">
        <v>124404.38004000002</v>
      </c>
      <c r="K17" s="18">
        <v>265829.88692000002</v>
      </c>
      <c r="L17" s="18">
        <v>179851.56453999999</v>
      </c>
      <c r="M17" s="18">
        <v>358847.90777999995</v>
      </c>
      <c r="N17" s="18">
        <v>231989.70666000003</v>
      </c>
      <c r="O17" s="18">
        <v>292540.64481999999</v>
      </c>
      <c r="P17" s="18">
        <v>388588.00615999999</v>
      </c>
      <c r="Q17" s="18">
        <v>308172.40139000001</v>
      </c>
      <c r="R17" s="18">
        <v>426147.70281999995</v>
      </c>
      <c r="S17" s="18">
        <v>648427.69962999993</v>
      </c>
      <c r="T17" s="18">
        <v>302761.49174000003</v>
      </c>
      <c r="U17" s="18">
        <v>330961.29411999998</v>
      </c>
      <c r="V17" s="18">
        <v>297030.48206000001</v>
      </c>
      <c r="W17" s="18">
        <v>405757.74621000007</v>
      </c>
      <c r="X17" s="18">
        <v>432649.64974999998</v>
      </c>
      <c r="Y17" s="18">
        <v>343693.34921999997</v>
      </c>
      <c r="Z17" s="18">
        <v>257287.05510000003</v>
      </c>
      <c r="AA17" s="18">
        <v>234259.32809</v>
      </c>
      <c r="AB17" s="18">
        <v>223463.70860000001</v>
      </c>
      <c r="AC17" s="18">
        <v>327513.59430999996</v>
      </c>
      <c r="AD17" s="18">
        <v>320744.77324999991</v>
      </c>
      <c r="AE17" s="18">
        <v>404107.34934999997</v>
      </c>
      <c r="AF17" s="18">
        <v>552537.72167</v>
      </c>
      <c r="AG17" s="18">
        <v>332725.85785999999</v>
      </c>
      <c r="AH17" s="18">
        <v>97397.342000000019</v>
      </c>
      <c r="AI17" s="18">
        <v>10928845.716499999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CDF1-5D31-4895-ABF1-62CCF6D5D8A8}">
  <dimension ref="A3:C641"/>
  <sheetViews>
    <sheetView workbookViewId="0">
      <selection activeCell="E34" sqref="E34"/>
    </sheetView>
  </sheetViews>
  <sheetFormatPr defaultRowHeight="15" x14ac:dyDescent="0.25"/>
  <cols>
    <col min="1" max="1" width="14.140625" bestFit="1" customWidth="1"/>
    <col min="2" max="2" width="21.140625" bestFit="1" customWidth="1"/>
    <col min="3" max="3" width="9.28515625" bestFit="1" customWidth="1"/>
    <col min="4" max="8" width="12" bestFit="1" customWidth="1"/>
    <col min="9" max="9" width="11.28515625" bestFit="1" customWidth="1"/>
    <col min="10" max="10" width="12.28515625" bestFit="1" customWidth="1"/>
    <col min="11" max="11" width="7.85546875" bestFit="1" customWidth="1"/>
    <col min="12" max="12" width="9.140625" bestFit="1" customWidth="1"/>
    <col min="13" max="13" width="11.42578125" bestFit="1" customWidth="1"/>
    <col min="14" max="14" width="7.5703125" bestFit="1" customWidth="1"/>
    <col min="15" max="15" width="8" bestFit="1" customWidth="1"/>
    <col min="16" max="16" width="26.28515625" bestFit="1" customWidth="1"/>
    <col min="17" max="17" width="14.28515625" bestFit="1" customWidth="1"/>
    <col min="18" max="19" width="12" bestFit="1" customWidth="1"/>
    <col min="20" max="20" width="10" bestFit="1" customWidth="1"/>
    <col min="21" max="21" width="12" bestFit="1" customWidth="1"/>
    <col min="22" max="22" width="11" bestFit="1" customWidth="1"/>
    <col min="23" max="24" width="12" bestFit="1" customWidth="1"/>
    <col min="25" max="25" width="9" bestFit="1" customWidth="1"/>
    <col min="26" max="26" width="11" bestFit="1" customWidth="1"/>
    <col min="27" max="28" width="12" bestFit="1" customWidth="1"/>
    <col min="29" max="29" width="9.5703125" bestFit="1" customWidth="1"/>
    <col min="30" max="31" width="12" bestFit="1" customWidth="1"/>
    <col min="32" max="34" width="11" bestFit="1" customWidth="1"/>
    <col min="35" max="36" width="12" bestFit="1" customWidth="1"/>
    <col min="37" max="37" width="10" bestFit="1" customWidth="1"/>
    <col min="38" max="38" width="9.28515625" bestFit="1" customWidth="1"/>
    <col min="39" max="40" width="12" bestFit="1" customWidth="1"/>
    <col min="41" max="41" width="9.42578125" bestFit="1" customWidth="1"/>
    <col min="42" max="43" width="12" bestFit="1" customWidth="1"/>
    <col min="44" max="44" width="10" bestFit="1" customWidth="1"/>
    <col min="45" max="45" width="12" bestFit="1" customWidth="1"/>
    <col min="46" max="46" width="11" bestFit="1" customWidth="1"/>
    <col min="47" max="48" width="12" bestFit="1" customWidth="1"/>
    <col min="49" max="49" width="11" bestFit="1" customWidth="1"/>
    <col min="50" max="50" width="10" bestFit="1" customWidth="1"/>
    <col min="51" max="53" width="12" bestFit="1" customWidth="1"/>
    <col min="54" max="54" width="11" bestFit="1" customWidth="1"/>
    <col min="55" max="55" width="9.42578125" bestFit="1" customWidth="1"/>
    <col min="56" max="56" width="12" bestFit="1" customWidth="1"/>
    <col min="57" max="57" width="10" bestFit="1" customWidth="1"/>
    <col min="58" max="58" width="11" bestFit="1" customWidth="1"/>
    <col min="59" max="62" width="12" bestFit="1" customWidth="1"/>
    <col min="63" max="63" width="11" bestFit="1" customWidth="1"/>
    <col min="64" max="65" width="12" bestFit="1" customWidth="1"/>
    <col min="66" max="66" width="9.42578125" bestFit="1" customWidth="1"/>
    <col min="67" max="68" width="12" bestFit="1" customWidth="1"/>
    <col min="69" max="69" width="10" bestFit="1" customWidth="1"/>
    <col min="70" max="71" width="12" bestFit="1" customWidth="1"/>
    <col min="72" max="72" width="11" bestFit="1" customWidth="1"/>
    <col min="73" max="73" width="12" bestFit="1" customWidth="1"/>
    <col min="74" max="74" width="11" bestFit="1" customWidth="1"/>
    <col min="75" max="76" width="10" bestFit="1" customWidth="1"/>
    <col min="77" max="77" width="11" bestFit="1" customWidth="1"/>
    <col min="78" max="79" width="12" bestFit="1" customWidth="1"/>
    <col min="80" max="80" width="9.140625" bestFit="1" customWidth="1"/>
    <col min="81" max="81" width="9.28515625" bestFit="1" customWidth="1"/>
    <col min="82" max="83" width="12" bestFit="1" customWidth="1"/>
    <col min="84" max="85" width="11" bestFit="1" customWidth="1"/>
    <col min="86" max="86" width="9.42578125" bestFit="1" customWidth="1"/>
    <col min="87" max="87" width="9.85546875" bestFit="1" customWidth="1"/>
    <col min="88" max="88" width="12" bestFit="1" customWidth="1"/>
    <col min="89" max="89" width="11" bestFit="1" customWidth="1"/>
    <col min="90" max="90" width="12" bestFit="1" customWidth="1"/>
    <col min="91" max="91" width="9.5703125" bestFit="1" customWidth="1"/>
    <col min="92" max="93" width="11" bestFit="1" customWidth="1"/>
    <col min="94" max="98" width="12" bestFit="1" customWidth="1"/>
    <col min="99" max="99" width="11" bestFit="1" customWidth="1"/>
    <col min="100" max="103" width="12" bestFit="1" customWidth="1"/>
    <col min="104" max="104" width="11" bestFit="1" customWidth="1"/>
    <col min="105" max="106" width="12" bestFit="1" customWidth="1"/>
    <col min="107" max="107" width="10" bestFit="1" customWidth="1"/>
    <col min="108" max="108" width="12" bestFit="1" customWidth="1"/>
    <col min="109" max="109" width="10" bestFit="1" customWidth="1"/>
    <col min="110" max="111" width="12" bestFit="1" customWidth="1"/>
    <col min="112" max="112" width="11" bestFit="1" customWidth="1"/>
    <col min="113" max="115" width="12" bestFit="1" customWidth="1"/>
    <col min="116" max="116" width="10.42578125" bestFit="1" customWidth="1"/>
    <col min="117" max="118" width="12" bestFit="1" customWidth="1"/>
    <col min="119" max="119" width="10" bestFit="1" customWidth="1"/>
    <col min="120" max="123" width="12" bestFit="1" customWidth="1"/>
    <col min="124" max="124" width="10" bestFit="1" customWidth="1"/>
    <col min="125" max="125" width="11" bestFit="1" customWidth="1"/>
    <col min="126" max="126" width="9.85546875" bestFit="1" customWidth="1"/>
    <col min="127" max="127" width="12" bestFit="1" customWidth="1"/>
    <col min="128" max="128" width="9.85546875" bestFit="1" customWidth="1"/>
    <col min="129" max="129" width="9.5703125" bestFit="1" customWidth="1"/>
    <col min="130" max="135" width="12" bestFit="1" customWidth="1"/>
    <col min="136" max="136" width="10" bestFit="1" customWidth="1"/>
    <col min="137" max="140" width="12" bestFit="1" customWidth="1"/>
    <col min="141" max="141" width="11" bestFit="1" customWidth="1"/>
    <col min="142" max="143" width="12" bestFit="1" customWidth="1"/>
    <col min="144" max="144" width="11" bestFit="1" customWidth="1"/>
    <col min="145" max="146" width="12" bestFit="1" customWidth="1"/>
    <col min="147" max="147" width="9.5703125" bestFit="1" customWidth="1"/>
    <col min="148" max="148" width="9.85546875" bestFit="1" customWidth="1"/>
    <col min="149" max="150" width="12" bestFit="1" customWidth="1"/>
    <col min="151" max="151" width="10" bestFit="1" customWidth="1"/>
    <col min="152" max="155" width="12" bestFit="1" customWidth="1"/>
    <col min="156" max="156" width="9.85546875" bestFit="1" customWidth="1"/>
    <col min="157" max="157" width="12" bestFit="1" customWidth="1"/>
    <col min="158" max="158" width="9.5703125" bestFit="1" customWidth="1"/>
    <col min="159" max="160" width="11" bestFit="1" customWidth="1"/>
    <col min="161" max="163" width="12" bestFit="1" customWidth="1"/>
    <col min="164" max="164" width="9.28515625" bestFit="1" customWidth="1"/>
    <col min="165" max="170" width="12" bestFit="1" customWidth="1"/>
    <col min="171" max="171" width="11" bestFit="1" customWidth="1"/>
    <col min="172" max="172" width="9.28515625" bestFit="1" customWidth="1"/>
    <col min="173" max="173" width="11" bestFit="1" customWidth="1"/>
    <col min="174" max="174" width="10" bestFit="1" customWidth="1"/>
    <col min="175" max="175" width="12" bestFit="1" customWidth="1"/>
    <col min="176" max="177" width="11" bestFit="1" customWidth="1"/>
    <col min="178" max="178" width="12" bestFit="1" customWidth="1"/>
    <col min="179" max="180" width="11" bestFit="1" customWidth="1"/>
    <col min="181" max="182" width="9.42578125" bestFit="1" customWidth="1"/>
    <col min="183" max="183" width="12" bestFit="1" customWidth="1"/>
    <col min="184" max="185" width="11" bestFit="1" customWidth="1"/>
    <col min="186" max="187" width="12" bestFit="1" customWidth="1"/>
    <col min="188" max="188" width="9.5703125" bestFit="1" customWidth="1"/>
    <col min="189" max="189" width="10" bestFit="1" customWidth="1"/>
    <col min="190" max="190" width="12" bestFit="1" customWidth="1"/>
    <col min="191" max="191" width="11" bestFit="1" customWidth="1"/>
    <col min="192" max="192" width="12" bestFit="1" customWidth="1"/>
    <col min="193" max="193" width="11" bestFit="1" customWidth="1"/>
    <col min="194" max="194" width="12" bestFit="1" customWidth="1"/>
    <col min="195" max="195" width="11" bestFit="1" customWidth="1"/>
    <col min="196" max="197" width="12" bestFit="1" customWidth="1"/>
    <col min="198" max="198" width="9.42578125" bestFit="1" customWidth="1"/>
    <col min="199" max="201" width="12" bestFit="1" customWidth="1"/>
    <col min="202" max="202" width="11" bestFit="1" customWidth="1"/>
    <col min="203" max="203" width="12" bestFit="1" customWidth="1"/>
    <col min="204" max="204" width="10" bestFit="1" customWidth="1"/>
    <col min="205" max="205" width="9" bestFit="1" customWidth="1"/>
    <col min="206" max="207" width="12" bestFit="1" customWidth="1"/>
    <col min="208" max="208" width="10" bestFit="1" customWidth="1"/>
    <col min="209" max="209" width="11" bestFit="1" customWidth="1"/>
    <col min="210" max="215" width="12" bestFit="1" customWidth="1"/>
    <col min="216" max="216" width="11" bestFit="1" customWidth="1"/>
    <col min="217" max="217" width="12" bestFit="1" customWidth="1"/>
    <col min="218" max="218" width="11" bestFit="1" customWidth="1"/>
    <col min="219" max="221" width="12" bestFit="1" customWidth="1"/>
    <col min="222" max="222" width="11" bestFit="1" customWidth="1"/>
    <col min="223" max="224" width="12" bestFit="1" customWidth="1"/>
    <col min="225" max="225" width="11" bestFit="1" customWidth="1"/>
    <col min="226" max="226" width="10" bestFit="1" customWidth="1"/>
    <col min="227" max="227" width="10.42578125" bestFit="1" customWidth="1"/>
    <col min="228" max="229" width="12" bestFit="1" customWidth="1"/>
    <col min="230" max="230" width="11" bestFit="1" customWidth="1"/>
    <col min="231" max="231" width="12" bestFit="1" customWidth="1"/>
    <col min="232" max="234" width="11" bestFit="1" customWidth="1"/>
    <col min="235" max="235" width="12" bestFit="1" customWidth="1"/>
    <col min="236" max="236" width="9.5703125" bestFit="1" customWidth="1"/>
    <col min="237" max="244" width="12" bestFit="1" customWidth="1"/>
    <col min="245" max="245" width="11" bestFit="1" customWidth="1"/>
    <col min="246" max="247" width="12" bestFit="1" customWidth="1"/>
    <col min="248" max="248" width="11" bestFit="1" customWidth="1"/>
    <col min="249" max="253" width="12" bestFit="1" customWidth="1"/>
    <col min="254" max="254" width="11" bestFit="1" customWidth="1"/>
    <col min="255" max="255" width="10" bestFit="1" customWidth="1"/>
    <col min="256" max="259" width="11" bestFit="1" customWidth="1"/>
    <col min="260" max="260" width="12" bestFit="1" customWidth="1"/>
    <col min="261" max="262" width="11" bestFit="1" customWidth="1"/>
    <col min="263" max="263" width="10" bestFit="1" customWidth="1"/>
    <col min="264" max="264" width="12" bestFit="1" customWidth="1"/>
    <col min="265" max="265" width="11" bestFit="1" customWidth="1"/>
    <col min="266" max="267" width="10" bestFit="1" customWidth="1"/>
    <col min="268" max="271" width="12" bestFit="1" customWidth="1"/>
    <col min="272" max="272" width="11" bestFit="1" customWidth="1"/>
    <col min="273" max="273" width="12" bestFit="1" customWidth="1"/>
    <col min="274" max="274" width="11" bestFit="1" customWidth="1"/>
    <col min="275" max="276" width="12" bestFit="1" customWidth="1"/>
    <col min="277" max="277" width="11" bestFit="1" customWidth="1"/>
    <col min="278" max="278" width="12" bestFit="1" customWidth="1"/>
    <col min="279" max="280" width="11" bestFit="1" customWidth="1"/>
    <col min="281" max="281" width="12" bestFit="1" customWidth="1"/>
    <col min="282" max="282" width="11" bestFit="1" customWidth="1"/>
    <col min="283" max="283" width="12" bestFit="1" customWidth="1"/>
    <col min="284" max="284" width="10" bestFit="1" customWidth="1"/>
    <col min="285" max="285" width="9" bestFit="1" customWidth="1"/>
    <col min="286" max="286" width="10" bestFit="1" customWidth="1"/>
    <col min="287" max="287" width="11" bestFit="1" customWidth="1"/>
    <col min="288" max="288" width="10.42578125" bestFit="1" customWidth="1"/>
    <col min="289" max="289" width="12" bestFit="1" customWidth="1"/>
    <col min="290" max="290" width="9.28515625" bestFit="1" customWidth="1"/>
    <col min="291" max="291" width="9.42578125" bestFit="1" customWidth="1"/>
    <col min="292" max="292" width="9" bestFit="1" customWidth="1"/>
    <col min="293" max="293" width="10" bestFit="1" customWidth="1"/>
    <col min="294" max="294" width="11" bestFit="1" customWidth="1"/>
    <col min="295" max="300" width="12" bestFit="1" customWidth="1"/>
    <col min="301" max="301" width="11" bestFit="1" customWidth="1"/>
    <col min="302" max="303" width="12" bestFit="1" customWidth="1"/>
    <col min="304" max="304" width="9.28515625" bestFit="1" customWidth="1"/>
    <col min="305" max="309" width="12" bestFit="1" customWidth="1"/>
    <col min="310" max="310" width="9.5703125" bestFit="1" customWidth="1"/>
    <col min="311" max="311" width="10" bestFit="1" customWidth="1"/>
    <col min="312" max="312" width="11" bestFit="1" customWidth="1"/>
    <col min="313" max="313" width="10.42578125" bestFit="1" customWidth="1"/>
    <col min="314" max="314" width="11" bestFit="1" customWidth="1"/>
    <col min="315" max="315" width="12" bestFit="1" customWidth="1"/>
    <col min="316" max="317" width="11" bestFit="1" customWidth="1"/>
    <col min="318" max="321" width="12" bestFit="1" customWidth="1"/>
    <col min="322" max="322" width="11" bestFit="1" customWidth="1"/>
    <col min="323" max="323" width="12" bestFit="1" customWidth="1"/>
    <col min="324" max="325" width="11" bestFit="1" customWidth="1"/>
    <col min="326" max="326" width="12" bestFit="1" customWidth="1"/>
    <col min="327" max="327" width="11" bestFit="1" customWidth="1"/>
    <col min="328" max="328" width="12" bestFit="1" customWidth="1"/>
    <col min="329" max="329" width="11" bestFit="1" customWidth="1"/>
    <col min="330" max="330" width="9.42578125" bestFit="1" customWidth="1"/>
    <col min="331" max="332" width="12" bestFit="1" customWidth="1"/>
    <col min="333" max="335" width="11" bestFit="1" customWidth="1"/>
    <col min="336" max="336" width="10" bestFit="1" customWidth="1"/>
    <col min="337" max="337" width="10.42578125" bestFit="1" customWidth="1"/>
    <col min="338" max="338" width="10" bestFit="1" customWidth="1"/>
    <col min="339" max="339" width="11" bestFit="1" customWidth="1"/>
    <col min="340" max="340" width="12" bestFit="1" customWidth="1"/>
    <col min="341" max="341" width="9" bestFit="1" customWidth="1"/>
    <col min="342" max="342" width="11" bestFit="1" customWidth="1"/>
    <col min="343" max="346" width="12" bestFit="1" customWidth="1"/>
    <col min="347" max="347" width="11" bestFit="1" customWidth="1"/>
    <col min="348" max="348" width="9.140625" bestFit="1" customWidth="1"/>
    <col min="349" max="352" width="12" bestFit="1" customWidth="1"/>
    <col min="353" max="353" width="9.28515625" bestFit="1" customWidth="1"/>
    <col min="354" max="354" width="12" bestFit="1" customWidth="1"/>
    <col min="355" max="355" width="9.5703125" bestFit="1" customWidth="1"/>
    <col min="356" max="356" width="12" bestFit="1" customWidth="1"/>
    <col min="357" max="358" width="11" bestFit="1" customWidth="1"/>
    <col min="359" max="359" width="12" bestFit="1" customWidth="1"/>
    <col min="360" max="360" width="10" bestFit="1" customWidth="1"/>
    <col min="361" max="366" width="11" bestFit="1" customWidth="1"/>
    <col min="367" max="367" width="10" bestFit="1" customWidth="1"/>
    <col min="368" max="369" width="11" bestFit="1" customWidth="1"/>
    <col min="370" max="370" width="10" bestFit="1" customWidth="1"/>
    <col min="371" max="371" width="11" bestFit="1" customWidth="1"/>
    <col min="372" max="372" width="10" bestFit="1" customWidth="1"/>
    <col min="373" max="373" width="11" bestFit="1" customWidth="1"/>
    <col min="374" max="374" width="10.42578125" bestFit="1" customWidth="1"/>
    <col min="375" max="376" width="11" bestFit="1" customWidth="1"/>
    <col min="377" max="377" width="10.42578125" bestFit="1" customWidth="1"/>
    <col min="378" max="379" width="11" bestFit="1" customWidth="1"/>
    <col min="380" max="380" width="9.28515625" bestFit="1" customWidth="1"/>
    <col min="381" max="381" width="11" bestFit="1" customWidth="1"/>
    <col min="382" max="383" width="10" bestFit="1" customWidth="1"/>
    <col min="384" max="385" width="11" bestFit="1" customWidth="1"/>
    <col min="386" max="386" width="10" bestFit="1" customWidth="1"/>
    <col min="387" max="387" width="9.85546875" bestFit="1" customWidth="1"/>
    <col min="388" max="388" width="10" bestFit="1" customWidth="1"/>
    <col min="389" max="389" width="11" bestFit="1" customWidth="1"/>
    <col min="390" max="390" width="10.42578125" bestFit="1" customWidth="1"/>
    <col min="391" max="392" width="11" bestFit="1" customWidth="1"/>
    <col min="393" max="393" width="10" bestFit="1" customWidth="1"/>
    <col min="394" max="395" width="11" bestFit="1" customWidth="1"/>
    <col min="396" max="396" width="10.42578125" bestFit="1" customWidth="1"/>
    <col min="397" max="397" width="10" bestFit="1" customWidth="1"/>
    <col min="398" max="398" width="11" bestFit="1" customWidth="1"/>
    <col min="399" max="399" width="9.28515625" bestFit="1" customWidth="1"/>
    <col min="400" max="400" width="11" bestFit="1" customWidth="1"/>
    <col min="401" max="401" width="10" bestFit="1" customWidth="1"/>
    <col min="402" max="403" width="11" bestFit="1" customWidth="1"/>
    <col min="404" max="407" width="10" bestFit="1" customWidth="1"/>
    <col min="408" max="409" width="11" bestFit="1" customWidth="1"/>
    <col min="410" max="411" width="10" bestFit="1" customWidth="1"/>
    <col min="412" max="414" width="11" bestFit="1" customWidth="1"/>
    <col min="415" max="415" width="10" bestFit="1" customWidth="1"/>
    <col min="416" max="418" width="11" bestFit="1" customWidth="1"/>
    <col min="419" max="419" width="9.28515625" bestFit="1" customWidth="1"/>
    <col min="420" max="420" width="10" bestFit="1" customWidth="1"/>
    <col min="421" max="421" width="9" bestFit="1" customWidth="1"/>
    <col min="422" max="422" width="9.28515625" bestFit="1" customWidth="1"/>
    <col min="423" max="423" width="10" bestFit="1" customWidth="1"/>
    <col min="424" max="424" width="11" bestFit="1" customWidth="1"/>
    <col min="425" max="429" width="10" bestFit="1" customWidth="1"/>
    <col min="430" max="430" width="9.28515625" bestFit="1" customWidth="1"/>
    <col min="431" max="432" width="11" bestFit="1" customWidth="1"/>
    <col min="433" max="434" width="10" bestFit="1" customWidth="1"/>
    <col min="435" max="435" width="11" bestFit="1" customWidth="1"/>
    <col min="436" max="436" width="9.42578125" bestFit="1" customWidth="1"/>
    <col min="437" max="437" width="11" bestFit="1" customWidth="1"/>
    <col min="438" max="438" width="10" bestFit="1" customWidth="1"/>
    <col min="439" max="439" width="10.42578125" bestFit="1" customWidth="1"/>
    <col min="440" max="440" width="10" bestFit="1" customWidth="1"/>
    <col min="441" max="442" width="11" bestFit="1" customWidth="1"/>
    <col min="443" max="443" width="9.5703125" bestFit="1" customWidth="1"/>
    <col min="444" max="445" width="11" bestFit="1" customWidth="1"/>
    <col min="446" max="446" width="10.42578125" bestFit="1" customWidth="1"/>
    <col min="447" max="447" width="9.85546875" bestFit="1" customWidth="1"/>
    <col min="448" max="450" width="10" bestFit="1" customWidth="1"/>
    <col min="451" max="451" width="9.85546875" bestFit="1" customWidth="1"/>
    <col min="452" max="455" width="11" bestFit="1" customWidth="1"/>
    <col min="456" max="456" width="10" bestFit="1" customWidth="1"/>
    <col min="457" max="457" width="11" bestFit="1" customWidth="1"/>
    <col min="458" max="458" width="10" bestFit="1" customWidth="1"/>
    <col min="459" max="459" width="10.42578125" bestFit="1" customWidth="1"/>
    <col min="460" max="460" width="9.85546875" bestFit="1" customWidth="1"/>
    <col min="461" max="463" width="11" bestFit="1" customWidth="1"/>
    <col min="464" max="464" width="9.28515625" bestFit="1" customWidth="1"/>
    <col min="465" max="465" width="11" bestFit="1" customWidth="1"/>
    <col min="466" max="466" width="10" bestFit="1" customWidth="1"/>
    <col min="467" max="467" width="11" bestFit="1" customWidth="1"/>
    <col min="468" max="468" width="9" bestFit="1" customWidth="1"/>
    <col min="469" max="470" width="10.42578125" bestFit="1" customWidth="1"/>
    <col min="471" max="472" width="10" bestFit="1" customWidth="1"/>
    <col min="473" max="474" width="11" bestFit="1" customWidth="1"/>
    <col min="475" max="475" width="9.28515625" bestFit="1" customWidth="1"/>
    <col min="476" max="479" width="10" bestFit="1" customWidth="1"/>
    <col min="480" max="482" width="11" bestFit="1" customWidth="1"/>
    <col min="483" max="483" width="10" bestFit="1" customWidth="1"/>
    <col min="484" max="484" width="11" bestFit="1" customWidth="1"/>
    <col min="485" max="485" width="10" bestFit="1" customWidth="1"/>
    <col min="486" max="489" width="11" bestFit="1" customWidth="1"/>
    <col min="490" max="490" width="9.85546875" bestFit="1" customWidth="1"/>
    <col min="491" max="491" width="11" bestFit="1" customWidth="1"/>
    <col min="492" max="492" width="10" bestFit="1" customWidth="1"/>
    <col min="493" max="496" width="11" bestFit="1" customWidth="1"/>
    <col min="497" max="498" width="10" bestFit="1" customWidth="1"/>
    <col min="499" max="501" width="11" bestFit="1" customWidth="1"/>
    <col min="502" max="502" width="10" bestFit="1" customWidth="1"/>
    <col min="503" max="503" width="9.28515625" bestFit="1" customWidth="1"/>
    <col min="504" max="506" width="10" bestFit="1" customWidth="1"/>
    <col min="507" max="507" width="11" bestFit="1" customWidth="1"/>
    <col min="508" max="508" width="10" bestFit="1" customWidth="1"/>
    <col min="509" max="512" width="11" bestFit="1" customWidth="1"/>
    <col min="513" max="513" width="10.42578125" bestFit="1" customWidth="1"/>
    <col min="514" max="517" width="11" bestFit="1" customWidth="1"/>
    <col min="518" max="518" width="10" bestFit="1" customWidth="1"/>
    <col min="519" max="519" width="9" bestFit="1" customWidth="1"/>
    <col min="520" max="520" width="10" bestFit="1" customWidth="1"/>
    <col min="521" max="523" width="11" bestFit="1" customWidth="1"/>
    <col min="524" max="524" width="9.28515625" bestFit="1" customWidth="1"/>
    <col min="525" max="525" width="10" bestFit="1" customWidth="1"/>
    <col min="526" max="526" width="11" bestFit="1" customWidth="1"/>
    <col min="527" max="528" width="10" bestFit="1" customWidth="1"/>
    <col min="529" max="529" width="11" bestFit="1" customWidth="1"/>
    <col min="530" max="530" width="10" bestFit="1" customWidth="1"/>
    <col min="531" max="531" width="9.5703125" bestFit="1" customWidth="1"/>
    <col min="532" max="532" width="11" bestFit="1" customWidth="1"/>
    <col min="533" max="533" width="10" bestFit="1" customWidth="1"/>
    <col min="534" max="535" width="11" bestFit="1" customWidth="1"/>
    <col min="536" max="536" width="9.140625" bestFit="1" customWidth="1"/>
    <col min="537" max="537" width="10" bestFit="1" customWidth="1"/>
    <col min="538" max="541" width="11" bestFit="1" customWidth="1"/>
    <col min="542" max="542" width="9.140625" bestFit="1" customWidth="1"/>
    <col min="543" max="544" width="11" bestFit="1" customWidth="1"/>
    <col min="545" max="545" width="9.42578125" bestFit="1" customWidth="1"/>
    <col min="546" max="546" width="10" bestFit="1" customWidth="1"/>
    <col min="547" max="547" width="10.42578125" bestFit="1" customWidth="1"/>
    <col min="548" max="549" width="11" bestFit="1" customWidth="1"/>
    <col min="550" max="550" width="10" bestFit="1" customWidth="1"/>
    <col min="551" max="552" width="11" bestFit="1" customWidth="1"/>
    <col min="553" max="554" width="10" bestFit="1" customWidth="1"/>
    <col min="555" max="555" width="10.42578125" bestFit="1" customWidth="1"/>
    <col min="556" max="557" width="10" bestFit="1" customWidth="1"/>
    <col min="558" max="561" width="11" bestFit="1" customWidth="1"/>
    <col min="562" max="562" width="10" bestFit="1" customWidth="1"/>
    <col min="563" max="563" width="11" bestFit="1" customWidth="1"/>
    <col min="564" max="564" width="9.5703125" bestFit="1" customWidth="1"/>
    <col min="565" max="565" width="11" bestFit="1" customWidth="1"/>
    <col min="566" max="566" width="10" bestFit="1" customWidth="1"/>
    <col min="567" max="567" width="9.85546875" bestFit="1" customWidth="1"/>
    <col min="568" max="568" width="11" bestFit="1" customWidth="1"/>
    <col min="569" max="569" width="10" bestFit="1" customWidth="1"/>
    <col min="570" max="572" width="11" bestFit="1" customWidth="1"/>
    <col min="573" max="573" width="10" bestFit="1" customWidth="1"/>
    <col min="574" max="575" width="11" bestFit="1" customWidth="1"/>
    <col min="576" max="577" width="10.42578125" bestFit="1" customWidth="1"/>
    <col min="578" max="578" width="9.42578125" bestFit="1" customWidth="1"/>
    <col min="579" max="579" width="11" bestFit="1" customWidth="1"/>
    <col min="580" max="580" width="9.140625" bestFit="1" customWidth="1"/>
    <col min="581" max="581" width="10" bestFit="1" customWidth="1"/>
    <col min="582" max="582" width="11" bestFit="1" customWidth="1"/>
    <col min="583" max="583" width="9.28515625" bestFit="1" customWidth="1"/>
    <col min="584" max="584" width="9.140625" bestFit="1" customWidth="1"/>
    <col min="585" max="587" width="10" bestFit="1" customWidth="1"/>
    <col min="588" max="588" width="11" bestFit="1" customWidth="1"/>
    <col min="589" max="590" width="10" bestFit="1" customWidth="1"/>
    <col min="591" max="591" width="11" bestFit="1" customWidth="1"/>
    <col min="592" max="593" width="10" bestFit="1" customWidth="1"/>
    <col min="594" max="594" width="9.28515625" bestFit="1" customWidth="1"/>
    <col min="595" max="595" width="9.140625" bestFit="1" customWidth="1"/>
    <col min="596" max="597" width="10" bestFit="1" customWidth="1"/>
    <col min="598" max="598" width="10.42578125" bestFit="1" customWidth="1"/>
    <col min="599" max="602" width="10" bestFit="1" customWidth="1"/>
    <col min="603" max="603" width="9.85546875" bestFit="1" customWidth="1"/>
    <col min="604" max="604" width="10" bestFit="1" customWidth="1"/>
    <col min="605" max="605" width="9.5703125" bestFit="1" customWidth="1"/>
    <col min="606" max="606" width="10" bestFit="1" customWidth="1"/>
    <col min="607" max="607" width="10.42578125" bestFit="1" customWidth="1"/>
    <col min="608" max="608" width="9.5703125" bestFit="1" customWidth="1"/>
    <col min="609" max="610" width="10.42578125" bestFit="1" customWidth="1"/>
    <col min="611" max="612" width="10" bestFit="1" customWidth="1"/>
    <col min="613" max="613" width="9.28515625" bestFit="1" customWidth="1"/>
    <col min="614" max="615" width="10.42578125" bestFit="1" customWidth="1"/>
    <col min="616" max="616" width="10" bestFit="1" customWidth="1"/>
    <col min="617" max="617" width="9.85546875" bestFit="1" customWidth="1"/>
    <col min="618" max="618" width="10" bestFit="1" customWidth="1"/>
    <col min="619" max="619" width="9.5703125" bestFit="1" customWidth="1"/>
    <col min="620" max="621" width="10" bestFit="1" customWidth="1"/>
    <col min="622" max="622" width="9.28515625" bestFit="1" customWidth="1"/>
    <col min="623" max="623" width="10" bestFit="1" customWidth="1"/>
    <col min="624" max="624" width="9.140625" bestFit="1" customWidth="1"/>
    <col min="625" max="625" width="10.42578125" bestFit="1" customWidth="1"/>
    <col min="626" max="626" width="9.5703125" bestFit="1" customWidth="1"/>
    <col min="627" max="627" width="9.85546875" bestFit="1" customWidth="1"/>
    <col min="628" max="628" width="9.5703125" bestFit="1" customWidth="1"/>
    <col min="629" max="629" width="10.42578125" bestFit="1" customWidth="1"/>
    <col min="630" max="630" width="9.140625" bestFit="1" customWidth="1"/>
    <col min="631" max="631" width="9.28515625" bestFit="1" customWidth="1"/>
    <col min="632" max="632" width="9.85546875" bestFit="1" customWidth="1"/>
    <col min="634" max="634" width="9" bestFit="1" customWidth="1"/>
    <col min="635" max="637" width="10.42578125" bestFit="1" customWidth="1"/>
    <col min="638" max="638" width="9.85546875" bestFit="1" customWidth="1"/>
    <col min="639" max="639" width="9" bestFit="1" customWidth="1"/>
    <col min="642" max="642" width="9.28515625" bestFit="1" customWidth="1"/>
    <col min="643" max="643" width="10.42578125" bestFit="1" customWidth="1"/>
    <col min="644" max="644" width="9.5703125" bestFit="1" customWidth="1"/>
    <col min="646" max="646" width="9.42578125" bestFit="1" customWidth="1"/>
    <col min="647" max="647" width="9" bestFit="1" customWidth="1"/>
    <col min="648" max="648" width="9.85546875" bestFit="1" customWidth="1"/>
    <col min="649" max="650" width="9" bestFit="1" customWidth="1"/>
    <col min="651" max="651" width="9.85546875" bestFit="1" customWidth="1"/>
    <col min="653" max="653" width="9" bestFit="1" customWidth="1"/>
    <col min="654" max="654" width="9.42578125" bestFit="1" customWidth="1"/>
    <col min="655" max="655" width="9" bestFit="1" customWidth="1"/>
    <col min="656" max="656" width="10.42578125" bestFit="1" customWidth="1"/>
    <col min="657" max="657" width="9.42578125" bestFit="1" customWidth="1"/>
    <col min="658" max="658" width="9.28515625" bestFit="1" customWidth="1"/>
    <col min="659" max="659" width="9.5703125" bestFit="1" customWidth="1"/>
    <col min="661" max="661" width="9.42578125" bestFit="1" customWidth="1"/>
    <col min="662" max="662" width="9.85546875" bestFit="1" customWidth="1"/>
    <col min="665" max="665" width="9.85546875" bestFit="1" customWidth="1"/>
    <col min="668" max="668" width="9.28515625" bestFit="1" customWidth="1"/>
    <col min="669" max="669" width="10.42578125" bestFit="1" customWidth="1"/>
    <col min="670" max="670" width="9" bestFit="1" customWidth="1"/>
    <col min="671" max="671" width="9.42578125" bestFit="1" customWidth="1"/>
    <col min="673" max="673" width="9.42578125" bestFit="1" customWidth="1"/>
    <col min="674" max="674" width="9.28515625" bestFit="1" customWidth="1"/>
    <col min="675" max="675" width="9.5703125" bestFit="1" customWidth="1"/>
    <col min="676" max="677" width="9" bestFit="1" customWidth="1"/>
    <col min="678" max="678" width="9.85546875" bestFit="1" customWidth="1"/>
    <col min="679" max="680" width="9.5703125" bestFit="1" customWidth="1"/>
    <col min="681" max="681" width="10.42578125" bestFit="1" customWidth="1"/>
    <col min="682" max="682" width="9" bestFit="1" customWidth="1"/>
    <col min="684" max="684" width="9.85546875" bestFit="1" customWidth="1"/>
    <col min="685" max="685" width="9.42578125" bestFit="1" customWidth="1"/>
    <col min="686" max="686" width="9" bestFit="1" customWidth="1"/>
    <col min="687" max="687" width="9.42578125" bestFit="1" customWidth="1"/>
    <col min="691" max="691" width="9" bestFit="1" customWidth="1"/>
    <col min="692" max="692" width="10.42578125" bestFit="1" customWidth="1"/>
    <col min="693" max="693" width="9.42578125" bestFit="1" customWidth="1"/>
    <col min="694" max="694" width="9.5703125" bestFit="1" customWidth="1"/>
    <col min="695" max="695" width="9.28515625" bestFit="1" customWidth="1"/>
    <col min="696" max="696" width="9.42578125" bestFit="1" customWidth="1"/>
    <col min="697" max="697" width="9.5703125" bestFit="1" customWidth="1"/>
    <col min="698" max="698" width="9.42578125" bestFit="1" customWidth="1"/>
    <col min="699" max="699" width="9" bestFit="1" customWidth="1"/>
    <col min="701" max="701" width="9.42578125" bestFit="1" customWidth="1"/>
    <col min="702" max="702" width="9.28515625" bestFit="1" customWidth="1"/>
    <col min="703" max="703" width="9.5703125" bestFit="1" customWidth="1"/>
    <col min="704" max="704" width="9.28515625" bestFit="1" customWidth="1"/>
    <col min="705" max="705" width="9.5703125" bestFit="1" customWidth="1"/>
    <col min="707" max="707" width="9.5703125" bestFit="1" customWidth="1"/>
    <col min="708" max="708" width="10.42578125" bestFit="1" customWidth="1"/>
    <col min="709" max="709" width="9.42578125" bestFit="1" customWidth="1"/>
    <col min="711" max="711" width="9.28515625" bestFit="1" customWidth="1"/>
    <col min="712" max="713" width="9" bestFit="1" customWidth="1"/>
    <col min="714" max="714" width="9.85546875" bestFit="1" customWidth="1"/>
    <col min="715" max="715" width="9.5703125" bestFit="1" customWidth="1"/>
    <col min="716" max="716" width="9.42578125" bestFit="1" customWidth="1"/>
    <col min="717" max="717" width="9.85546875" bestFit="1" customWidth="1"/>
    <col min="719" max="719" width="9.5703125" bestFit="1" customWidth="1"/>
    <col min="720" max="720" width="9.28515625" bestFit="1" customWidth="1"/>
    <col min="721" max="721" width="9.5703125" bestFit="1" customWidth="1"/>
    <col min="724" max="724" width="9.85546875" bestFit="1" customWidth="1"/>
    <col min="725" max="725" width="10.42578125" bestFit="1" customWidth="1"/>
    <col min="726" max="726" width="9.28515625" bestFit="1" customWidth="1"/>
    <col min="727" max="727" width="9.42578125" bestFit="1" customWidth="1"/>
    <col min="728" max="728" width="10.42578125" bestFit="1" customWidth="1"/>
    <col min="729" max="729" width="9" bestFit="1" customWidth="1"/>
    <col min="731" max="731" width="9.28515625" bestFit="1" customWidth="1"/>
    <col min="732" max="732" width="10.42578125" bestFit="1" customWidth="1"/>
    <col min="733" max="733" width="9.5703125" bestFit="1" customWidth="1"/>
    <col min="734" max="734" width="10.42578125" bestFit="1" customWidth="1"/>
    <col min="736" max="736" width="10.42578125" bestFit="1" customWidth="1"/>
    <col min="737" max="737" width="9.42578125" bestFit="1" customWidth="1"/>
    <col min="739" max="739" width="9" bestFit="1" customWidth="1"/>
    <col min="741" max="741" width="9" bestFit="1" customWidth="1"/>
    <col min="743" max="743" width="9" bestFit="1" customWidth="1"/>
    <col min="744" max="744" width="9.42578125" bestFit="1" customWidth="1"/>
    <col min="745" max="745" width="9.5703125" bestFit="1" customWidth="1"/>
    <col min="746" max="746" width="10.42578125" bestFit="1" customWidth="1"/>
    <col min="747" max="748" width="9.5703125" bestFit="1" customWidth="1"/>
    <col min="749" max="749" width="9.42578125" bestFit="1" customWidth="1"/>
    <col min="750" max="750" width="9.28515625" bestFit="1" customWidth="1"/>
    <col min="751" max="751" width="9.5703125" bestFit="1" customWidth="1"/>
    <col min="752" max="752" width="9.42578125" bestFit="1" customWidth="1"/>
    <col min="753" max="753" width="10.42578125" bestFit="1" customWidth="1"/>
    <col min="754" max="754" width="9" bestFit="1" customWidth="1"/>
    <col min="755" max="756" width="9.85546875" bestFit="1" customWidth="1"/>
    <col min="757" max="757" width="10.42578125" bestFit="1" customWidth="1"/>
    <col min="758" max="758" width="9.85546875" bestFit="1" customWidth="1"/>
    <col min="759" max="759" width="9.5703125" bestFit="1" customWidth="1"/>
    <col min="760" max="760" width="9.42578125" bestFit="1" customWidth="1"/>
    <col min="761" max="761" width="9.85546875" bestFit="1" customWidth="1"/>
    <col min="762" max="764" width="9.28515625" bestFit="1" customWidth="1"/>
    <col min="765" max="765" width="10.42578125" bestFit="1" customWidth="1"/>
    <col min="766" max="766" width="9" bestFit="1" customWidth="1"/>
    <col min="767" max="767" width="9.5703125" bestFit="1" customWidth="1"/>
    <col min="768" max="769" width="10.42578125" bestFit="1" customWidth="1"/>
    <col min="770" max="770" width="9.85546875" bestFit="1" customWidth="1"/>
    <col min="771" max="771" width="9.42578125" bestFit="1" customWidth="1"/>
    <col min="773" max="773" width="9.85546875" bestFit="1" customWidth="1"/>
    <col min="774" max="774" width="10.42578125" bestFit="1" customWidth="1"/>
    <col min="775" max="775" width="9" bestFit="1" customWidth="1"/>
    <col min="776" max="776" width="9.42578125" bestFit="1" customWidth="1"/>
    <col min="777" max="777" width="9.5703125" bestFit="1" customWidth="1"/>
    <col min="778" max="778" width="9.85546875" bestFit="1" customWidth="1"/>
    <col min="780" max="780" width="9.42578125" bestFit="1" customWidth="1"/>
    <col min="781" max="781" width="9.85546875" bestFit="1" customWidth="1"/>
    <col min="782" max="782" width="10.42578125" bestFit="1" customWidth="1"/>
    <col min="783" max="783" width="9.85546875" bestFit="1" customWidth="1"/>
    <col min="784" max="784" width="10.42578125" bestFit="1" customWidth="1"/>
    <col min="785" max="785" width="9" bestFit="1" customWidth="1"/>
    <col min="786" max="786" width="9.85546875" bestFit="1" customWidth="1"/>
    <col min="787" max="787" width="9.28515625" bestFit="1" customWidth="1"/>
    <col min="788" max="788" width="9.5703125" bestFit="1" customWidth="1"/>
    <col min="789" max="789" width="9" bestFit="1" customWidth="1"/>
    <col min="790" max="790" width="9.85546875" bestFit="1" customWidth="1"/>
    <col min="791" max="791" width="9" bestFit="1" customWidth="1"/>
    <col min="792" max="792" width="9.85546875" bestFit="1" customWidth="1"/>
    <col min="793" max="793" width="9.5703125" bestFit="1" customWidth="1"/>
    <col min="794" max="796" width="9.28515625" bestFit="1" customWidth="1"/>
    <col min="797" max="798" width="10.42578125" bestFit="1" customWidth="1"/>
    <col min="799" max="799" width="9.85546875" bestFit="1" customWidth="1"/>
    <col min="800" max="800" width="9.5703125" bestFit="1" customWidth="1"/>
    <col min="801" max="802" width="9.28515625" bestFit="1" customWidth="1"/>
    <col min="803" max="803" width="9.42578125" bestFit="1" customWidth="1"/>
    <col min="804" max="804" width="9.5703125" bestFit="1" customWidth="1"/>
    <col min="805" max="805" width="9.42578125" bestFit="1" customWidth="1"/>
    <col min="806" max="806" width="9" bestFit="1" customWidth="1"/>
    <col min="807" max="807" width="10.42578125" bestFit="1" customWidth="1"/>
    <col min="809" max="809" width="9.85546875" bestFit="1" customWidth="1"/>
    <col min="810" max="810" width="9.5703125" bestFit="1" customWidth="1"/>
    <col min="811" max="812" width="9.42578125" bestFit="1" customWidth="1"/>
    <col min="813" max="813" width="9.85546875" bestFit="1" customWidth="1"/>
    <col min="814" max="814" width="9.5703125" bestFit="1" customWidth="1"/>
    <col min="815" max="815" width="9" bestFit="1" customWidth="1"/>
    <col min="816" max="816" width="9.5703125" bestFit="1" customWidth="1"/>
    <col min="818" max="818" width="9.5703125" bestFit="1" customWidth="1"/>
    <col min="819" max="819" width="9.42578125" bestFit="1" customWidth="1"/>
    <col min="820" max="820" width="9" bestFit="1" customWidth="1"/>
    <col min="821" max="821" width="9.28515625" bestFit="1" customWidth="1"/>
    <col min="822" max="822" width="10.42578125" bestFit="1" customWidth="1"/>
    <col min="823" max="824" width="9" bestFit="1" customWidth="1"/>
    <col min="825" max="825" width="9.28515625" bestFit="1" customWidth="1"/>
    <col min="827" max="827" width="9.28515625" bestFit="1" customWidth="1"/>
    <col min="828" max="828" width="9.42578125" bestFit="1" customWidth="1"/>
    <col min="831" max="831" width="9.85546875" bestFit="1" customWidth="1"/>
    <col min="832" max="832" width="9" bestFit="1" customWidth="1"/>
    <col min="833" max="833" width="9.5703125" bestFit="1" customWidth="1"/>
    <col min="834" max="834" width="9.28515625" bestFit="1" customWidth="1"/>
    <col min="835" max="835" width="9" bestFit="1" customWidth="1"/>
    <col min="836" max="836" width="9.5703125" bestFit="1" customWidth="1"/>
    <col min="837" max="837" width="9" bestFit="1" customWidth="1"/>
    <col min="838" max="839" width="9.5703125" bestFit="1" customWidth="1"/>
    <col min="840" max="840" width="9" bestFit="1" customWidth="1"/>
    <col min="841" max="841" width="9.85546875" bestFit="1" customWidth="1"/>
    <col min="842" max="842" width="9.28515625" bestFit="1" customWidth="1"/>
    <col min="843" max="843" width="9.85546875" bestFit="1" customWidth="1"/>
    <col min="845" max="845" width="9" bestFit="1" customWidth="1"/>
    <col min="846" max="846" width="9.85546875" bestFit="1" customWidth="1"/>
    <col min="848" max="849" width="9.42578125" bestFit="1" customWidth="1"/>
    <col min="850" max="850" width="9.85546875" bestFit="1" customWidth="1"/>
    <col min="851" max="851" width="9.42578125" bestFit="1" customWidth="1"/>
    <col min="852" max="852" width="9.28515625" bestFit="1" customWidth="1"/>
    <col min="853" max="853" width="9.42578125" bestFit="1" customWidth="1"/>
    <col min="854" max="854" width="9.85546875" bestFit="1" customWidth="1"/>
    <col min="855" max="855" width="9.28515625" bestFit="1" customWidth="1"/>
    <col min="857" max="857" width="10.42578125" bestFit="1" customWidth="1"/>
    <col min="858" max="859" width="9.85546875" bestFit="1" customWidth="1"/>
    <col min="860" max="860" width="9" bestFit="1" customWidth="1"/>
    <col min="861" max="861" width="10.42578125" bestFit="1" customWidth="1"/>
    <col min="862" max="863" width="9.42578125" bestFit="1" customWidth="1"/>
    <col min="864" max="864" width="9.28515625" bestFit="1" customWidth="1"/>
    <col min="865" max="865" width="9.85546875" bestFit="1" customWidth="1"/>
    <col min="866" max="866" width="9.5703125" bestFit="1" customWidth="1"/>
    <col min="867" max="867" width="9.42578125" bestFit="1" customWidth="1"/>
    <col min="868" max="869" width="10.42578125" bestFit="1" customWidth="1"/>
    <col min="871" max="872" width="9.42578125" bestFit="1" customWidth="1"/>
    <col min="873" max="873" width="10.42578125" bestFit="1" customWidth="1"/>
    <col min="874" max="874" width="9.5703125" bestFit="1" customWidth="1"/>
    <col min="875" max="875" width="10.42578125" bestFit="1" customWidth="1"/>
    <col min="877" max="877" width="9.5703125" bestFit="1" customWidth="1"/>
    <col min="878" max="880" width="9.28515625" bestFit="1" customWidth="1"/>
    <col min="881" max="882" width="9.42578125" bestFit="1" customWidth="1"/>
    <col min="883" max="883" width="9.28515625" bestFit="1" customWidth="1"/>
    <col min="884" max="885" width="9" bestFit="1" customWidth="1"/>
    <col min="886" max="886" width="9.85546875" bestFit="1" customWidth="1"/>
    <col min="887" max="887" width="9" bestFit="1" customWidth="1"/>
    <col min="888" max="888" width="9.85546875" bestFit="1" customWidth="1"/>
    <col min="890" max="890" width="10.42578125" bestFit="1" customWidth="1"/>
    <col min="892" max="892" width="9" bestFit="1" customWidth="1"/>
    <col min="893" max="893" width="9.42578125" bestFit="1" customWidth="1"/>
    <col min="894" max="894" width="9.5703125" bestFit="1" customWidth="1"/>
    <col min="895" max="895" width="9" bestFit="1" customWidth="1"/>
    <col min="896" max="896" width="9.28515625" bestFit="1" customWidth="1"/>
    <col min="897" max="898" width="9.42578125" bestFit="1" customWidth="1"/>
    <col min="899" max="899" width="9.28515625" bestFit="1" customWidth="1"/>
    <col min="900" max="900" width="10.42578125" bestFit="1" customWidth="1"/>
    <col min="901" max="901" width="9.28515625" bestFit="1" customWidth="1"/>
    <col min="902" max="902" width="9.5703125" bestFit="1" customWidth="1"/>
    <col min="903" max="903" width="10.42578125" bestFit="1" customWidth="1"/>
    <col min="904" max="904" width="9" bestFit="1" customWidth="1"/>
    <col min="905" max="905" width="9.28515625" bestFit="1" customWidth="1"/>
    <col min="906" max="906" width="10.42578125" bestFit="1" customWidth="1"/>
    <col min="907" max="907" width="9.85546875" bestFit="1" customWidth="1"/>
    <col min="909" max="909" width="9.85546875" bestFit="1" customWidth="1"/>
    <col min="910" max="910" width="9" bestFit="1" customWidth="1"/>
    <col min="911" max="911" width="9.85546875" bestFit="1" customWidth="1"/>
    <col min="913" max="913" width="9.28515625" bestFit="1" customWidth="1"/>
    <col min="914" max="916" width="9" bestFit="1" customWidth="1"/>
    <col min="917" max="917" width="9.85546875" bestFit="1" customWidth="1"/>
    <col min="918" max="919" width="10.42578125" bestFit="1" customWidth="1"/>
    <col min="920" max="920" width="9.28515625" bestFit="1" customWidth="1"/>
    <col min="921" max="921" width="9.42578125" bestFit="1" customWidth="1"/>
    <col min="922" max="922" width="9" bestFit="1" customWidth="1"/>
    <col min="923" max="924" width="9.85546875" bestFit="1" customWidth="1"/>
    <col min="925" max="925" width="9.28515625" bestFit="1" customWidth="1"/>
    <col min="927" max="928" width="10.42578125" bestFit="1" customWidth="1"/>
    <col min="929" max="929" width="9.42578125" bestFit="1" customWidth="1"/>
    <col min="930" max="930" width="9" bestFit="1" customWidth="1"/>
    <col min="932" max="932" width="9.5703125" bestFit="1" customWidth="1"/>
    <col min="933" max="933" width="9.42578125" bestFit="1" customWidth="1"/>
    <col min="934" max="934" width="9.28515625" bestFit="1" customWidth="1"/>
    <col min="935" max="935" width="9.5703125" bestFit="1" customWidth="1"/>
    <col min="936" max="937" width="9.42578125" bestFit="1" customWidth="1"/>
    <col min="938" max="938" width="10.42578125" bestFit="1" customWidth="1"/>
    <col min="939" max="939" width="9" bestFit="1" customWidth="1"/>
    <col min="940" max="941" width="9.5703125" bestFit="1" customWidth="1"/>
    <col min="942" max="942" width="9" bestFit="1" customWidth="1"/>
    <col min="943" max="943" width="10.42578125" bestFit="1" customWidth="1"/>
    <col min="944" max="944" width="9.85546875" bestFit="1" customWidth="1"/>
    <col min="945" max="945" width="9.5703125" bestFit="1" customWidth="1"/>
    <col min="947" max="947" width="9.85546875" bestFit="1" customWidth="1"/>
    <col min="948" max="948" width="9.28515625" bestFit="1" customWidth="1"/>
    <col min="949" max="949" width="9.42578125" bestFit="1" customWidth="1"/>
    <col min="950" max="950" width="9.85546875" bestFit="1" customWidth="1"/>
    <col min="951" max="952" width="9.5703125" bestFit="1" customWidth="1"/>
    <col min="953" max="953" width="9.28515625" bestFit="1" customWidth="1"/>
    <col min="954" max="954" width="9.42578125" bestFit="1" customWidth="1"/>
    <col min="955" max="956" width="10.42578125" bestFit="1" customWidth="1"/>
    <col min="957" max="957" width="9.85546875" bestFit="1" customWidth="1"/>
    <col min="958" max="958" width="9" bestFit="1" customWidth="1"/>
    <col min="959" max="960" width="9.42578125" bestFit="1" customWidth="1"/>
    <col min="961" max="962" width="9.5703125" bestFit="1" customWidth="1"/>
    <col min="963" max="964" width="9.28515625" bestFit="1" customWidth="1"/>
    <col min="965" max="965" width="9.42578125" bestFit="1" customWidth="1"/>
    <col min="966" max="966" width="9.5703125" bestFit="1" customWidth="1"/>
    <col min="967" max="967" width="10.42578125" bestFit="1" customWidth="1"/>
    <col min="968" max="969" width="9.28515625" bestFit="1" customWidth="1"/>
    <col min="970" max="970" width="9.42578125" bestFit="1" customWidth="1"/>
    <col min="971" max="971" width="9" bestFit="1" customWidth="1"/>
    <col min="975" max="975" width="9.28515625" bestFit="1" customWidth="1"/>
    <col min="976" max="976" width="9.42578125" bestFit="1" customWidth="1"/>
    <col min="977" max="977" width="9.28515625" bestFit="1" customWidth="1"/>
    <col min="979" max="979" width="10.42578125" bestFit="1" customWidth="1"/>
    <col min="980" max="980" width="9.42578125" bestFit="1" customWidth="1"/>
    <col min="981" max="981" width="9.85546875" bestFit="1" customWidth="1"/>
    <col min="982" max="982" width="9.42578125" bestFit="1" customWidth="1"/>
    <col min="983" max="984" width="9.28515625" bestFit="1" customWidth="1"/>
    <col min="985" max="985" width="9.5703125" bestFit="1" customWidth="1"/>
    <col min="986" max="986" width="9.42578125" bestFit="1" customWidth="1"/>
    <col min="989" max="989" width="9.42578125" bestFit="1" customWidth="1"/>
    <col min="990" max="990" width="9.5703125" bestFit="1" customWidth="1"/>
    <col min="991" max="992" width="9.42578125" bestFit="1" customWidth="1"/>
    <col min="993" max="993" width="9" bestFit="1" customWidth="1"/>
    <col min="994" max="994" width="9.28515625" bestFit="1" customWidth="1"/>
    <col min="996" max="996" width="9.85546875" bestFit="1" customWidth="1"/>
    <col min="997" max="998" width="9" bestFit="1" customWidth="1"/>
    <col min="999" max="999" width="9.85546875" bestFit="1" customWidth="1"/>
    <col min="1000" max="1000" width="9.5703125" bestFit="1" customWidth="1"/>
    <col min="1002" max="1002" width="9.5703125" bestFit="1" customWidth="1"/>
    <col min="1003" max="1003" width="9.42578125" bestFit="1" customWidth="1"/>
    <col min="1004" max="1004" width="10.42578125" bestFit="1" customWidth="1"/>
    <col min="1007" max="1008" width="10.42578125" bestFit="1" customWidth="1"/>
    <col min="1009" max="1009" width="9.5703125" bestFit="1" customWidth="1"/>
    <col min="1010" max="1010" width="9.28515625" bestFit="1" customWidth="1"/>
    <col min="1011" max="1011" width="9.5703125" bestFit="1" customWidth="1"/>
    <col min="1012" max="1014" width="9.85546875" bestFit="1" customWidth="1"/>
    <col min="1016" max="1016" width="9" bestFit="1" customWidth="1"/>
    <col min="1017" max="1018" width="9.85546875" bestFit="1" customWidth="1"/>
    <col min="1020" max="1022" width="10.42578125" bestFit="1" customWidth="1"/>
    <col min="1023" max="1023" width="9.28515625" bestFit="1" customWidth="1"/>
    <col min="1025" max="1025" width="9.28515625" bestFit="1" customWidth="1"/>
    <col min="1026" max="1026" width="10.42578125" bestFit="1" customWidth="1"/>
    <col min="1027" max="1027" width="9" bestFit="1" customWidth="1"/>
    <col min="1028" max="1028" width="10.42578125" bestFit="1" customWidth="1"/>
    <col min="1029" max="1029" width="9.28515625" bestFit="1" customWidth="1"/>
    <col min="1031" max="1031" width="9" bestFit="1" customWidth="1"/>
    <col min="1032" max="1032" width="10.42578125" bestFit="1" customWidth="1"/>
    <col min="1033" max="1033" width="9.42578125" bestFit="1" customWidth="1"/>
    <col min="1035" max="1035" width="9" bestFit="1" customWidth="1"/>
    <col min="1036" max="1036" width="9.5703125" bestFit="1" customWidth="1"/>
    <col min="1038" max="1038" width="9.5703125" bestFit="1" customWidth="1"/>
    <col min="1039" max="1039" width="9.85546875" bestFit="1" customWidth="1"/>
    <col min="1040" max="1040" width="9.5703125" bestFit="1" customWidth="1"/>
    <col min="1041" max="1041" width="9.28515625" bestFit="1" customWidth="1"/>
    <col min="1042" max="1042" width="9.42578125" bestFit="1" customWidth="1"/>
    <col min="1043" max="1043" width="10.42578125" bestFit="1" customWidth="1"/>
    <col min="1044" max="1044" width="9.28515625" bestFit="1" customWidth="1"/>
    <col min="1045" max="1045" width="9.85546875" bestFit="1" customWidth="1"/>
    <col min="1047" max="1048" width="10.42578125" bestFit="1" customWidth="1"/>
    <col min="1049" max="1049" width="9.28515625" bestFit="1" customWidth="1"/>
    <col min="1050" max="1050" width="9.42578125" bestFit="1" customWidth="1"/>
    <col min="1051" max="1051" width="9" bestFit="1" customWidth="1"/>
    <col min="1052" max="1054" width="9.28515625" bestFit="1" customWidth="1"/>
    <col min="1056" max="1057" width="9.42578125" bestFit="1" customWidth="1"/>
    <col min="1058" max="1058" width="9.5703125" bestFit="1" customWidth="1"/>
    <col min="1059" max="1059" width="9.85546875" bestFit="1" customWidth="1"/>
    <col min="1060" max="1060" width="9.28515625" bestFit="1" customWidth="1"/>
    <col min="1061" max="1061" width="9.85546875" bestFit="1" customWidth="1"/>
    <col min="1062" max="1062" width="10.42578125" bestFit="1" customWidth="1"/>
    <col min="1063" max="1063" width="9.28515625" bestFit="1" customWidth="1"/>
    <col min="1065" max="1065" width="9.5703125" bestFit="1" customWidth="1"/>
    <col min="1066" max="1066" width="9.42578125" bestFit="1" customWidth="1"/>
    <col min="1067" max="1067" width="10.42578125" bestFit="1" customWidth="1"/>
    <col min="1068" max="1068" width="9.28515625" bestFit="1" customWidth="1"/>
    <col min="1069" max="1069" width="10.42578125" bestFit="1" customWidth="1"/>
    <col min="1070" max="1071" width="9" bestFit="1" customWidth="1"/>
    <col min="1072" max="1072" width="9.42578125" bestFit="1" customWidth="1"/>
    <col min="1073" max="1073" width="9.5703125" bestFit="1" customWidth="1"/>
    <col min="1074" max="1074" width="9.42578125" bestFit="1" customWidth="1"/>
    <col min="1075" max="1075" width="9.85546875" bestFit="1" customWidth="1"/>
    <col min="1076" max="1076" width="10.42578125" bestFit="1" customWidth="1"/>
    <col min="1077" max="1077" width="9.85546875" bestFit="1" customWidth="1"/>
    <col min="1078" max="1078" width="9.28515625" bestFit="1" customWidth="1"/>
    <col min="1079" max="1079" width="9.85546875" bestFit="1" customWidth="1"/>
    <col min="1080" max="1080" width="9.5703125" bestFit="1" customWidth="1"/>
    <col min="1081" max="1081" width="9.85546875" bestFit="1" customWidth="1"/>
    <col min="1082" max="1082" width="9.42578125" bestFit="1" customWidth="1"/>
    <col min="1084" max="1084" width="9.42578125" bestFit="1" customWidth="1"/>
    <col min="1085" max="1085" width="10.42578125" bestFit="1" customWidth="1"/>
    <col min="1086" max="1086" width="9.85546875" bestFit="1" customWidth="1"/>
    <col min="1087" max="1087" width="9" bestFit="1" customWidth="1"/>
    <col min="1088" max="1088" width="9.85546875" bestFit="1" customWidth="1"/>
    <col min="1089" max="1089" width="10.42578125" bestFit="1" customWidth="1"/>
    <col min="1090" max="1090" width="9.85546875" bestFit="1" customWidth="1"/>
    <col min="1091" max="1091" width="9.28515625" bestFit="1" customWidth="1"/>
    <col min="1092" max="1092" width="9.85546875" bestFit="1" customWidth="1"/>
    <col min="1093" max="1093" width="10.42578125" bestFit="1" customWidth="1"/>
    <col min="1094" max="1094" width="9.28515625" bestFit="1" customWidth="1"/>
    <col min="1095" max="1095" width="9.42578125" bestFit="1" customWidth="1"/>
    <col min="1096" max="1096" width="9" bestFit="1" customWidth="1"/>
    <col min="1097" max="1097" width="9.5703125" bestFit="1" customWidth="1"/>
    <col min="1098" max="1098" width="9" bestFit="1" customWidth="1"/>
    <col min="1099" max="1100" width="10.42578125" bestFit="1" customWidth="1"/>
    <col min="1101" max="1101" width="9.85546875" bestFit="1" customWidth="1"/>
    <col min="1102" max="1102" width="9.28515625" bestFit="1" customWidth="1"/>
    <col min="1103" max="1103" width="10.42578125" bestFit="1" customWidth="1"/>
    <col min="1105" max="1105" width="9.28515625" bestFit="1" customWidth="1"/>
    <col min="1106" max="1106" width="9.5703125" bestFit="1" customWidth="1"/>
    <col min="1107" max="1108" width="9.42578125" bestFit="1" customWidth="1"/>
    <col min="1109" max="1109" width="9.85546875" bestFit="1" customWidth="1"/>
    <col min="1111" max="1111" width="9" bestFit="1" customWidth="1"/>
    <col min="1112" max="1112" width="10.42578125" bestFit="1" customWidth="1"/>
    <col min="1113" max="1113" width="9" bestFit="1" customWidth="1"/>
    <col min="1114" max="1117" width="9.5703125" bestFit="1" customWidth="1"/>
    <col min="1118" max="1119" width="10.42578125" bestFit="1" customWidth="1"/>
    <col min="1120" max="1120" width="9.85546875" bestFit="1" customWidth="1"/>
    <col min="1121" max="1121" width="10.42578125" bestFit="1" customWidth="1"/>
    <col min="1123" max="1123" width="9.5703125" bestFit="1" customWidth="1"/>
    <col min="1124" max="1125" width="10.42578125" bestFit="1" customWidth="1"/>
    <col min="1126" max="1126" width="9.5703125" bestFit="1" customWidth="1"/>
    <col min="1127" max="1127" width="9.28515625" bestFit="1" customWidth="1"/>
    <col min="1128" max="1128" width="9.42578125" bestFit="1" customWidth="1"/>
    <col min="1129" max="1129" width="9.28515625" bestFit="1" customWidth="1"/>
    <col min="1130" max="1130" width="10.42578125" bestFit="1" customWidth="1"/>
    <col min="1131" max="1131" width="9" bestFit="1" customWidth="1"/>
    <col min="1132" max="1132" width="9.42578125" bestFit="1" customWidth="1"/>
    <col min="1133" max="1134" width="9.28515625" bestFit="1" customWidth="1"/>
    <col min="1135" max="1135" width="9.42578125" bestFit="1" customWidth="1"/>
    <col min="1136" max="1136" width="9.85546875" bestFit="1" customWidth="1"/>
    <col min="1137" max="1137" width="9.42578125" bestFit="1" customWidth="1"/>
    <col min="1138" max="1138" width="9.85546875" bestFit="1" customWidth="1"/>
    <col min="1139" max="1139" width="9.42578125" bestFit="1" customWidth="1"/>
    <col min="1140" max="1140" width="9.28515625" bestFit="1" customWidth="1"/>
    <col min="1141" max="1142" width="9.42578125" bestFit="1" customWidth="1"/>
    <col min="1143" max="1143" width="10.42578125" bestFit="1" customWidth="1"/>
    <col min="1144" max="1144" width="9.5703125" bestFit="1" customWidth="1"/>
    <col min="1146" max="1146" width="9.42578125" bestFit="1" customWidth="1"/>
    <col min="1147" max="1147" width="9" bestFit="1" customWidth="1"/>
    <col min="1148" max="1148" width="9.85546875" bestFit="1" customWidth="1"/>
    <col min="1149" max="1149" width="9" bestFit="1" customWidth="1"/>
    <col min="1150" max="1150" width="9.42578125" bestFit="1" customWidth="1"/>
    <col min="1151" max="1151" width="9" bestFit="1" customWidth="1"/>
    <col min="1152" max="1153" width="9.42578125" bestFit="1" customWidth="1"/>
    <col min="1154" max="1154" width="9.28515625" bestFit="1" customWidth="1"/>
    <col min="1155" max="1156" width="9.42578125" bestFit="1" customWidth="1"/>
    <col min="1157" max="1158" width="9.5703125" bestFit="1" customWidth="1"/>
    <col min="1160" max="1160" width="9" bestFit="1" customWidth="1"/>
    <col min="1161" max="1161" width="9.5703125" bestFit="1" customWidth="1"/>
    <col min="1162" max="1163" width="9" bestFit="1" customWidth="1"/>
    <col min="1164" max="1164" width="9.5703125" bestFit="1" customWidth="1"/>
    <col min="1167" max="1167" width="9" bestFit="1" customWidth="1"/>
    <col min="1168" max="1168" width="9.42578125" bestFit="1" customWidth="1"/>
    <col min="1169" max="1169" width="9.85546875" bestFit="1" customWidth="1"/>
    <col min="1170" max="1170" width="9.5703125" bestFit="1" customWidth="1"/>
    <col min="1171" max="1171" width="9.85546875" bestFit="1" customWidth="1"/>
    <col min="1173" max="1173" width="10.42578125" bestFit="1" customWidth="1"/>
    <col min="1175" max="1175" width="9.42578125" bestFit="1" customWidth="1"/>
    <col min="1176" max="1176" width="9.28515625" bestFit="1" customWidth="1"/>
    <col min="1177" max="1177" width="10.42578125" bestFit="1" customWidth="1"/>
    <col min="1178" max="1178" width="9.5703125" bestFit="1" customWidth="1"/>
    <col min="1179" max="1179" width="10.42578125" bestFit="1" customWidth="1"/>
    <col min="1180" max="1180" width="9.42578125" bestFit="1" customWidth="1"/>
    <col min="1182" max="1182" width="9.42578125" bestFit="1" customWidth="1"/>
    <col min="1183" max="1183" width="9.28515625" bestFit="1" customWidth="1"/>
    <col min="1184" max="1184" width="9.5703125" bestFit="1" customWidth="1"/>
    <col min="1185" max="1185" width="10.42578125" bestFit="1" customWidth="1"/>
    <col min="1186" max="1186" width="9.5703125" bestFit="1" customWidth="1"/>
    <col min="1187" max="1187" width="9.42578125" bestFit="1" customWidth="1"/>
    <col min="1188" max="1188" width="9" bestFit="1" customWidth="1"/>
    <col min="1190" max="1190" width="9.85546875" bestFit="1" customWidth="1"/>
    <col min="1192" max="1192" width="9.85546875" bestFit="1" customWidth="1"/>
    <col min="1193" max="1193" width="10.42578125" bestFit="1" customWidth="1"/>
    <col min="1194" max="1194" width="9.5703125" bestFit="1" customWidth="1"/>
    <col min="1195" max="1195" width="9.42578125" bestFit="1" customWidth="1"/>
    <col min="1196" max="1196" width="9.28515625" bestFit="1" customWidth="1"/>
    <col min="1197" max="1198" width="9.85546875" bestFit="1" customWidth="1"/>
    <col min="1199" max="1199" width="9.5703125" bestFit="1" customWidth="1"/>
    <col min="1200" max="1200" width="9.42578125" bestFit="1" customWidth="1"/>
    <col min="1202" max="1202" width="9.42578125" bestFit="1" customWidth="1"/>
    <col min="1204" max="1204" width="10.42578125" bestFit="1" customWidth="1"/>
    <col min="1205" max="1205" width="9.85546875" bestFit="1" customWidth="1"/>
    <col min="1206" max="1207" width="10.42578125" bestFit="1" customWidth="1"/>
    <col min="1208" max="1208" width="9.42578125" bestFit="1" customWidth="1"/>
    <col min="1209" max="1209" width="9.85546875" bestFit="1" customWidth="1"/>
    <col min="1211" max="1211" width="9.85546875" bestFit="1" customWidth="1"/>
    <col min="1212" max="1212" width="10.42578125" bestFit="1" customWidth="1"/>
    <col min="1213" max="1213" width="9.28515625" bestFit="1" customWidth="1"/>
    <col min="1215" max="1215" width="9.28515625" bestFit="1" customWidth="1"/>
    <col min="1216" max="1216" width="9.42578125" bestFit="1" customWidth="1"/>
    <col min="1218" max="1218" width="9.42578125" bestFit="1" customWidth="1"/>
    <col min="1220" max="1221" width="9.28515625" bestFit="1" customWidth="1"/>
    <col min="1222" max="1222" width="9" bestFit="1" customWidth="1"/>
    <col min="1223" max="1224" width="9.28515625" bestFit="1" customWidth="1"/>
    <col min="1226" max="1227" width="9.85546875" bestFit="1" customWidth="1"/>
    <col min="1228" max="1228" width="10.42578125" bestFit="1" customWidth="1"/>
    <col min="1229" max="1229" width="9.5703125" bestFit="1" customWidth="1"/>
    <col min="1230" max="1232" width="9.42578125" bestFit="1" customWidth="1"/>
    <col min="1233" max="1233" width="9.85546875" bestFit="1" customWidth="1"/>
    <col min="1234" max="1234" width="9.42578125" bestFit="1" customWidth="1"/>
    <col min="1235" max="1235" width="9.5703125" bestFit="1" customWidth="1"/>
    <col min="1236" max="1236" width="9.85546875" bestFit="1" customWidth="1"/>
    <col min="1237" max="1237" width="10.42578125" bestFit="1" customWidth="1"/>
    <col min="1238" max="1238" width="9.5703125" bestFit="1" customWidth="1"/>
    <col min="1239" max="1240" width="10.42578125" bestFit="1" customWidth="1"/>
    <col min="1241" max="1241" width="9" bestFit="1" customWidth="1"/>
    <col min="1242" max="1242" width="9.5703125" bestFit="1" customWidth="1"/>
    <col min="1243" max="1243" width="9.28515625" bestFit="1" customWidth="1"/>
    <col min="1244" max="1245" width="10.42578125" bestFit="1" customWidth="1"/>
    <col min="1246" max="1246" width="9.5703125" bestFit="1" customWidth="1"/>
    <col min="1247" max="1247" width="9.85546875" bestFit="1" customWidth="1"/>
    <col min="1248" max="1248" width="9" bestFit="1" customWidth="1"/>
    <col min="1249" max="1249" width="9.5703125" bestFit="1" customWidth="1"/>
    <col min="1250" max="1250" width="9.85546875" bestFit="1" customWidth="1"/>
    <col min="1252" max="1252" width="9.28515625" bestFit="1" customWidth="1"/>
    <col min="1253" max="1253" width="9" bestFit="1" customWidth="1"/>
    <col min="1255" max="1255" width="10.42578125" bestFit="1" customWidth="1"/>
    <col min="1256" max="1256" width="9.5703125" bestFit="1" customWidth="1"/>
    <col min="1257" max="1257" width="9.85546875" bestFit="1" customWidth="1"/>
    <col min="1258" max="1258" width="9.5703125" bestFit="1" customWidth="1"/>
    <col min="1259" max="1259" width="10.42578125" bestFit="1" customWidth="1"/>
    <col min="1261" max="1261" width="9.28515625" bestFit="1" customWidth="1"/>
    <col min="1262" max="1262" width="26.28515625" bestFit="1" customWidth="1"/>
    <col min="1263" max="1263" width="14.28515625" bestFit="1" customWidth="1"/>
  </cols>
  <sheetData>
    <row r="3" spans="1:3" x14ac:dyDescent="0.25">
      <c r="A3" s="15" t="s">
        <v>1421</v>
      </c>
      <c r="B3" t="s">
        <v>1438</v>
      </c>
      <c r="C3" t="s">
        <v>1443</v>
      </c>
    </row>
    <row r="4" spans="1:3" x14ac:dyDescent="0.25">
      <c r="A4" s="16" t="s">
        <v>725</v>
      </c>
      <c r="B4" s="18">
        <v>1331648.9160700005</v>
      </c>
      <c r="C4" s="18"/>
    </row>
    <row r="5" spans="1:3" x14ac:dyDescent="0.25">
      <c r="A5" s="17" t="s">
        <v>1071</v>
      </c>
      <c r="B5" s="18">
        <v>79082.507010000001</v>
      </c>
      <c r="C5" s="18">
        <v>1</v>
      </c>
    </row>
    <row r="6" spans="1:3" x14ac:dyDescent="0.25">
      <c r="A6" s="17" t="s">
        <v>1044</v>
      </c>
      <c r="B6" s="18">
        <v>53034.364139999991</v>
      </c>
      <c r="C6" s="18">
        <v>2</v>
      </c>
    </row>
    <row r="7" spans="1:3" x14ac:dyDescent="0.25">
      <c r="A7" s="17" t="s">
        <v>1279</v>
      </c>
      <c r="B7" s="18">
        <v>46450.26</v>
      </c>
      <c r="C7" s="18">
        <v>3</v>
      </c>
    </row>
    <row r="8" spans="1:3" x14ac:dyDescent="0.25">
      <c r="A8" s="17" t="s">
        <v>1031</v>
      </c>
      <c r="B8" s="18">
        <v>43084.872000000003</v>
      </c>
      <c r="C8" s="18">
        <v>4</v>
      </c>
    </row>
    <row r="9" spans="1:3" x14ac:dyDescent="0.25">
      <c r="A9" s="17" t="s">
        <v>743</v>
      </c>
      <c r="B9" s="18">
        <v>38096.18406</v>
      </c>
      <c r="C9" s="18">
        <v>5</v>
      </c>
    </row>
    <row r="10" spans="1:3" x14ac:dyDescent="0.25">
      <c r="A10" s="17" t="s">
        <v>801</v>
      </c>
      <c r="B10" s="18">
        <v>35396.277799999996</v>
      </c>
      <c r="C10" s="18">
        <v>6</v>
      </c>
    </row>
    <row r="11" spans="1:3" x14ac:dyDescent="0.25">
      <c r="A11" s="17" t="s">
        <v>1085</v>
      </c>
      <c r="B11" s="18">
        <v>35167.7448</v>
      </c>
      <c r="C11" s="18">
        <v>7</v>
      </c>
    </row>
    <row r="12" spans="1:3" x14ac:dyDescent="0.25">
      <c r="A12" s="17" t="s">
        <v>822</v>
      </c>
      <c r="B12" s="18">
        <v>34139.159999999996</v>
      </c>
      <c r="C12" s="18">
        <v>8</v>
      </c>
    </row>
    <row r="13" spans="1:3" x14ac:dyDescent="0.25">
      <c r="A13" s="17" t="s">
        <v>802</v>
      </c>
      <c r="B13" s="18">
        <v>33062.236480000007</v>
      </c>
      <c r="C13" s="18">
        <v>9</v>
      </c>
    </row>
    <row r="14" spans="1:3" x14ac:dyDescent="0.25">
      <c r="A14" s="17" t="s">
        <v>867</v>
      </c>
      <c r="B14" s="18">
        <v>32086.37586</v>
      </c>
      <c r="C14" s="18">
        <v>10</v>
      </c>
    </row>
    <row r="15" spans="1:3" x14ac:dyDescent="0.25">
      <c r="A15" s="17" t="s">
        <v>1166</v>
      </c>
      <c r="B15" s="18">
        <v>31513.085009999999</v>
      </c>
      <c r="C15" s="18">
        <v>11</v>
      </c>
    </row>
    <row r="16" spans="1:3" x14ac:dyDescent="0.25">
      <c r="A16" s="17" t="s">
        <v>932</v>
      </c>
      <c r="B16" s="18">
        <v>28386.015839999996</v>
      </c>
      <c r="C16" s="18">
        <v>12</v>
      </c>
    </row>
    <row r="17" spans="1:3" x14ac:dyDescent="0.25">
      <c r="A17" s="17" t="s">
        <v>1013</v>
      </c>
      <c r="B17" s="18">
        <v>26765.040239999998</v>
      </c>
      <c r="C17" s="18">
        <v>13</v>
      </c>
    </row>
    <row r="18" spans="1:3" x14ac:dyDescent="0.25">
      <c r="A18" s="17" t="s">
        <v>912</v>
      </c>
      <c r="B18" s="18">
        <v>26759.28775</v>
      </c>
      <c r="C18" s="18">
        <v>14</v>
      </c>
    </row>
    <row r="19" spans="1:3" x14ac:dyDescent="0.25">
      <c r="A19" s="17" t="s">
        <v>1077</v>
      </c>
      <c r="B19" s="18">
        <v>26552.60298</v>
      </c>
      <c r="C19" s="18">
        <v>15</v>
      </c>
    </row>
    <row r="20" spans="1:3" x14ac:dyDescent="0.25">
      <c r="A20" s="17" t="s">
        <v>1162</v>
      </c>
      <c r="B20" s="18">
        <v>24278.849280000002</v>
      </c>
      <c r="C20" s="18">
        <v>16</v>
      </c>
    </row>
    <row r="21" spans="1:3" x14ac:dyDescent="0.25">
      <c r="A21" s="17" t="s">
        <v>1133</v>
      </c>
      <c r="B21" s="18">
        <v>23668.560000000001</v>
      </c>
      <c r="C21" s="18">
        <v>17</v>
      </c>
    </row>
    <row r="22" spans="1:3" x14ac:dyDescent="0.25">
      <c r="A22" s="17" t="s">
        <v>1017</v>
      </c>
      <c r="B22" s="18">
        <v>23375.594060000003</v>
      </c>
      <c r="C22" s="18">
        <v>18</v>
      </c>
    </row>
    <row r="23" spans="1:3" x14ac:dyDescent="0.25">
      <c r="A23" s="17" t="s">
        <v>1080</v>
      </c>
      <c r="B23" s="18">
        <v>23195.01828</v>
      </c>
      <c r="C23" s="18">
        <v>19</v>
      </c>
    </row>
    <row r="24" spans="1:3" x14ac:dyDescent="0.25">
      <c r="A24" s="17" t="s">
        <v>1203</v>
      </c>
      <c r="B24" s="18">
        <v>22620.859800000002</v>
      </c>
      <c r="C24" s="18">
        <v>20</v>
      </c>
    </row>
    <row r="25" spans="1:3" x14ac:dyDescent="0.25">
      <c r="A25" s="17" t="s">
        <v>1246</v>
      </c>
      <c r="B25" s="18">
        <v>22526.66</v>
      </c>
      <c r="C25" s="18">
        <v>21</v>
      </c>
    </row>
    <row r="26" spans="1:3" x14ac:dyDescent="0.25">
      <c r="A26" s="17" t="s">
        <v>1261</v>
      </c>
      <c r="B26" s="18">
        <v>20430.771599999996</v>
      </c>
      <c r="C26" s="18">
        <v>22</v>
      </c>
    </row>
    <row r="27" spans="1:3" x14ac:dyDescent="0.25">
      <c r="A27" s="17" t="s">
        <v>1276</v>
      </c>
      <c r="B27" s="18">
        <v>20163.409200000002</v>
      </c>
      <c r="C27" s="18">
        <v>23</v>
      </c>
    </row>
    <row r="28" spans="1:3" x14ac:dyDescent="0.25">
      <c r="A28" s="17" t="s">
        <v>818</v>
      </c>
      <c r="B28" s="18">
        <v>20079.343620000003</v>
      </c>
      <c r="C28" s="18">
        <v>24</v>
      </c>
    </row>
    <row r="29" spans="1:3" x14ac:dyDescent="0.25">
      <c r="A29" s="17" t="s">
        <v>1175</v>
      </c>
      <c r="B29" s="18">
        <v>19628.476999999999</v>
      </c>
      <c r="C29" s="18">
        <v>25</v>
      </c>
    </row>
    <row r="30" spans="1:3" x14ac:dyDescent="0.25">
      <c r="A30" s="17" t="s">
        <v>1015</v>
      </c>
      <c r="B30" s="18">
        <v>19066.045319999997</v>
      </c>
      <c r="C30" s="18">
        <v>26</v>
      </c>
    </row>
    <row r="31" spans="1:3" x14ac:dyDescent="0.25">
      <c r="A31" s="17" t="s">
        <v>986</v>
      </c>
      <c r="B31" s="18">
        <v>17964.4038</v>
      </c>
      <c r="C31" s="18">
        <v>27</v>
      </c>
    </row>
    <row r="32" spans="1:3" x14ac:dyDescent="0.25">
      <c r="A32" s="17" t="s">
        <v>934</v>
      </c>
      <c r="B32" s="18">
        <v>17847.907199999998</v>
      </c>
      <c r="C32" s="18">
        <v>28</v>
      </c>
    </row>
    <row r="33" spans="1:3" x14ac:dyDescent="0.25">
      <c r="A33" s="17" t="s">
        <v>1065</v>
      </c>
      <c r="B33" s="18">
        <v>17067.938400000003</v>
      </c>
      <c r="C33" s="18">
        <v>29</v>
      </c>
    </row>
    <row r="34" spans="1:3" x14ac:dyDescent="0.25">
      <c r="A34" s="17" t="s">
        <v>791</v>
      </c>
      <c r="B34" s="18">
        <v>16013.681599999998</v>
      </c>
      <c r="C34" s="18">
        <v>30</v>
      </c>
    </row>
    <row r="35" spans="1:3" x14ac:dyDescent="0.25">
      <c r="A35" s="17" t="s">
        <v>735</v>
      </c>
      <c r="B35" s="18">
        <v>16006.14344</v>
      </c>
      <c r="C35" s="18">
        <v>31</v>
      </c>
    </row>
    <row r="36" spans="1:3" x14ac:dyDescent="0.25">
      <c r="A36" s="17" t="s">
        <v>1277</v>
      </c>
      <c r="B36" s="18">
        <v>15860.782080000001</v>
      </c>
      <c r="C36" s="18">
        <v>32</v>
      </c>
    </row>
    <row r="37" spans="1:3" x14ac:dyDescent="0.25">
      <c r="A37" s="17" t="s">
        <v>1270</v>
      </c>
      <c r="B37" s="18">
        <v>15530.929919999999</v>
      </c>
      <c r="C37" s="18">
        <v>33</v>
      </c>
    </row>
    <row r="38" spans="1:3" x14ac:dyDescent="0.25">
      <c r="A38" s="17" t="s">
        <v>775</v>
      </c>
      <c r="B38" s="18">
        <v>14894.903999999999</v>
      </c>
      <c r="C38" s="18">
        <v>34</v>
      </c>
    </row>
    <row r="39" spans="1:3" x14ac:dyDescent="0.25">
      <c r="A39" s="17" t="s">
        <v>1179</v>
      </c>
      <c r="B39" s="18">
        <v>14752.706080000002</v>
      </c>
      <c r="C39" s="18">
        <v>35</v>
      </c>
    </row>
    <row r="40" spans="1:3" x14ac:dyDescent="0.25">
      <c r="A40" s="17" t="s">
        <v>895</v>
      </c>
      <c r="B40" s="18">
        <v>14549.029120000001</v>
      </c>
      <c r="C40" s="18">
        <v>36</v>
      </c>
    </row>
    <row r="41" spans="1:3" x14ac:dyDescent="0.25">
      <c r="A41" s="17" t="s">
        <v>1119</v>
      </c>
      <c r="B41" s="18">
        <v>14431.738420000001</v>
      </c>
      <c r="C41" s="18">
        <v>37</v>
      </c>
    </row>
    <row r="42" spans="1:3" x14ac:dyDescent="0.25">
      <c r="A42" s="17" t="s">
        <v>1329</v>
      </c>
      <c r="B42" s="18">
        <v>13856.52411</v>
      </c>
      <c r="C42" s="18">
        <v>38</v>
      </c>
    </row>
    <row r="43" spans="1:3" x14ac:dyDescent="0.25">
      <c r="A43" s="17" t="s">
        <v>872</v>
      </c>
      <c r="B43" s="18">
        <v>13321.14</v>
      </c>
      <c r="C43" s="18">
        <v>39</v>
      </c>
    </row>
    <row r="44" spans="1:3" x14ac:dyDescent="0.25">
      <c r="A44" s="17" t="s">
        <v>1282</v>
      </c>
      <c r="B44" s="18">
        <v>13108.78584</v>
      </c>
      <c r="C44" s="18">
        <v>40</v>
      </c>
    </row>
    <row r="45" spans="1:3" x14ac:dyDescent="0.25">
      <c r="A45" s="17" t="s">
        <v>1024</v>
      </c>
      <c r="B45" s="18">
        <v>12699.28</v>
      </c>
      <c r="C45" s="18">
        <v>41</v>
      </c>
    </row>
    <row r="46" spans="1:3" x14ac:dyDescent="0.25">
      <c r="A46" s="17" t="s">
        <v>1312</v>
      </c>
      <c r="B46" s="18">
        <v>12040.64352</v>
      </c>
      <c r="C46" s="18">
        <v>42</v>
      </c>
    </row>
    <row r="47" spans="1:3" x14ac:dyDescent="0.25">
      <c r="A47" s="17" t="s">
        <v>1218</v>
      </c>
      <c r="B47" s="18">
        <v>11859.695119999998</v>
      </c>
      <c r="C47" s="18">
        <v>43</v>
      </c>
    </row>
    <row r="48" spans="1:3" x14ac:dyDescent="0.25">
      <c r="A48" s="17" t="s">
        <v>1037</v>
      </c>
      <c r="B48" s="18">
        <v>11283.400799999999</v>
      </c>
      <c r="C48" s="18">
        <v>44</v>
      </c>
    </row>
    <row r="49" spans="1:3" x14ac:dyDescent="0.25">
      <c r="A49" s="17" t="s">
        <v>879</v>
      </c>
      <c r="B49" s="18">
        <v>11015.510400000003</v>
      </c>
      <c r="C49" s="18">
        <v>45</v>
      </c>
    </row>
    <row r="50" spans="1:3" x14ac:dyDescent="0.25">
      <c r="A50" s="17" t="s">
        <v>747</v>
      </c>
      <c r="B50" s="18">
        <v>10936.992</v>
      </c>
      <c r="C50" s="18">
        <v>46</v>
      </c>
    </row>
    <row r="51" spans="1:3" x14ac:dyDescent="0.25">
      <c r="A51" s="17" t="s">
        <v>1140</v>
      </c>
      <c r="B51" s="18">
        <v>10893.6232</v>
      </c>
      <c r="C51" s="18">
        <v>47</v>
      </c>
    </row>
    <row r="52" spans="1:3" x14ac:dyDescent="0.25">
      <c r="A52" s="17" t="s">
        <v>1346</v>
      </c>
      <c r="B52" s="18">
        <v>10693.88488</v>
      </c>
      <c r="C52" s="18">
        <v>48</v>
      </c>
    </row>
    <row r="53" spans="1:3" x14ac:dyDescent="0.25">
      <c r="A53" s="17" t="s">
        <v>795</v>
      </c>
      <c r="B53" s="18">
        <v>10647.727199999999</v>
      </c>
      <c r="C53" s="18">
        <v>49</v>
      </c>
    </row>
    <row r="54" spans="1:3" x14ac:dyDescent="0.25">
      <c r="A54" s="17" t="s">
        <v>910</v>
      </c>
      <c r="B54" s="18">
        <v>10388.429999999998</v>
      </c>
      <c r="C54" s="18">
        <v>50</v>
      </c>
    </row>
    <row r="55" spans="1:3" x14ac:dyDescent="0.25">
      <c r="A55" s="17" t="s">
        <v>883</v>
      </c>
      <c r="B55" s="18">
        <v>10382.65884</v>
      </c>
      <c r="C55" s="18">
        <v>51</v>
      </c>
    </row>
    <row r="56" spans="1:3" x14ac:dyDescent="0.25">
      <c r="A56" s="17" t="s">
        <v>1050</v>
      </c>
      <c r="B56" s="18">
        <v>9829.0483199999999</v>
      </c>
      <c r="C56" s="18">
        <v>52</v>
      </c>
    </row>
    <row r="57" spans="1:3" x14ac:dyDescent="0.25">
      <c r="A57" s="17" t="s">
        <v>1313</v>
      </c>
      <c r="B57" s="18">
        <v>9022.35</v>
      </c>
      <c r="C57" s="18">
        <v>53</v>
      </c>
    </row>
    <row r="58" spans="1:3" x14ac:dyDescent="0.25">
      <c r="A58" s="17" t="s">
        <v>1222</v>
      </c>
      <c r="B58" s="18">
        <v>8644.6696000000011</v>
      </c>
      <c r="C58" s="18">
        <v>54</v>
      </c>
    </row>
    <row r="59" spans="1:3" x14ac:dyDescent="0.25">
      <c r="A59" s="17" t="s">
        <v>750</v>
      </c>
      <c r="B59" s="18">
        <v>8596.2905599999995</v>
      </c>
      <c r="C59" s="18">
        <v>55</v>
      </c>
    </row>
    <row r="60" spans="1:3" x14ac:dyDescent="0.25">
      <c r="A60" s="17" t="s">
        <v>1317</v>
      </c>
      <c r="B60" s="18">
        <v>8366.02</v>
      </c>
      <c r="C60" s="18">
        <v>56</v>
      </c>
    </row>
    <row r="61" spans="1:3" x14ac:dyDescent="0.25">
      <c r="A61" s="17" t="s">
        <v>1141</v>
      </c>
      <c r="B61" s="18">
        <v>7969.4615000000003</v>
      </c>
      <c r="C61" s="18">
        <v>57</v>
      </c>
    </row>
    <row r="62" spans="1:3" x14ac:dyDescent="0.25">
      <c r="A62" s="17" t="s">
        <v>939</v>
      </c>
      <c r="B62" s="18">
        <v>7854.6693599999999</v>
      </c>
      <c r="C62" s="18">
        <v>58</v>
      </c>
    </row>
    <row r="63" spans="1:3" x14ac:dyDescent="0.25">
      <c r="A63" s="17" t="s">
        <v>907</v>
      </c>
      <c r="B63" s="18">
        <v>7689.4560000000001</v>
      </c>
      <c r="C63" s="18">
        <v>59</v>
      </c>
    </row>
    <row r="64" spans="1:3" x14ac:dyDescent="0.25">
      <c r="A64" s="17" t="s">
        <v>739</v>
      </c>
      <c r="B64" s="18">
        <v>7578.84</v>
      </c>
      <c r="C64" s="18">
        <v>60</v>
      </c>
    </row>
    <row r="65" spans="1:3" x14ac:dyDescent="0.25">
      <c r="A65" s="17" t="s">
        <v>984</v>
      </c>
      <c r="B65" s="18">
        <v>7568.9632000000001</v>
      </c>
      <c r="C65" s="18">
        <v>61</v>
      </c>
    </row>
    <row r="66" spans="1:3" x14ac:dyDescent="0.25">
      <c r="A66" s="17" t="s">
        <v>1216</v>
      </c>
      <c r="B66" s="18">
        <v>7507.4514899999995</v>
      </c>
      <c r="C66" s="18">
        <v>62</v>
      </c>
    </row>
    <row r="67" spans="1:3" x14ac:dyDescent="0.25">
      <c r="A67" s="17" t="s">
        <v>1018</v>
      </c>
      <c r="B67" s="18">
        <v>7382.1450000000004</v>
      </c>
      <c r="C67" s="18">
        <v>63</v>
      </c>
    </row>
    <row r="68" spans="1:3" x14ac:dyDescent="0.25">
      <c r="A68" s="17" t="s">
        <v>995</v>
      </c>
      <c r="B68" s="18">
        <v>7235.2134999999998</v>
      </c>
      <c r="C68" s="18">
        <v>64</v>
      </c>
    </row>
    <row r="69" spans="1:3" x14ac:dyDescent="0.25">
      <c r="A69" s="17" t="s">
        <v>1057</v>
      </c>
      <c r="B69" s="18">
        <v>7105.3528000000006</v>
      </c>
      <c r="C69" s="18">
        <v>65</v>
      </c>
    </row>
    <row r="70" spans="1:3" x14ac:dyDescent="0.25">
      <c r="A70" s="17" t="s">
        <v>1301</v>
      </c>
      <c r="B70" s="18">
        <v>6732.4334000000008</v>
      </c>
      <c r="C70" s="18">
        <v>66</v>
      </c>
    </row>
    <row r="71" spans="1:3" x14ac:dyDescent="0.25">
      <c r="A71" s="17" t="s">
        <v>1002</v>
      </c>
      <c r="B71" s="18">
        <v>6066.54648</v>
      </c>
      <c r="C71" s="18">
        <v>67</v>
      </c>
    </row>
    <row r="72" spans="1:3" x14ac:dyDescent="0.25">
      <c r="A72" s="17" t="s">
        <v>828</v>
      </c>
      <c r="B72" s="18">
        <v>5960.3340000000007</v>
      </c>
      <c r="C72" s="18">
        <v>68</v>
      </c>
    </row>
    <row r="73" spans="1:3" x14ac:dyDescent="0.25">
      <c r="A73" s="17" t="s">
        <v>1058</v>
      </c>
      <c r="B73" s="18">
        <v>5610.0923999999995</v>
      </c>
      <c r="C73" s="18">
        <v>69</v>
      </c>
    </row>
    <row r="74" spans="1:3" x14ac:dyDescent="0.25">
      <c r="A74" s="17" t="s">
        <v>952</v>
      </c>
      <c r="B74" s="18">
        <v>5533.6230000000005</v>
      </c>
      <c r="C74" s="18">
        <v>70</v>
      </c>
    </row>
    <row r="75" spans="1:3" x14ac:dyDescent="0.25">
      <c r="A75" s="17" t="s">
        <v>782</v>
      </c>
      <c r="B75" s="18">
        <v>4790.1068000000005</v>
      </c>
      <c r="C75" s="18">
        <v>71</v>
      </c>
    </row>
    <row r="76" spans="1:3" x14ac:dyDescent="0.25">
      <c r="A76" s="17" t="s">
        <v>1266</v>
      </c>
      <c r="B76" s="18">
        <v>4737.2198399999997</v>
      </c>
      <c r="C76" s="18">
        <v>72</v>
      </c>
    </row>
    <row r="77" spans="1:3" x14ac:dyDescent="0.25">
      <c r="A77" s="17" t="s">
        <v>1294</v>
      </c>
      <c r="B77" s="18">
        <v>4577.1480000000001</v>
      </c>
      <c r="C77" s="18">
        <v>73</v>
      </c>
    </row>
    <row r="78" spans="1:3" x14ac:dyDescent="0.25">
      <c r="A78" s="17" t="s">
        <v>784</v>
      </c>
      <c r="B78" s="18">
        <v>4569.8508000000002</v>
      </c>
      <c r="C78" s="18">
        <v>74</v>
      </c>
    </row>
    <row r="79" spans="1:3" x14ac:dyDescent="0.25">
      <c r="A79" s="17" t="s">
        <v>856</v>
      </c>
      <c r="B79" s="18">
        <v>4417.8334199999999</v>
      </c>
      <c r="C79" s="18">
        <v>75</v>
      </c>
    </row>
    <row r="80" spans="1:3" x14ac:dyDescent="0.25">
      <c r="A80" s="17" t="s">
        <v>1083</v>
      </c>
      <c r="B80" s="18">
        <v>4071.8</v>
      </c>
      <c r="C80" s="18">
        <v>76</v>
      </c>
    </row>
    <row r="81" spans="1:3" x14ac:dyDescent="0.25">
      <c r="A81" s="17" t="s">
        <v>1063</v>
      </c>
      <c r="B81" s="18">
        <v>3021.5016000000001</v>
      </c>
      <c r="C81" s="18">
        <v>77</v>
      </c>
    </row>
    <row r="82" spans="1:3" x14ac:dyDescent="0.25">
      <c r="A82" s="17" t="s">
        <v>1190</v>
      </c>
      <c r="B82" s="18">
        <v>2719.8567000000003</v>
      </c>
      <c r="C82" s="18">
        <v>78</v>
      </c>
    </row>
    <row r="83" spans="1:3" x14ac:dyDescent="0.25">
      <c r="A83" s="17" t="s">
        <v>838</v>
      </c>
      <c r="B83" s="18">
        <v>2117.4834999999998</v>
      </c>
      <c r="C83" s="18">
        <v>79</v>
      </c>
    </row>
    <row r="84" spans="1:3" x14ac:dyDescent="0.25">
      <c r="A84" s="17" t="s">
        <v>1214</v>
      </c>
      <c r="B84" s="18">
        <v>1547.3500000000001</v>
      </c>
      <c r="C84" s="18">
        <v>80</v>
      </c>
    </row>
    <row r="85" spans="1:3" x14ac:dyDescent="0.25">
      <c r="A85" s="17" t="s">
        <v>864</v>
      </c>
      <c r="B85" s="18">
        <v>1446.9507000000001</v>
      </c>
      <c r="C85" s="18">
        <v>81</v>
      </c>
    </row>
    <row r="86" spans="1:3" x14ac:dyDescent="0.25">
      <c r="A86" s="17" t="s">
        <v>1343</v>
      </c>
      <c r="B86" s="18">
        <v>1030.7574</v>
      </c>
      <c r="C86" s="18">
        <v>82</v>
      </c>
    </row>
    <row r="87" spans="1:3" x14ac:dyDescent="0.25">
      <c r="A87" s="17" t="s">
        <v>1241</v>
      </c>
      <c r="B87" s="18">
        <v>1010.3759200000001</v>
      </c>
      <c r="C87" s="18">
        <v>83</v>
      </c>
    </row>
    <row r="88" spans="1:3" x14ac:dyDescent="0.25">
      <c r="A88" s="17" t="s">
        <v>1185</v>
      </c>
      <c r="B88" s="18">
        <v>930.17574000000002</v>
      </c>
      <c r="C88" s="18">
        <v>84</v>
      </c>
    </row>
    <row r="89" spans="1:3" x14ac:dyDescent="0.25">
      <c r="A89" s="17" t="s">
        <v>946</v>
      </c>
      <c r="B89" s="18">
        <v>908.03700000000003</v>
      </c>
      <c r="C89" s="18">
        <v>85</v>
      </c>
    </row>
    <row r="90" spans="1:3" x14ac:dyDescent="0.25">
      <c r="A90" s="17" t="s">
        <v>834</v>
      </c>
      <c r="B90" s="18">
        <v>549.80010000000004</v>
      </c>
      <c r="C90" s="18">
        <v>86</v>
      </c>
    </row>
    <row r="91" spans="1:3" x14ac:dyDescent="0.25">
      <c r="A91" s="17" t="s">
        <v>783</v>
      </c>
      <c r="B91" s="18">
        <v>272.98599999999999</v>
      </c>
      <c r="C91" s="18">
        <v>87</v>
      </c>
    </row>
    <row r="92" spans="1:3" x14ac:dyDescent="0.25">
      <c r="A92" s="17" t="s">
        <v>905</v>
      </c>
      <c r="B92" s="18">
        <v>18.659839999999999</v>
      </c>
      <c r="C92" s="18">
        <v>88</v>
      </c>
    </row>
    <row r="93" spans="1:3" x14ac:dyDescent="0.25">
      <c r="A93" s="16" t="s">
        <v>719</v>
      </c>
      <c r="B93" s="18">
        <v>1545646.997579999</v>
      </c>
      <c r="C93" s="18"/>
    </row>
    <row r="94" spans="1:3" x14ac:dyDescent="0.25">
      <c r="A94" s="17" t="s">
        <v>962</v>
      </c>
      <c r="B94" s="18">
        <v>139277.83032000001</v>
      </c>
      <c r="C94" s="18">
        <v>1</v>
      </c>
    </row>
    <row r="95" spans="1:3" x14ac:dyDescent="0.25">
      <c r="A95" s="17" t="s">
        <v>1189</v>
      </c>
      <c r="B95" s="18">
        <v>84136.119600000005</v>
      </c>
      <c r="C95" s="18">
        <v>2</v>
      </c>
    </row>
    <row r="96" spans="1:3" x14ac:dyDescent="0.25">
      <c r="A96" s="17" t="s">
        <v>851</v>
      </c>
      <c r="B96" s="18">
        <v>65111.38614000001</v>
      </c>
      <c r="C96" s="18">
        <v>3</v>
      </c>
    </row>
    <row r="97" spans="1:3" x14ac:dyDescent="0.25">
      <c r="A97" s="17" t="s">
        <v>734</v>
      </c>
      <c r="B97" s="18">
        <v>60928.502359999999</v>
      </c>
      <c r="C97" s="18">
        <v>4</v>
      </c>
    </row>
    <row r="98" spans="1:3" x14ac:dyDescent="0.25">
      <c r="A98" s="17" t="s">
        <v>1236</v>
      </c>
      <c r="B98" s="18">
        <v>50296.415399999998</v>
      </c>
      <c r="C98" s="18">
        <v>5</v>
      </c>
    </row>
    <row r="99" spans="1:3" x14ac:dyDescent="0.25">
      <c r="A99" s="17" t="s">
        <v>1116</v>
      </c>
      <c r="B99" s="18">
        <v>48097.911050000002</v>
      </c>
      <c r="C99" s="18">
        <v>6</v>
      </c>
    </row>
    <row r="100" spans="1:3" x14ac:dyDescent="0.25">
      <c r="A100" s="17" t="s">
        <v>1342</v>
      </c>
      <c r="B100" s="18">
        <v>41419.524249999995</v>
      </c>
      <c r="C100" s="18">
        <v>7</v>
      </c>
    </row>
    <row r="101" spans="1:3" x14ac:dyDescent="0.25">
      <c r="A101" s="17" t="s">
        <v>1352</v>
      </c>
      <c r="B101" s="18">
        <v>40476.013200000001</v>
      </c>
      <c r="C101" s="18">
        <v>8</v>
      </c>
    </row>
    <row r="102" spans="1:3" x14ac:dyDescent="0.25">
      <c r="A102" s="17" t="s">
        <v>785</v>
      </c>
      <c r="B102" s="18">
        <v>33687.501800000005</v>
      </c>
      <c r="C102" s="18">
        <v>9</v>
      </c>
    </row>
    <row r="103" spans="1:3" x14ac:dyDescent="0.25">
      <c r="A103" s="17" t="s">
        <v>1238</v>
      </c>
      <c r="B103" s="18">
        <v>33308.550000000003</v>
      </c>
      <c r="C103" s="18">
        <v>10</v>
      </c>
    </row>
    <row r="104" spans="1:3" x14ac:dyDescent="0.25">
      <c r="A104" s="17" t="s">
        <v>1229</v>
      </c>
      <c r="B104" s="18">
        <v>32335.21802</v>
      </c>
      <c r="C104" s="18">
        <v>11</v>
      </c>
    </row>
    <row r="105" spans="1:3" x14ac:dyDescent="0.25">
      <c r="A105" s="17" t="s">
        <v>786</v>
      </c>
      <c r="B105" s="18">
        <v>27701.570400000001</v>
      </c>
      <c r="C105" s="18">
        <v>12</v>
      </c>
    </row>
    <row r="106" spans="1:3" x14ac:dyDescent="0.25">
      <c r="A106" s="17" t="s">
        <v>835</v>
      </c>
      <c r="B106" s="18">
        <v>27676.35</v>
      </c>
      <c r="C106" s="18">
        <v>13</v>
      </c>
    </row>
    <row r="107" spans="1:3" x14ac:dyDescent="0.25">
      <c r="A107" s="17" t="s">
        <v>759</v>
      </c>
      <c r="B107" s="18">
        <v>27331.829999999998</v>
      </c>
      <c r="C107" s="18">
        <v>14</v>
      </c>
    </row>
    <row r="108" spans="1:3" x14ac:dyDescent="0.25">
      <c r="A108" s="17" t="s">
        <v>1073</v>
      </c>
      <c r="B108" s="18">
        <v>27158.894079999998</v>
      </c>
      <c r="C108" s="18">
        <v>15</v>
      </c>
    </row>
    <row r="109" spans="1:3" x14ac:dyDescent="0.25">
      <c r="A109" s="17" t="s">
        <v>1049</v>
      </c>
      <c r="B109" s="18">
        <v>26015.449459999996</v>
      </c>
      <c r="C109" s="18">
        <v>16</v>
      </c>
    </row>
    <row r="110" spans="1:3" x14ac:dyDescent="0.25">
      <c r="A110" s="17" t="s">
        <v>1025</v>
      </c>
      <c r="B110" s="18">
        <v>25577.274079999999</v>
      </c>
      <c r="C110" s="18">
        <v>17</v>
      </c>
    </row>
    <row r="111" spans="1:3" x14ac:dyDescent="0.25">
      <c r="A111" s="17" t="s">
        <v>1192</v>
      </c>
      <c r="B111" s="18">
        <v>25269.09</v>
      </c>
      <c r="C111" s="18">
        <v>18</v>
      </c>
    </row>
    <row r="112" spans="1:3" x14ac:dyDescent="0.25">
      <c r="A112" s="17" t="s">
        <v>1310</v>
      </c>
      <c r="B112" s="18">
        <v>25131.155999999999</v>
      </c>
      <c r="C112" s="18">
        <v>19</v>
      </c>
    </row>
    <row r="113" spans="1:3" x14ac:dyDescent="0.25">
      <c r="A113" s="17" t="s">
        <v>749</v>
      </c>
      <c r="B113" s="18">
        <v>24894.430559999997</v>
      </c>
      <c r="C113" s="18">
        <v>20</v>
      </c>
    </row>
    <row r="114" spans="1:3" x14ac:dyDescent="0.25">
      <c r="A114" s="17" t="s">
        <v>1183</v>
      </c>
      <c r="B114" s="18">
        <v>24321.57</v>
      </c>
      <c r="C114" s="18">
        <v>21</v>
      </c>
    </row>
    <row r="115" spans="1:3" x14ac:dyDescent="0.25">
      <c r="A115" s="17" t="s">
        <v>882</v>
      </c>
      <c r="B115" s="18">
        <v>24147.922500000001</v>
      </c>
      <c r="C115" s="18">
        <v>22</v>
      </c>
    </row>
    <row r="116" spans="1:3" x14ac:dyDescent="0.25">
      <c r="A116" s="17" t="s">
        <v>1176</v>
      </c>
      <c r="B116" s="18">
        <v>23694.405119999999</v>
      </c>
      <c r="C116" s="18">
        <v>23</v>
      </c>
    </row>
    <row r="117" spans="1:3" x14ac:dyDescent="0.25">
      <c r="A117" s="17" t="s">
        <v>985</v>
      </c>
      <c r="B117" s="18">
        <v>22882.675440000003</v>
      </c>
      <c r="C117" s="18">
        <v>24</v>
      </c>
    </row>
    <row r="118" spans="1:3" x14ac:dyDescent="0.25">
      <c r="A118" s="17" t="s">
        <v>803</v>
      </c>
      <c r="B118" s="18">
        <v>21787.936199999996</v>
      </c>
      <c r="C118" s="18">
        <v>25</v>
      </c>
    </row>
    <row r="119" spans="1:3" x14ac:dyDescent="0.25">
      <c r="A119" s="17" t="s">
        <v>1090</v>
      </c>
      <c r="B119" s="18">
        <v>21584.693520000001</v>
      </c>
      <c r="C119" s="18">
        <v>26</v>
      </c>
    </row>
    <row r="120" spans="1:3" x14ac:dyDescent="0.25">
      <c r="A120" s="17" t="s">
        <v>1118</v>
      </c>
      <c r="B120" s="18">
        <v>19800.88896</v>
      </c>
      <c r="C120" s="18">
        <v>27</v>
      </c>
    </row>
    <row r="121" spans="1:3" x14ac:dyDescent="0.25">
      <c r="A121" s="17" t="s">
        <v>981</v>
      </c>
      <c r="B121" s="18">
        <v>19073.059649999999</v>
      </c>
      <c r="C121" s="18">
        <v>28</v>
      </c>
    </row>
    <row r="122" spans="1:3" x14ac:dyDescent="0.25">
      <c r="A122" s="17" t="s">
        <v>761</v>
      </c>
      <c r="B122" s="18">
        <v>18957.37689</v>
      </c>
      <c r="C122" s="18">
        <v>29</v>
      </c>
    </row>
    <row r="123" spans="1:3" x14ac:dyDescent="0.25">
      <c r="A123" s="17" t="s">
        <v>1092</v>
      </c>
      <c r="B123" s="18">
        <v>18554.370299999999</v>
      </c>
      <c r="C123" s="18">
        <v>30</v>
      </c>
    </row>
    <row r="124" spans="1:3" x14ac:dyDescent="0.25">
      <c r="A124" s="17" t="s">
        <v>935</v>
      </c>
      <c r="B124" s="18">
        <v>18061.204320000004</v>
      </c>
      <c r="C124" s="18">
        <v>31</v>
      </c>
    </row>
    <row r="125" spans="1:3" x14ac:dyDescent="0.25">
      <c r="A125" s="17" t="s">
        <v>769</v>
      </c>
      <c r="B125" s="18">
        <v>17930.494560000003</v>
      </c>
      <c r="C125" s="18">
        <v>32</v>
      </c>
    </row>
    <row r="126" spans="1:3" x14ac:dyDescent="0.25">
      <c r="A126" s="17" t="s">
        <v>992</v>
      </c>
      <c r="B126" s="18">
        <v>17594.028880000002</v>
      </c>
      <c r="C126" s="18">
        <v>33</v>
      </c>
    </row>
    <row r="127" spans="1:3" x14ac:dyDescent="0.25">
      <c r="A127" s="17" t="s">
        <v>1289</v>
      </c>
      <c r="B127" s="18">
        <v>17540.201120000002</v>
      </c>
      <c r="C127" s="18">
        <v>34</v>
      </c>
    </row>
    <row r="128" spans="1:3" x14ac:dyDescent="0.25">
      <c r="A128" s="17" t="s">
        <v>1126</v>
      </c>
      <c r="B128" s="18">
        <v>16946.091840000001</v>
      </c>
      <c r="C128" s="18">
        <v>35</v>
      </c>
    </row>
    <row r="129" spans="1:3" x14ac:dyDescent="0.25">
      <c r="A129" s="17" t="s">
        <v>1196</v>
      </c>
      <c r="B129" s="18">
        <v>15374.563199999999</v>
      </c>
      <c r="C129" s="18">
        <v>36</v>
      </c>
    </row>
    <row r="130" spans="1:3" x14ac:dyDescent="0.25">
      <c r="A130" s="17" t="s">
        <v>1102</v>
      </c>
      <c r="B130" s="18">
        <v>15348.702599999999</v>
      </c>
      <c r="C130" s="18">
        <v>37</v>
      </c>
    </row>
    <row r="131" spans="1:3" x14ac:dyDescent="0.25">
      <c r="A131" s="17" t="s">
        <v>959</v>
      </c>
      <c r="B131" s="18">
        <v>14269.848599999999</v>
      </c>
      <c r="C131" s="18">
        <v>38</v>
      </c>
    </row>
    <row r="132" spans="1:3" x14ac:dyDescent="0.25">
      <c r="A132" s="17" t="s">
        <v>811</v>
      </c>
      <c r="B132" s="18">
        <v>14197.064400000001</v>
      </c>
      <c r="C132" s="18">
        <v>39</v>
      </c>
    </row>
    <row r="133" spans="1:3" x14ac:dyDescent="0.25">
      <c r="A133" s="17" t="s">
        <v>1349</v>
      </c>
      <c r="B133" s="18">
        <v>13983.752729999998</v>
      </c>
      <c r="C133" s="18">
        <v>40</v>
      </c>
    </row>
    <row r="134" spans="1:3" x14ac:dyDescent="0.25">
      <c r="A134" s="17" t="s">
        <v>945</v>
      </c>
      <c r="B134" s="18">
        <v>13519.529099999998</v>
      </c>
      <c r="C134" s="18">
        <v>41</v>
      </c>
    </row>
    <row r="135" spans="1:3" x14ac:dyDescent="0.25">
      <c r="A135" s="17" t="s">
        <v>1122</v>
      </c>
      <c r="B135" s="18">
        <v>13185.543</v>
      </c>
      <c r="C135" s="18">
        <v>42</v>
      </c>
    </row>
    <row r="136" spans="1:3" x14ac:dyDescent="0.25">
      <c r="A136" s="17" t="s">
        <v>810</v>
      </c>
      <c r="B136" s="18">
        <v>13146.470699999998</v>
      </c>
      <c r="C136" s="18">
        <v>43</v>
      </c>
    </row>
    <row r="137" spans="1:3" x14ac:dyDescent="0.25">
      <c r="A137" s="17" t="s">
        <v>975</v>
      </c>
      <c r="B137" s="18">
        <v>12186.368600000002</v>
      </c>
      <c r="C137" s="18">
        <v>44</v>
      </c>
    </row>
    <row r="138" spans="1:3" x14ac:dyDescent="0.25">
      <c r="A138" s="17" t="s">
        <v>830</v>
      </c>
      <c r="B138" s="18">
        <v>12080.215199999999</v>
      </c>
      <c r="C138" s="18">
        <v>45</v>
      </c>
    </row>
    <row r="139" spans="1:3" x14ac:dyDescent="0.25">
      <c r="A139" s="17" t="s">
        <v>762</v>
      </c>
      <c r="B139" s="18">
        <v>11995.153920000001</v>
      </c>
      <c r="C139" s="18">
        <v>46</v>
      </c>
    </row>
    <row r="140" spans="1:3" x14ac:dyDescent="0.25">
      <c r="A140" s="17" t="s">
        <v>1314</v>
      </c>
      <c r="B140" s="18">
        <v>11742.8703</v>
      </c>
      <c r="C140" s="18">
        <v>47</v>
      </c>
    </row>
    <row r="141" spans="1:3" x14ac:dyDescent="0.25">
      <c r="A141" s="17" t="s">
        <v>1014</v>
      </c>
      <c r="B141" s="18">
        <v>10456.416880000001</v>
      </c>
      <c r="C141" s="18">
        <v>48</v>
      </c>
    </row>
    <row r="142" spans="1:3" x14ac:dyDescent="0.25">
      <c r="A142" s="17" t="s">
        <v>755</v>
      </c>
      <c r="B142" s="18">
        <v>9805.8573800000013</v>
      </c>
      <c r="C142" s="18">
        <v>49</v>
      </c>
    </row>
    <row r="143" spans="1:3" x14ac:dyDescent="0.25">
      <c r="A143" s="17" t="s">
        <v>861</v>
      </c>
      <c r="B143" s="18">
        <v>9698.1638399999993</v>
      </c>
      <c r="C143" s="18">
        <v>50</v>
      </c>
    </row>
    <row r="144" spans="1:3" x14ac:dyDescent="0.25">
      <c r="A144" s="17" t="s">
        <v>794</v>
      </c>
      <c r="B144" s="18">
        <v>8930.7124999999996</v>
      </c>
      <c r="C144" s="18">
        <v>51</v>
      </c>
    </row>
    <row r="145" spans="1:3" x14ac:dyDescent="0.25">
      <c r="A145" s="17" t="s">
        <v>896</v>
      </c>
      <c r="B145" s="18">
        <v>8928.9795999999988</v>
      </c>
      <c r="C145" s="18">
        <v>52</v>
      </c>
    </row>
    <row r="146" spans="1:3" x14ac:dyDescent="0.25">
      <c r="A146" s="17" t="s">
        <v>850</v>
      </c>
      <c r="B146" s="18">
        <v>8909.8587200000002</v>
      </c>
      <c r="C146" s="18">
        <v>53</v>
      </c>
    </row>
    <row r="147" spans="1:3" x14ac:dyDescent="0.25">
      <c r="A147" s="17" t="s">
        <v>1019</v>
      </c>
      <c r="B147" s="18">
        <v>8903.4839999999986</v>
      </c>
      <c r="C147" s="18">
        <v>54</v>
      </c>
    </row>
    <row r="148" spans="1:3" x14ac:dyDescent="0.25">
      <c r="A148" s="17" t="s">
        <v>1040</v>
      </c>
      <c r="B148" s="18">
        <v>8780.5809000000008</v>
      </c>
      <c r="C148" s="18">
        <v>55</v>
      </c>
    </row>
    <row r="149" spans="1:3" x14ac:dyDescent="0.25">
      <c r="A149" s="17" t="s">
        <v>1319</v>
      </c>
      <c r="B149" s="18">
        <v>8128.5187499999993</v>
      </c>
      <c r="C149" s="18">
        <v>56</v>
      </c>
    </row>
    <row r="150" spans="1:3" x14ac:dyDescent="0.25">
      <c r="A150" s="17" t="s">
        <v>1128</v>
      </c>
      <c r="B150" s="18">
        <v>7832.0010999999995</v>
      </c>
      <c r="C150" s="18">
        <v>57</v>
      </c>
    </row>
    <row r="151" spans="1:3" x14ac:dyDescent="0.25">
      <c r="A151" s="17" t="s">
        <v>1244</v>
      </c>
      <c r="B151" s="18">
        <v>7399.4832000000006</v>
      </c>
      <c r="C151" s="18">
        <v>58</v>
      </c>
    </row>
    <row r="152" spans="1:3" x14ac:dyDescent="0.25">
      <c r="A152" s="17" t="s">
        <v>1161</v>
      </c>
      <c r="B152" s="18">
        <v>7340.3891399999993</v>
      </c>
      <c r="C152" s="18">
        <v>59</v>
      </c>
    </row>
    <row r="153" spans="1:3" x14ac:dyDescent="0.25">
      <c r="A153" s="17" t="s">
        <v>800</v>
      </c>
      <c r="B153" s="18">
        <v>6874.4828600000001</v>
      </c>
      <c r="C153" s="18">
        <v>60</v>
      </c>
    </row>
    <row r="154" spans="1:3" x14ac:dyDescent="0.25">
      <c r="A154" s="17" t="s">
        <v>1284</v>
      </c>
      <c r="B154" s="18">
        <v>6766.9829999999993</v>
      </c>
      <c r="C154" s="18">
        <v>61</v>
      </c>
    </row>
    <row r="155" spans="1:3" x14ac:dyDescent="0.25">
      <c r="A155" s="17" t="s">
        <v>931</v>
      </c>
      <c r="B155" s="18">
        <v>6702.3501999999999</v>
      </c>
      <c r="C155" s="18">
        <v>62</v>
      </c>
    </row>
    <row r="156" spans="1:3" x14ac:dyDescent="0.25">
      <c r="A156" s="17" t="s">
        <v>1215</v>
      </c>
      <c r="B156" s="18">
        <v>6664.0999999999995</v>
      </c>
      <c r="C156" s="18">
        <v>63</v>
      </c>
    </row>
    <row r="157" spans="1:3" x14ac:dyDescent="0.25">
      <c r="A157" s="17" t="s">
        <v>1248</v>
      </c>
      <c r="B157" s="18">
        <v>6435.2555999999995</v>
      </c>
      <c r="C157" s="18">
        <v>64</v>
      </c>
    </row>
    <row r="158" spans="1:3" x14ac:dyDescent="0.25">
      <c r="A158" s="17" t="s">
        <v>826</v>
      </c>
      <c r="B158" s="18">
        <v>6324.5775999999996</v>
      </c>
      <c r="C158" s="18">
        <v>65</v>
      </c>
    </row>
    <row r="159" spans="1:3" x14ac:dyDescent="0.25">
      <c r="A159" s="17" t="s">
        <v>1304</v>
      </c>
      <c r="B159" s="18">
        <v>6137.8019999999988</v>
      </c>
      <c r="C159" s="18">
        <v>66</v>
      </c>
    </row>
    <row r="160" spans="1:3" x14ac:dyDescent="0.25">
      <c r="A160" s="17" t="s">
        <v>1209</v>
      </c>
      <c r="B160" s="18">
        <v>6063.2517199999993</v>
      </c>
      <c r="C160" s="18">
        <v>67</v>
      </c>
    </row>
    <row r="161" spans="1:3" x14ac:dyDescent="0.25">
      <c r="A161" s="17" t="s">
        <v>886</v>
      </c>
      <c r="B161" s="18">
        <v>5650.1744000000008</v>
      </c>
      <c r="C161" s="18">
        <v>68</v>
      </c>
    </row>
    <row r="162" spans="1:3" x14ac:dyDescent="0.25">
      <c r="A162" s="17" t="s">
        <v>807</v>
      </c>
      <c r="B162" s="18">
        <v>5331.6696000000002</v>
      </c>
      <c r="C162" s="18">
        <v>69</v>
      </c>
    </row>
    <row r="163" spans="1:3" x14ac:dyDescent="0.25">
      <c r="A163" s="17" t="s">
        <v>737</v>
      </c>
      <c r="B163" s="18">
        <v>4968.5039999999999</v>
      </c>
      <c r="C163" s="18">
        <v>70</v>
      </c>
    </row>
    <row r="164" spans="1:3" x14ac:dyDescent="0.25">
      <c r="A164" s="17" t="s">
        <v>1417</v>
      </c>
      <c r="B164" s="18">
        <v>4866.3287999999993</v>
      </c>
      <c r="C164" s="18">
        <v>71</v>
      </c>
    </row>
    <row r="165" spans="1:3" x14ac:dyDescent="0.25">
      <c r="A165" s="17" t="s">
        <v>947</v>
      </c>
      <c r="B165" s="18">
        <v>4503.4363999999996</v>
      </c>
      <c r="C165" s="18">
        <v>72</v>
      </c>
    </row>
    <row r="166" spans="1:3" x14ac:dyDescent="0.25">
      <c r="A166" s="17" t="s">
        <v>799</v>
      </c>
      <c r="B166" s="18">
        <v>4427.9172000000008</v>
      </c>
      <c r="C166" s="18">
        <v>73</v>
      </c>
    </row>
    <row r="167" spans="1:3" x14ac:dyDescent="0.25">
      <c r="A167" s="17" t="s">
        <v>1201</v>
      </c>
      <c r="B167" s="18">
        <v>4212.3745999999992</v>
      </c>
      <c r="C167" s="18">
        <v>74</v>
      </c>
    </row>
    <row r="168" spans="1:3" x14ac:dyDescent="0.25">
      <c r="A168" s="17" t="s">
        <v>1235</v>
      </c>
      <c r="B168" s="18">
        <v>3525.5505600000001</v>
      </c>
      <c r="C168" s="18">
        <v>75</v>
      </c>
    </row>
    <row r="169" spans="1:3" x14ac:dyDescent="0.25">
      <c r="A169" s="17" t="s">
        <v>1293</v>
      </c>
      <c r="B169" s="18">
        <v>3378.1478400000001</v>
      </c>
      <c r="C169" s="18">
        <v>76</v>
      </c>
    </row>
    <row r="170" spans="1:3" x14ac:dyDescent="0.25">
      <c r="A170" s="17" t="s">
        <v>1051</v>
      </c>
      <c r="B170" s="18">
        <v>2373.9623200000001</v>
      </c>
      <c r="C170" s="18">
        <v>77</v>
      </c>
    </row>
    <row r="171" spans="1:3" x14ac:dyDescent="0.25">
      <c r="A171" s="17" t="s">
        <v>894</v>
      </c>
      <c r="B171" s="18">
        <v>2316.2621999999997</v>
      </c>
      <c r="C171" s="18">
        <v>78</v>
      </c>
    </row>
    <row r="172" spans="1:3" x14ac:dyDescent="0.25">
      <c r="A172" s="17" t="s">
        <v>1332</v>
      </c>
      <c r="B172" s="18">
        <v>2077.46</v>
      </c>
      <c r="C172" s="18">
        <v>79</v>
      </c>
    </row>
    <row r="173" spans="1:3" x14ac:dyDescent="0.25">
      <c r="A173" s="17" t="s">
        <v>849</v>
      </c>
      <c r="B173" s="18">
        <v>2072.9258400000003</v>
      </c>
      <c r="C173" s="18">
        <v>80</v>
      </c>
    </row>
    <row r="174" spans="1:3" x14ac:dyDescent="0.25">
      <c r="A174" s="17" t="s">
        <v>1188</v>
      </c>
      <c r="B174" s="18">
        <v>1808.04592</v>
      </c>
      <c r="C174" s="18">
        <v>81</v>
      </c>
    </row>
    <row r="175" spans="1:3" x14ac:dyDescent="0.25">
      <c r="A175" s="17" t="s">
        <v>1184</v>
      </c>
      <c r="B175" s="18">
        <v>1662.6945600000001</v>
      </c>
      <c r="C175" s="18">
        <v>82</v>
      </c>
    </row>
    <row r="176" spans="1:3" x14ac:dyDescent="0.25">
      <c r="A176" s="17" t="s">
        <v>812</v>
      </c>
      <c r="B176" s="18">
        <v>1654.8966000000003</v>
      </c>
      <c r="C176" s="18">
        <v>83</v>
      </c>
    </row>
    <row r="177" spans="1:3" x14ac:dyDescent="0.25">
      <c r="A177" s="17" t="s">
        <v>1243</v>
      </c>
      <c r="B177" s="18">
        <v>855.72881999999993</v>
      </c>
      <c r="C177" s="18">
        <v>84</v>
      </c>
    </row>
    <row r="178" spans="1:3" x14ac:dyDescent="0.25">
      <c r="A178" s="17" t="s">
        <v>852</v>
      </c>
      <c r="B178" s="18">
        <v>853.32276999999988</v>
      </c>
      <c r="C178" s="18">
        <v>85</v>
      </c>
    </row>
    <row r="179" spans="1:3" x14ac:dyDescent="0.25">
      <c r="A179" s="17" t="s">
        <v>1048</v>
      </c>
      <c r="B179" s="18">
        <v>703.2428000000001</v>
      </c>
      <c r="C179" s="18">
        <v>86</v>
      </c>
    </row>
    <row r="180" spans="1:3" x14ac:dyDescent="0.25">
      <c r="A180" s="17" t="s">
        <v>955</v>
      </c>
      <c r="B180" s="18">
        <v>667.15008</v>
      </c>
      <c r="C180" s="18">
        <v>87</v>
      </c>
    </row>
    <row r="181" spans="1:3" x14ac:dyDescent="0.25">
      <c r="A181" s="17" t="s">
        <v>1298</v>
      </c>
      <c r="B181" s="18">
        <v>496.98660000000001</v>
      </c>
      <c r="C181" s="18">
        <v>88</v>
      </c>
    </row>
    <row r="182" spans="1:3" x14ac:dyDescent="0.25">
      <c r="A182" s="17" t="s">
        <v>902</v>
      </c>
      <c r="B182" s="18">
        <v>321.93290999999999</v>
      </c>
      <c r="C182" s="18">
        <v>89</v>
      </c>
    </row>
    <row r="183" spans="1:3" x14ac:dyDescent="0.25">
      <c r="A183" s="17" t="s">
        <v>897</v>
      </c>
      <c r="B183" s="18">
        <v>97.0154</v>
      </c>
      <c r="C183" s="18">
        <v>90</v>
      </c>
    </row>
    <row r="184" spans="1:3" x14ac:dyDescent="0.25">
      <c r="A184" s="16" t="s">
        <v>723</v>
      </c>
      <c r="B184" s="18">
        <v>1711094.3776</v>
      </c>
      <c r="C184" s="18"/>
    </row>
    <row r="185" spans="1:3" x14ac:dyDescent="0.25">
      <c r="A185" s="17" t="s">
        <v>1146</v>
      </c>
      <c r="B185" s="18">
        <v>102122.94203999999</v>
      </c>
      <c r="C185" s="18">
        <v>1</v>
      </c>
    </row>
    <row r="186" spans="1:3" x14ac:dyDescent="0.25">
      <c r="A186" s="17" t="s">
        <v>1087</v>
      </c>
      <c r="B186" s="18">
        <v>82514.711519999997</v>
      </c>
      <c r="C186" s="18">
        <v>2</v>
      </c>
    </row>
    <row r="187" spans="1:3" x14ac:dyDescent="0.25">
      <c r="A187" s="17" t="s">
        <v>842</v>
      </c>
      <c r="B187" s="18">
        <v>65119.329599999997</v>
      </c>
      <c r="C187" s="18">
        <v>3</v>
      </c>
    </row>
    <row r="188" spans="1:3" x14ac:dyDescent="0.25">
      <c r="A188" s="17" t="s">
        <v>1112</v>
      </c>
      <c r="B188" s="18">
        <v>65066.934229999999</v>
      </c>
      <c r="C188" s="18">
        <v>4</v>
      </c>
    </row>
    <row r="189" spans="1:3" x14ac:dyDescent="0.25">
      <c r="A189" s="17" t="s">
        <v>1245</v>
      </c>
      <c r="B189" s="18">
        <v>64192.976999999999</v>
      </c>
      <c r="C189" s="18">
        <v>5</v>
      </c>
    </row>
    <row r="190" spans="1:3" x14ac:dyDescent="0.25">
      <c r="A190" s="17" t="s">
        <v>1252</v>
      </c>
      <c r="B190" s="18">
        <v>58526.83122</v>
      </c>
      <c r="C190" s="18">
        <v>6</v>
      </c>
    </row>
    <row r="191" spans="1:3" x14ac:dyDescent="0.25">
      <c r="A191" s="17" t="s">
        <v>1155</v>
      </c>
      <c r="B191" s="18">
        <v>58057.65</v>
      </c>
      <c r="C191" s="18">
        <v>7</v>
      </c>
    </row>
    <row r="192" spans="1:3" x14ac:dyDescent="0.25">
      <c r="A192" s="17" t="s">
        <v>1290</v>
      </c>
      <c r="B192" s="18">
        <v>44173.627960000005</v>
      </c>
      <c r="C192" s="18">
        <v>8</v>
      </c>
    </row>
    <row r="193" spans="1:3" x14ac:dyDescent="0.25">
      <c r="A193" s="17" t="s">
        <v>1258</v>
      </c>
      <c r="B193" s="18">
        <v>42433.254400000005</v>
      </c>
      <c r="C193" s="18">
        <v>9</v>
      </c>
    </row>
    <row r="194" spans="1:3" x14ac:dyDescent="0.25">
      <c r="A194" s="17" t="s">
        <v>1202</v>
      </c>
      <c r="B194" s="18">
        <v>41914.215840000004</v>
      </c>
      <c r="C194" s="18">
        <v>10</v>
      </c>
    </row>
    <row r="195" spans="1:3" x14ac:dyDescent="0.25">
      <c r="A195" s="17" t="s">
        <v>1306</v>
      </c>
      <c r="B195" s="18">
        <v>40563.321749999996</v>
      </c>
      <c r="C195" s="18">
        <v>11</v>
      </c>
    </row>
    <row r="196" spans="1:3" x14ac:dyDescent="0.25">
      <c r="A196" s="17" t="s">
        <v>989</v>
      </c>
      <c r="B196" s="18">
        <v>40139.874619999995</v>
      </c>
      <c r="C196" s="18">
        <v>12</v>
      </c>
    </row>
    <row r="197" spans="1:3" x14ac:dyDescent="0.25">
      <c r="A197" s="17" t="s">
        <v>744</v>
      </c>
      <c r="B197" s="18">
        <v>39263.702919999996</v>
      </c>
      <c r="C197" s="18">
        <v>13</v>
      </c>
    </row>
    <row r="198" spans="1:3" x14ac:dyDescent="0.25">
      <c r="A198" s="17" t="s">
        <v>1206</v>
      </c>
      <c r="B198" s="18">
        <v>36161.097000000002</v>
      </c>
      <c r="C198" s="18">
        <v>14</v>
      </c>
    </row>
    <row r="199" spans="1:3" x14ac:dyDescent="0.25">
      <c r="A199" s="17" t="s">
        <v>967</v>
      </c>
      <c r="B199" s="18">
        <v>34082.864639999993</v>
      </c>
      <c r="C199" s="18">
        <v>15</v>
      </c>
    </row>
    <row r="200" spans="1:3" x14ac:dyDescent="0.25">
      <c r="A200" s="17" t="s">
        <v>1323</v>
      </c>
      <c r="B200" s="18">
        <v>33938.142760000002</v>
      </c>
      <c r="C200" s="18">
        <v>16</v>
      </c>
    </row>
    <row r="201" spans="1:3" x14ac:dyDescent="0.25">
      <c r="A201" s="17" t="s">
        <v>898</v>
      </c>
      <c r="B201" s="18">
        <v>31556.187599999997</v>
      </c>
      <c r="C201" s="18">
        <v>17</v>
      </c>
    </row>
    <row r="202" spans="1:3" x14ac:dyDescent="0.25">
      <c r="A202" s="17" t="s">
        <v>1150</v>
      </c>
      <c r="B202" s="18">
        <v>30435.614999999998</v>
      </c>
      <c r="C202" s="18">
        <v>18</v>
      </c>
    </row>
    <row r="203" spans="1:3" x14ac:dyDescent="0.25">
      <c r="A203" s="17" t="s">
        <v>836</v>
      </c>
      <c r="B203" s="18">
        <v>30151.675319999998</v>
      </c>
      <c r="C203" s="18">
        <v>19</v>
      </c>
    </row>
    <row r="204" spans="1:3" x14ac:dyDescent="0.25">
      <c r="A204" s="17" t="s">
        <v>781</v>
      </c>
      <c r="B204" s="18">
        <v>29659.68995</v>
      </c>
      <c r="C204" s="18">
        <v>20</v>
      </c>
    </row>
    <row r="205" spans="1:3" x14ac:dyDescent="0.25">
      <c r="A205" s="17" t="s">
        <v>1054</v>
      </c>
      <c r="B205" s="18">
        <v>27756.432000000001</v>
      </c>
      <c r="C205" s="18">
        <v>21</v>
      </c>
    </row>
    <row r="206" spans="1:3" x14ac:dyDescent="0.25">
      <c r="A206" s="17" t="s">
        <v>789</v>
      </c>
      <c r="B206" s="18">
        <v>26304.275999999998</v>
      </c>
      <c r="C206" s="18">
        <v>22</v>
      </c>
    </row>
    <row r="207" spans="1:3" x14ac:dyDescent="0.25">
      <c r="A207" s="17" t="s">
        <v>824</v>
      </c>
      <c r="B207" s="18">
        <v>25502.910479999999</v>
      </c>
      <c r="C207" s="18">
        <v>23</v>
      </c>
    </row>
    <row r="208" spans="1:3" x14ac:dyDescent="0.25">
      <c r="A208" s="17" t="s">
        <v>917</v>
      </c>
      <c r="B208" s="18">
        <v>24374.594880000001</v>
      </c>
      <c r="C208" s="18">
        <v>24</v>
      </c>
    </row>
    <row r="209" spans="1:3" x14ac:dyDescent="0.25">
      <c r="A209" s="17" t="s">
        <v>980</v>
      </c>
      <c r="B209" s="18">
        <v>24161.205600000001</v>
      </c>
      <c r="C209" s="18">
        <v>25</v>
      </c>
    </row>
    <row r="210" spans="1:3" x14ac:dyDescent="0.25">
      <c r="A210" s="17" t="s">
        <v>745</v>
      </c>
      <c r="B210" s="18">
        <v>23782.310720000001</v>
      </c>
      <c r="C210" s="18">
        <v>26</v>
      </c>
    </row>
    <row r="211" spans="1:3" x14ac:dyDescent="0.25">
      <c r="A211" s="17" t="s">
        <v>1109</v>
      </c>
      <c r="B211" s="18">
        <v>22064.910300000003</v>
      </c>
      <c r="C211" s="18">
        <v>27</v>
      </c>
    </row>
    <row r="212" spans="1:3" x14ac:dyDescent="0.25">
      <c r="A212" s="17" t="s">
        <v>876</v>
      </c>
      <c r="B212" s="18">
        <v>21572.590500000002</v>
      </c>
      <c r="C212" s="18">
        <v>28</v>
      </c>
    </row>
    <row r="213" spans="1:3" x14ac:dyDescent="0.25">
      <c r="A213" s="17" t="s">
        <v>1020</v>
      </c>
      <c r="B213" s="18">
        <v>20455.985130000001</v>
      </c>
      <c r="C213" s="18">
        <v>29</v>
      </c>
    </row>
    <row r="214" spans="1:3" x14ac:dyDescent="0.25">
      <c r="A214" s="17" t="s">
        <v>748</v>
      </c>
      <c r="B214" s="18">
        <v>20225.2248</v>
      </c>
      <c r="C214" s="18">
        <v>30</v>
      </c>
    </row>
    <row r="215" spans="1:3" x14ac:dyDescent="0.25">
      <c r="A215" s="17" t="s">
        <v>797</v>
      </c>
      <c r="B215" s="18">
        <v>20171.63305</v>
      </c>
      <c r="C215" s="18">
        <v>31</v>
      </c>
    </row>
    <row r="216" spans="1:3" x14ac:dyDescent="0.25">
      <c r="A216" s="17" t="s">
        <v>1111</v>
      </c>
      <c r="B216" s="18">
        <v>19773.362699999998</v>
      </c>
      <c r="C216" s="18">
        <v>32</v>
      </c>
    </row>
    <row r="217" spans="1:3" x14ac:dyDescent="0.25">
      <c r="A217" s="17" t="s">
        <v>1264</v>
      </c>
      <c r="B217" s="18">
        <v>19581.87</v>
      </c>
      <c r="C217" s="18">
        <v>33</v>
      </c>
    </row>
    <row r="218" spans="1:3" x14ac:dyDescent="0.25">
      <c r="A218" s="17" t="s">
        <v>915</v>
      </c>
      <c r="B218" s="18">
        <v>19542.975350000001</v>
      </c>
      <c r="C218" s="18">
        <v>34</v>
      </c>
    </row>
    <row r="219" spans="1:3" x14ac:dyDescent="0.25">
      <c r="A219" s="17" t="s">
        <v>1296</v>
      </c>
      <c r="B219" s="18">
        <v>19139.594240000002</v>
      </c>
      <c r="C219" s="18">
        <v>35</v>
      </c>
    </row>
    <row r="220" spans="1:3" x14ac:dyDescent="0.25">
      <c r="A220" s="17" t="s">
        <v>1121</v>
      </c>
      <c r="B220" s="18">
        <v>18641.222160000001</v>
      </c>
      <c r="C220" s="18">
        <v>36</v>
      </c>
    </row>
    <row r="221" spans="1:3" x14ac:dyDescent="0.25">
      <c r="A221" s="17" t="s">
        <v>976</v>
      </c>
      <c r="B221" s="18">
        <v>17453.3436</v>
      </c>
      <c r="C221" s="18">
        <v>37</v>
      </c>
    </row>
    <row r="222" spans="1:3" x14ac:dyDescent="0.25">
      <c r="A222" s="17" t="s">
        <v>1009</v>
      </c>
      <c r="B222" s="18">
        <v>15505.479600000001</v>
      </c>
      <c r="C222" s="18">
        <v>38</v>
      </c>
    </row>
    <row r="223" spans="1:3" x14ac:dyDescent="0.25">
      <c r="A223" s="17" t="s">
        <v>949</v>
      </c>
      <c r="B223" s="18">
        <v>15490.527</v>
      </c>
      <c r="C223" s="18">
        <v>39</v>
      </c>
    </row>
    <row r="224" spans="1:3" x14ac:dyDescent="0.25">
      <c r="A224" s="17" t="s">
        <v>1149</v>
      </c>
      <c r="B224" s="18">
        <v>15366.983199999999</v>
      </c>
      <c r="C224" s="18">
        <v>40</v>
      </c>
    </row>
    <row r="225" spans="1:3" x14ac:dyDescent="0.25">
      <c r="A225" s="17" t="s">
        <v>1259</v>
      </c>
      <c r="B225" s="18">
        <v>15155.326800000001</v>
      </c>
      <c r="C225" s="18">
        <v>41</v>
      </c>
    </row>
    <row r="226" spans="1:3" x14ac:dyDescent="0.25">
      <c r="A226" s="17" t="s">
        <v>1318</v>
      </c>
      <c r="B226" s="18">
        <v>14910.609600000002</v>
      </c>
      <c r="C226" s="18">
        <v>42</v>
      </c>
    </row>
    <row r="227" spans="1:3" x14ac:dyDescent="0.25">
      <c r="A227" s="17" t="s">
        <v>891</v>
      </c>
      <c r="B227" s="18">
        <v>14448.298699999998</v>
      </c>
      <c r="C227" s="18">
        <v>43</v>
      </c>
    </row>
    <row r="228" spans="1:3" x14ac:dyDescent="0.25">
      <c r="A228" s="17" t="s">
        <v>1267</v>
      </c>
      <c r="B228" s="18">
        <v>14114.068500000001</v>
      </c>
      <c r="C228" s="18">
        <v>44</v>
      </c>
    </row>
    <row r="229" spans="1:3" x14ac:dyDescent="0.25">
      <c r="A229" s="17" t="s">
        <v>1093</v>
      </c>
      <c r="B229" s="18">
        <v>13784.586000000001</v>
      </c>
      <c r="C229" s="18">
        <v>45</v>
      </c>
    </row>
    <row r="230" spans="1:3" x14ac:dyDescent="0.25">
      <c r="A230" s="17" t="s">
        <v>827</v>
      </c>
      <c r="B230" s="18">
        <v>13669.81</v>
      </c>
      <c r="C230" s="18">
        <v>46</v>
      </c>
    </row>
    <row r="231" spans="1:3" x14ac:dyDescent="0.25">
      <c r="A231" s="17" t="s">
        <v>1070</v>
      </c>
      <c r="B231" s="18">
        <v>13637.287999999999</v>
      </c>
      <c r="C231" s="18">
        <v>47</v>
      </c>
    </row>
    <row r="232" spans="1:3" x14ac:dyDescent="0.25">
      <c r="A232" s="17" t="s">
        <v>758</v>
      </c>
      <c r="B232" s="18">
        <v>13218.5</v>
      </c>
      <c r="C232" s="18">
        <v>48</v>
      </c>
    </row>
    <row r="233" spans="1:3" x14ac:dyDescent="0.25">
      <c r="A233" s="17" t="s">
        <v>870</v>
      </c>
      <c r="B233" s="18">
        <v>12954.358080000002</v>
      </c>
      <c r="C233" s="18">
        <v>49</v>
      </c>
    </row>
    <row r="234" spans="1:3" x14ac:dyDescent="0.25">
      <c r="A234" s="17" t="s">
        <v>829</v>
      </c>
      <c r="B234" s="18">
        <v>12335.654849999999</v>
      </c>
      <c r="C234" s="18">
        <v>50</v>
      </c>
    </row>
    <row r="235" spans="1:3" x14ac:dyDescent="0.25">
      <c r="A235" s="17" t="s">
        <v>1074</v>
      </c>
      <c r="B235" s="18">
        <v>12236.874600000001</v>
      </c>
      <c r="C235" s="18">
        <v>51</v>
      </c>
    </row>
    <row r="236" spans="1:3" x14ac:dyDescent="0.25">
      <c r="A236" s="17" t="s">
        <v>1008</v>
      </c>
      <c r="B236" s="18">
        <v>11696.156879999999</v>
      </c>
      <c r="C236" s="18">
        <v>52</v>
      </c>
    </row>
    <row r="237" spans="1:3" x14ac:dyDescent="0.25">
      <c r="A237" s="17" t="s">
        <v>1239</v>
      </c>
      <c r="B237" s="18">
        <v>10859.64</v>
      </c>
      <c r="C237" s="18">
        <v>53</v>
      </c>
    </row>
    <row r="238" spans="1:3" x14ac:dyDescent="0.25">
      <c r="A238" s="17" t="s">
        <v>1034</v>
      </c>
      <c r="B238" s="18">
        <v>9847.2358600000007</v>
      </c>
      <c r="C238" s="18">
        <v>54</v>
      </c>
    </row>
    <row r="239" spans="1:3" x14ac:dyDescent="0.25">
      <c r="A239" s="17" t="s">
        <v>971</v>
      </c>
      <c r="B239" s="18">
        <v>9774.3888000000006</v>
      </c>
      <c r="C239" s="18">
        <v>55</v>
      </c>
    </row>
    <row r="240" spans="1:3" x14ac:dyDescent="0.25">
      <c r="A240" s="17" t="s">
        <v>1170</v>
      </c>
      <c r="B240" s="18">
        <v>9771.4483199999995</v>
      </c>
      <c r="C240" s="18">
        <v>56</v>
      </c>
    </row>
    <row r="241" spans="1:3" x14ac:dyDescent="0.25">
      <c r="A241" s="17" t="s">
        <v>1004</v>
      </c>
      <c r="B241" s="18">
        <v>8907.6924999999992</v>
      </c>
      <c r="C241" s="18">
        <v>57</v>
      </c>
    </row>
    <row r="242" spans="1:3" x14ac:dyDescent="0.25">
      <c r="A242" s="17" t="s">
        <v>1000</v>
      </c>
      <c r="B242" s="18">
        <v>8567.3924999999999</v>
      </c>
      <c r="C242" s="18">
        <v>58</v>
      </c>
    </row>
    <row r="243" spans="1:3" x14ac:dyDescent="0.25">
      <c r="A243" s="17" t="s">
        <v>857</v>
      </c>
      <c r="B243" s="18">
        <v>8336.8896000000004</v>
      </c>
      <c r="C243" s="18">
        <v>59</v>
      </c>
    </row>
    <row r="244" spans="1:3" x14ac:dyDescent="0.25">
      <c r="A244" s="17" t="s">
        <v>1233</v>
      </c>
      <c r="B244" s="18">
        <v>8297.4286000000011</v>
      </c>
      <c r="C244" s="18">
        <v>60</v>
      </c>
    </row>
    <row r="245" spans="1:3" x14ac:dyDescent="0.25">
      <c r="A245" s="17" t="s">
        <v>1182</v>
      </c>
      <c r="B245" s="18">
        <v>7643.2649999999994</v>
      </c>
      <c r="C245" s="18">
        <v>61</v>
      </c>
    </row>
    <row r="246" spans="1:3" x14ac:dyDescent="0.25">
      <c r="A246" s="17" t="s">
        <v>740</v>
      </c>
      <c r="B246" s="18">
        <v>7090.5672000000004</v>
      </c>
      <c r="C246" s="18">
        <v>62</v>
      </c>
    </row>
    <row r="247" spans="1:3" x14ac:dyDescent="0.25">
      <c r="A247" s="17" t="s">
        <v>1328</v>
      </c>
      <c r="B247" s="18">
        <v>7071.6331400000008</v>
      </c>
      <c r="C247" s="18">
        <v>63</v>
      </c>
    </row>
    <row r="248" spans="1:3" x14ac:dyDescent="0.25">
      <c r="A248" s="17" t="s">
        <v>796</v>
      </c>
      <c r="B248" s="18">
        <v>6393.0952799999995</v>
      </c>
      <c r="C248" s="18">
        <v>64</v>
      </c>
    </row>
    <row r="249" spans="1:3" x14ac:dyDescent="0.25">
      <c r="A249" s="17" t="s">
        <v>1029</v>
      </c>
      <c r="B249" s="18">
        <v>5932.7856000000002</v>
      </c>
      <c r="C249" s="18">
        <v>65</v>
      </c>
    </row>
    <row r="250" spans="1:3" x14ac:dyDescent="0.25">
      <c r="A250" s="17" t="s">
        <v>777</v>
      </c>
      <c r="B250" s="18">
        <v>5785.8</v>
      </c>
      <c r="C250" s="18">
        <v>66</v>
      </c>
    </row>
    <row r="251" spans="1:3" x14ac:dyDescent="0.25">
      <c r="A251" s="17" t="s">
        <v>1134</v>
      </c>
      <c r="B251" s="18">
        <v>5323.9903199999999</v>
      </c>
      <c r="C251" s="18">
        <v>67</v>
      </c>
    </row>
    <row r="252" spans="1:3" x14ac:dyDescent="0.25">
      <c r="A252" s="17" t="s">
        <v>1127</v>
      </c>
      <c r="B252" s="18">
        <v>5250.4239000000007</v>
      </c>
      <c r="C252" s="18">
        <v>68</v>
      </c>
    </row>
    <row r="253" spans="1:3" x14ac:dyDescent="0.25">
      <c r="A253" s="17" t="s">
        <v>1132</v>
      </c>
      <c r="B253" s="18">
        <v>4679.7141600000004</v>
      </c>
      <c r="C253" s="18">
        <v>69</v>
      </c>
    </row>
    <row r="254" spans="1:3" x14ac:dyDescent="0.25">
      <c r="A254" s="17" t="s">
        <v>1288</v>
      </c>
      <c r="B254" s="18">
        <v>4229.4321199999995</v>
      </c>
      <c r="C254" s="18">
        <v>70</v>
      </c>
    </row>
    <row r="255" spans="1:3" x14ac:dyDescent="0.25">
      <c r="A255" s="17" t="s">
        <v>730</v>
      </c>
      <c r="B255" s="18">
        <v>4141.7599999999993</v>
      </c>
      <c r="C255" s="18">
        <v>71</v>
      </c>
    </row>
    <row r="256" spans="1:3" x14ac:dyDescent="0.25">
      <c r="A256" s="17" t="s">
        <v>1095</v>
      </c>
      <c r="B256" s="18">
        <v>4133.25108</v>
      </c>
      <c r="C256" s="18">
        <v>72</v>
      </c>
    </row>
    <row r="257" spans="1:3" x14ac:dyDescent="0.25">
      <c r="A257" s="17" t="s">
        <v>1232</v>
      </c>
      <c r="B257" s="18">
        <v>3921.1744000000008</v>
      </c>
      <c r="C257" s="18">
        <v>73</v>
      </c>
    </row>
    <row r="258" spans="1:3" x14ac:dyDescent="0.25">
      <c r="A258" s="17" t="s">
        <v>1307</v>
      </c>
      <c r="B258" s="18">
        <v>3823.6151599999998</v>
      </c>
      <c r="C258" s="18">
        <v>74</v>
      </c>
    </row>
    <row r="259" spans="1:3" x14ac:dyDescent="0.25">
      <c r="A259" s="17" t="s">
        <v>964</v>
      </c>
      <c r="B259" s="18">
        <v>3823.5108</v>
      </c>
      <c r="C259" s="18">
        <v>75</v>
      </c>
    </row>
    <row r="260" spans="1:3" x14ac:dyDescent="0.25">
      <c r="A260" s="17" t="s">
        <v>871</v>
      </c>
      <c r="B260" s="18">
        <v>3562.9028999999996</v>
      </c>
      <c r="C260" s="18">
        <v>76</v>
      </c>
    </row>
    <row r="261" spans="1:3" x14ac:dyDescent="0.25">
      <c r="A261" s="17" t="s">
        <v>778</v>
      </c>
      <c r="B261" s="18">
        <v>2518.8755800000004</v>
      </c>
      <c r="C261" s="18">
        <v>77</v>
      </c>
    </row>
    <row r="262" spans="1:3" x14ac:dyDescent="0.25">
      <c r="A262" s="17" t="s">
        <v>1200</v>
      </c>
      <c r="B262" s="18">
        <v>1009.2969000000002</v>
      </c>
      <c r="C262" s="18">
        <v>78</v>
      </c>
    </row>
    <row r="263" spans="1:3" x14ac:dyDescent="0.25">
      <c r="A263" s="17" t="s">
        <v>844</v>
      </c>
      <c r="B263" s="18">
        <v>592.92849000000001</v>
      </c>
      <c r="C263" s="18">
        <v>79</v>
      </c>
    </row>
    <row r="264" spans="1:3" x14ac:dyDescent="0.25">
      <c r="A264" s="17" t="s">
        <v>1113</v>
      </c>
      <c r="B264" s="18">
        <v>434.45248000000004</v>
      </c>
      <c r="C264" s="18">
        <v>80</v>
      </c>
    </row>
    <row r="265" spans="1:3" x14ac:dyDescent="0.25">
      <c r="A265" s="17" t="s">
        <v>1354</v>
      </c>
      <c r="B265" s="18">
        <v>266.17821999999995</v>
      </c>
      <c r="C265" s="18">
        <v>81</v>
      </c>
    </row>
    <row r="266" spans="1:3" x14ac:dyDescent="0.25">
      <c r="A266" s="16" t="s">
        <v>724</v>
      </c>
      <c r="B266" s="18">
        <v>1551152.7018699993</v>
      </c>
      <c r="C266" s="18"/>
    </row>
    <row r="267" spans="1:3" x14ac:dyDescent="0.25">
      <c r="A267" s="17" t="s">
        <v>900</v>
      </c>
      <c r="B267" s="18">
        <v>92715.25</v>
      </c>
      <c r="C267" s="18">
        <v>1</v>
      </c>
    </row>
    <row r="268" spans="1:3" x14ac:dyDescent="0.25">
      <c r="A268" s="17" t="s">
        <v>865</v>
      </c>
      <c r="B268" s="18">
        <v>87404.929919999995</v>
      </c>
      <c r="C268" s="18">
        <v>2</v>
      </c>
    </row>
    <row r="269" spans="1:3" x14ac:dyDescent="0.25">
      <c r="A269" s="17" t="s">
        <v>890</v>
      </c>
      <c r="B269" s="18">
        <v>85637.740319999997</v>
      </c>
      <c r="C269" s="18">
        <v>3</v>
      </c>
    </row>
    <row r="270" spans="1:3" x14ac:dyDescent="0.25">
      <c r="A270" s="17" t="s">
        <v>788</v>
      </c>
      <c r="B270" s="18">
        <v>72665.817450000002</v>
      </c>
      <c r="C270" s="18">
        <v>4</v>
      </c>
    </row>
    <row r="271" spans="1:3" x14ac:dyDescent="0.25">
      <c r="A271" s="17" t="s">
        <v>1120</v>
      </c>
      <c r="B271" s="18">
        <v>56176.777799999996</v>
      </c>
      <c r="C271" s="18">
        <v>5</v>
      </c>
    </row>
    <row r="272" spans="1:3" x14ac:dyDescent="0.25">
      <c r="A272" s="17" t="s">
        <v>1172</v>
      </c>
      <c r="B272" s="18">
        <v>45547.183360000003</v>
      </c>
      <c r="C272" s="18">
        <v>6</v>
      </c>
    </row>
    <row r="273" spans="1:3" x14ac:dyDescent="0.25">
      <c r="A273" s="17" t="s">
        <v>765</v>
      </c>
      <c r="B273" s="18">
        <v>41106.800970000004</v>
      </c>
      <c r="C273" s="18">
        <v>7</v>
      </c>
    </row>
    <row r="274" spans="1:3" x14ac:dyDescent="0.25">
      <c r="A274" s="17" t="s">
        <v>991</v>
      </c>
      <c r="B274" s="18">
        <v>38818.760160000005</v>
      </c>
      <c r="C274" s="18">
        <v>8</v>
      </c>
    </row>
    <row r="275" spans="1:3" x14ac:dyDescent="0.25">
      <c r="A275" s="17" t="s">
        <v>997</v>
      </c>
      <c r="B275" s="18">
        <v>34632.106319999999</v>
      </c>
      <c r="C275" s="18">
        <v>9</v>
      </c>
    </row>
    <row r="276" spans="1:3" x14ac:dyDescent="0.25">
      <c r="A276" s="17" t="s">
        <v>1097</v>
      </c>
      <c r="B276" s="18">
        <v>32280.32474</v>
      </c>
      <c r="C276" s="18">
        <v>10</v>
      </c>
    </row>
    <row r="277" spans="1:3" x14ac:dyDescent="0.25">
      <c r="A277" s="17" t="s">
        <v>780</v>
      </c>
      <c r="B277" s="18">
        <v>31680.795320000001</v>
      </c>
      <c r="C277" s="18">
        <v>11</v>
      </c>
    </row>
    <row r="278" spans="1:3" x14ac:dyDescent="0.25">
      <c r="A278" s="17" t="s">
        <v>920</v>
      </c>
      <c r="B278" s="18">
        <v>31191.64716</v>
      </c>
      <c r="C278" s="18">
        <v>12</v>
      </c>
    </row>
    <row r="279" spans="1:3" x14ac:dyDescent="0.25">
      <c r="A279" s="17" t="s">
        <v>1035</v>
      </c>
      <c r="B279" s="18">
        <v>30799.273800000003</v>
      </c>
      <c r="C279" s="18">
        <v>13</v>
      </c>
    </row>
    <row r="280" spans="1:3" x14ac:dyDescent="0.25">
      <c r="A280" s="17" t="s">
        <v>1265</v>
      </c>
      <c r="B280" s="18">
        <v>30652.403519999996</v>
      </c>
      <c r="C280" s="18">
        <v>14</v>
      </c>
    </row>
    <row r="281" spans="1:3" x14ac:dyDescent="0.25">
      <c r="A281" s="17" t="s">
        <v>998</v>
      </c>
      <c r="B281" s="18">
        <v>29536.716</v>
      </c>
      <c r="C281" s="18">
        <v>15</v>
      </c>
    </row>
    <row r="282" spans="1:3" x14ac:dyDescent="0.25">
      <c r="A282" s="17" t="s">
        <v>913</v>
      </c>
      <c r="B282" s="18">
        <v>28072.190160000002</v>
      </c>
      <c r="C282" s="18">
        <v>16</v>
      </c>
    </row>
    <row r="283" spans="1:3" x14ac:dyDescent="0.25">
      <c r="A283" s="17" t="s">
        <v>860</v>
      </c>
      <c r="B283" s="18">
        <v>27370.540859999997</v>
      </c>
      <c r="C283" s="18">
        <v>17</v>
      </c>
    </row>
    <row r="284" spans="1:3" x14ac:dyDescent="0.25">
      <c r="A284" s="17" t="s">
        <v>909</v>
      </c>
      <c r="B284" s="18">
        <v>26408.63841</v>
      </c>
      <c r="C284" s="18">
        <v>18</v>
      </c>
    </row>
    <row r="285" spans="1:3" x14ac:dyDescent="0.25">
      <c r="A285" s="17" t="s">
        <v>930</v>
      </c>
      <c r="B285" s="18">
        <v>26131.70736</v>
      </c>
      <c r="C285" s="18">
        <v>19</v>
      </c>
    </row>
    <row r="286" spans="1:3" x14ac:dyDescent="0.25">
      <c r="A286" s="17" t="s">
        <v>1064</v>
      </c>
      <c r="B286" s="18">
        <v>26106.613960000002</v>
      </c>
      <c r="C286" s="18">
        <v>20</v>
      </c>
    </row>
    <row r="287" spans="1:3" x14ac:dyDescent="0.25">
      <c r="A287" s="17" t="s">
        <v>929</v>
      </c>
      <c r="B287" s="18">
        <v>25553.782800000001</v>
      </c>
      <c r="C287" s="18">
        <v>21</v>
      </c>
    </row>
    <row r="288" spans="1:3" x14ac:dyDescent="0.25">
      <c r="A288" s="17" t="s">
        <v>1291</v>
      </c>
      <c r="B288" s="18">
        <v>25079.480689999997</v>
      </c>
      <c r="C288" s="18">
        <v>22</v>
      </c>
    </row>
    <row r="289" spans="1:3" x14ac:dyDescent="0.25">
      <c r="A289" s="17" t="s">
        <v>840</v>
      </c>
      <c r="B289" s="18">
        <v>24523.006720000001</v>
      </c>
      <c r="C289" s="18">
        <v>23</v>
      </c>
    </row>
    <row r="290" spans="1:3" x14ac:dyDescent="0.25">
      <c r="A290" s="17" t="s">
        <v>1178</v>
      </c>
      <c r="B290" s="18">
        <v>23132.398349999996</v>
      </c>
      <c r="C290" s="18">
        <v>24</v>
      </c>
    </row>
    <row r="291" spans="1:3" x14ac:dyDescent="0.25">
      <c r="A291" s="17" t="s">
        <v>846</v>
      </c>
      <c r="B291" s="18">
        <v>22983.34563</v>
      </c>
      <c r="C291" s="18">
        <v>25</v>
      </c>
    </row>
    <row r="292" spans="1:3" x14ac:dyDescent="0.25">
      <c r="A292" s="17" t="s">
        <v>885</v>
      </c>
      <c r="B292" s="18">
        <v>22044.871499999997</v>
      </c>
      <c r="C292" s="18">
        <v>26</v>
      </c>
    </row>
    <row r="293" spans="1:3" x14ac:dyDescent="0.25">
      <c r="A293" s="17" t="s">
        <v>1224</v>
      </c>
      <c r="B293" s="18">
        <v>20332.775539999999</v>
      </c>
      <c r="C293" s="18">
        <v>27</v>
      </c>
    </row>
    <row r="294" spans="1:3" x14ac:dyDescent="0.25">
      <c r="A294" s="17" t="s">
        <v>977</v>
      </c>
      <c r="B294" s="18">
        <v>17689.623</v>
      </c>
      <c r="C294" s="18">
        <v>28</v>
      </c>
    </row>
    <row r="295" spans="1:3" x14ac:dyDescent="0.25">
      <c r="A295" s="17" t="s">
        <v>1005</v>
      </c>
      <c r="B295" s="18">
        <v>17441.021520000002</v>
      </c>
      <c r="C295" s="18">
        <v>29</v>
      </c>
    </row>
    <row r="296" spans="1:3" x14ac:dyDescent="0.25">
      <c r="A296" s="17" t="s">
        <v>1223</v>
      </c>
      <c r="B296" s="18">
        <v>16574.544740000001</v>
      </c>
      <c r="C296" s="18">
        <v>30</v>
      </c>
    </row>
    <row r="297" spans="1:3" x14ac:dyDescent="0.25">
      <c r="A297" s="17" t="s">
        <v>1076</v>
      </c>
      <c r="B297" s="18">
        <v>16487.22781</v>
      </c>
      <c r="C297" s="18">
        <v>31</v>
      </c>
    </row>
    <row r="298" spans="1:3" x14ac:dyDescent="0.25">
      <c r="A298" s="17" t="s">
        <v>1114</v>
      </c>
      <c r="B298" s="18">
        <v>16142.527829999999</v>
      </c>
      <c r="C298" s="18">
        <v>32</v>
      </c>
    </row>
    <row r="299" spans="1:3" x14ac:dyDescent="0.25">
      <c r="A299" s="17" t="s">
        <v>1247</v>
      </c>
      <c r="B299" s="18">
        <v>16121.273400000002</v>
      </c>
      <c r="C299" s="18">
        <v>33</v>
      </c>
    </row>
    <row r="300" spans="1:3" x14ac:dyDescent="0.25">
      <c r="A300" s="17" t="s">
        <v>1108</v>
      </c>
      <c r="B300" s="18">
        <v>15257.51748</v>
      </c>
      <c r="C300" s="18">
        <v>34</v>
      </c>
    </row>
    <row r="301" spans="1:3" x14ac:dyDescent="0.25">
      <c r="A301" s="17" t="s">
        <v>733</v>
      </c>
      <c r="B301" s="18">
        <v>14714.12934</v>
      </c>
      <c r="C301" s="18">
        <v>35</v>
      </c>
    </row>
    <row r="302" spans="1:3" x14ac:dyDescent="0.25">
      <c r="A302" s="17" t="s">
        <v>1297</v>
      </c>
      <c r="B302" s="18">
        <v>14466.95104</v>
      </c>
      <c r="C302" s="18">
        <v>36</v>
      </c>
    </row>
    <row r="303" spans="1:3" x14ac:dyDescent="0.25">
      <c r="A303" s="17" t="s">
        <v>792</v>
      </c>
      <c r="B303" s="18">
        <v>14287.896349999999</v>
      </c>
      <c r="C303" s="18">
        <v>37</v>
      </c>
    </row>
    <row r="304" spans="1:3" x14ac:dyDescent="0.25">
      <c r="A304" s="17" t="s">
        <v>1152</v>
      </c>
      <c r="B304" s="18">
        <v>13450.74</v>
      </c>
      <c r="C304" s="18">
        <v>38</v>
      </c>
    </row>
    <row r="305" spans="1:3" x14ac:dyDescent="0.25">
      <c r="A305" s="17" t="s">
        <v>1129</v>
      </c>
      <c r="B305" s="18">
        <v>13437.300239999999</v>
      </c>
      <c r="C305" s="18">
        <v>39</v>
      </c>
    </row>
    <row r="306" spans="1:3" x14ac:dyDescent="0.25">
      <c r="A306" s="17" t="s">
        <v>1123</v>
      </c>
      <c r="B306" s="18">
        <v>12972.00222</v>
      </c>
      <c r="C306" s="18">
        <v>40</v>
      </c>
    </row>
    <row r="307" spans="1:3" x14ac:dyDescent="0.25">
      <c r="A307" s="17" t="s">
        <v>1157</v>
      </c>
      <c r="B307" s="18">
        <v>12967.958640000001</v>
      </c>
      <c r="C307" s="18">
        <v>41</v>
      </c>
    </row>
    <row r="308" spans="1:3" x14ac:dyDescent="0.25">
      <c r="A308" s="17" t="s">
        <v>892</v>
      </c>
      <c r="B308" s="18">
        <v>12413.98458</v>
      </c>
      <c r="C308" s="18">
        <v>42</v>
      </c>
    </row>
    <row r="309" spans="1:3" x14ac:dyDescent="0.25">
      <c r="A309" s="17" t="s">
        <v>888</v>
      </c>
      <c r="B309" s="18">
        <v>12194.714</v>
      </c>
      <c r="C309" s="18">
        <v>43</v>
      </c>
    </row>
    <row r="310" spans="1:3" x14ac:dyDescent="0.25">
      <c r="A310" s="17" t="s">
        <v>813</v>
      </c>
      <c r="B310" s="18">
        <v>11842.8464</v>
      </c>
      <c r="C310" s="18">
        <v>44</v>
      </c>
    </row>
    <row r="311" spans="1:3" x14ac:dyDescent="0.25">
      <c r="A311" s="17" t="s">
        <v>974</v>
      </c>
      <c r="B311" s="18">
        <v>11813.604160000001</v>
      </c>
      <c r="C311" s="18">
        <v>45</v>
      </c>
    </row>
    <row r="312" spans="1:3" x14ac:dyDescent="0.25">
      <c r="A312" s="17" t="s">
        <v>1272</v>
      </c>
      <c r="B312" s="18">
        <v>10937.519999999999</v>
      </c>
      <c r="C312" s="18">
        <v>46</v>
      </c>
    </row>
    <row r="313" spans="1:3" x14ac:dyDescent="0.25">
      <c r="A313" s="17" t="s">
        <v>1281</v>
      </c>
      <c r="B313" s="18">
        <v>10519.776450000001</v>
      </c>
      <c r="C313" s="18">
        <v>47</v>
      </c>
    </row>
    <row r="314" spans="1:3" x14ac:dyDescent="0.25">
      <c r="A314" s="17" t="s">
        <v>1143</v>
      </c>
      <c r="B314" s="18">
        <v>9509.2865999999995</v>
      </c>
      <c r="C314" s="18">
        <v>48</v>
      </c>
    </row>
    <row r="315" spans="1:3" x14ac:dyDescent="0.25">
      <c r="A315" s="17" t="s">
        <v>1335</v>
      </c>
      <c r="B315" s="18">
        <v>9256.14</v>
      </c>
      <c r="C315" s="18">
        <v>49</v>
      </c>
    </row>
    <row r="316" spans="1:3" x14ac:dyDescent="0.25">
      <c r="A316" s="17" t="s">
        <v>1234</v>
      </c>
      <c r="B316" s="18">
        <v>9232.2830599999998</v>
      </c>
      <c r="C316" s="18">
        <v>50</v>
      </c>
    </row>
    <row r="317" spans="1:3" x14ac:dyDescent="0.25">
      <c r="A317" s="17" t="s">
        <v>916</v>
      </c>
      <c r="B317" s="18">
        <v>8763.2849999999999</v>
      </c>
      <c r="C317" s="18">
        <v>51</v>
      </c>
    </row>
    <row r="318" spans="1:3" x14ac:dyDescent="0.25">
      <c r="A318" s="17" t="s">
        <v>908</v>
      </c>
      <c r="B318" s="18">
        <v>8698.8768300000011</v>
      </c>
      <c r="C318" s="18">
        <v>52</v>
      </c>
    </row>
    <row r="319" spans="1:3" x14ac:dyDescent="0.25">
      <c r="A319" s="17" t="s">
        <v>793</v>
      </c>
      <c r="B319" s="18">
        <v>8671.7354400000004</v>
      </c>
      <c r="C319" s="18">
        <v>53</v>
      </c>
    </row>
    <row r="320" spans="1:3" x14ac:dyDescent="0.25">
      <c r="A320" s="17" t="s">
        <v>914</v>
      </c>
      <c r="B320" s="18">
        <v>8590.7094000000016</v>
      </c>
      <c r="C320" s="18">
        <v>54</v>
      </c>
    </row>
    <row r="321" spans="1:3" x14ac:dyDescent="0.25">
      <c r="A321" s="17" t="s">
        <v>1286</v>
      </c>
      <c r="B321" s="18">
        <v>8520.2954399999999</v>
      </c>
      <c r="C321" s="18">
        <v>55</v>
      </c>
    </row>
    <row r="322" spans="1:3" x14ac:dyDescent="0.25">
      <c r="A322" s="17" t="s">
        <v>1197</v>
      </c>
      <c r="B322" s="18">
        <v>8330.2513199999994</v>
      </c>
      <c r="C322" s="18">
        <v>56</v>
      </c>
    </row>
    <row r="323" spans="1:3" x14ac:dyDescent="0.25">
      <c r="A323" s="17" t="s">
        <v>1181</v>
      </c>
      <c r="B323" s="18">
        <v>7854.6931199999999</v>
      </c>
      <c r="C323" s="18">
        <v>57</v>
      </c>
    </row>
    <row r="324" spans="1:3" x14ac:dyDescent="0.25">
      <c r="A324" s="17" t="s">
        <v>941</v>
      </c>
      <c r="B324" s="18">
        <v>7738.9596900000006</v>
      </c>
      <c r="C324" s="18">
        <v>58</v>
      </c>
    </row>
    <row r="325" spans="1:3" x14ac:dyDescent="0.25">
      <c r="A325" s="17" t="s">
        <v>855</v>
      </c>
      <c r="B325" s="18">
        <v>7703.8640800000003</v>
      </c>
      <c r="C325" s="18">
        <v>59</v>
      </c>
    </row>
    <row r="326" spans="1:3" x14ac:dyDescent="0.25">
      <c r="A326" s="17" t="s">
        <v>1088</v>
      </c>
      <c r="B326" s="18">
        <v>7327.9533600000004</v>
      </c>
      <c r="C326" s="18">
        <v>60</v>
      </c>
    </row>
    <row r="327" spans="1:3" x14ac:dyDescent="0.25">
      <c r="A327" s="17" t="s">
        <v>996</v>
      </c>
      <c r="B327" s="18">
        <v>7120.6486400000003</v>
      </c>
      <c r="C327" s="18">
        <v>61</v>
      </c>
    </row>
    <row r="328" spans="1:3" x14ac:dyDescent="0.25">
      <c r="A328" s="17" t="s">
        <v>903</v>
      </c>
      <c r="B328" s="18">
        <v>7098.5495999999994</v>
      </c>
      <c r="C328" s="18">
        <v>62</v>
      </c>
    </row>
    <row r="329" spans="1:3" x14ac:dyDescent="0.25">
      <c r="A329" s="17" t="s">
        <v>893</v>
      </c>
      <c r="B329" s="18">
        <v>6824.2884000000004</v>
      </c>
      <c r="C329" s="18">
        <v>63</v>
      </c>
    </row>
    <row r="330" spans="1:3" x14ac:dyDescent="0.25">
      <c r="A330" s="17" t="s">
        <v>979</v>
      </c>
      <c r="B330" s="18">
        <v>6468.2751599999992</v>
      </c>
      <c r="C330" s="18">
        <v>64</v>
      </c>
    </row>
    <row r="331" spans="1:3" x14ac:dyDescent="0.25">
      <c r="A331" s="17" t="s">
        <v>1053</v>
      </c>
      <c r="B331" s="18">
        <v>6229.7423999999992</v>
      </c>
      <c r="C331" s="18">
        <v>65</v>
      </c>
    </row>
    <row r="332" spans="1:3" x14ac:dyDescent="0.25">
      <c r="A332" s="17" t="s">
        <v>1322</v>
      </c>
      <c r="B332" s="18">
        <v>5962.1422499999999</v>
      </c>
      <c r="C332" s="18">
        <v>66</v>
      </c>
    </row>
    <row r="333" spans="1:3" x14ac:dyDescent="0.25">
      <c r="A333" s="17" t="s">
        <v>843</v>
      </c>
      <c r="B333" s="18">
        <v>5769.2758000000003</v>
      </c>
      <c r="C333" s="18">
        <v>67</v>
      </c>
    </row>
    <row r="334" spans="1:3" x14ac:dyDescent="0.25">
      <c r="A334" s="17" t="s">
        <v>1316</v>
      </c>
      <c r="B334" s="18">
        <v>5725.6496000000006</v>
      </c>
      <c r="C334" s="18">
        <v>68</v>
      </c>
    </row>
    <row r="335" spans="1:3" x14ac:dyDescent="0.25">
      <c r="A335" s="17" t="s">
        <v>1171</v>
      </c>
      <c r="B335" s="18">
        <v>5565.3272500000003</v>
      </c>
      <c r="C335" s="18">
        <v>69</v>
      </c>
    </row>
    <row r="336" spans="1:3" x14ac:dyDescent="0.25">
      <c r="A336" s="17" t="s">
        <v>958</v>
      </c>
      <c r="B336" s="18">
        <v>5280.8577599999999</v>
      </c>
      <c r="C336" s="18">
        <v>70</v>
      </c>
    </row>
    <row r="337" spans="1:3" x14ac:dyDescent="0.25">
      <c r="A337" s="17" t="s">
        <v>1350</v>
      </c>
      <c r="B337" s="18">
        <v>5096.4790800000001</v>
      </c>
      <c r="C337" s="18">
        <v>71</v>
      </c>
    </row>
    <row r="338" spans="1:3" x14ac:dyDescent="0.25">
      <c r="A338" s="17" t="s">
        <v>1039</v>
      </c>
      <c r="B338" s="18">
        <v>5032.4433599999993</v>
      </c>
      <c r="C338" s="18">
        <v>72</v>
      </c>
    </row>
    <row r="339" spans="1:3" x14ac:dyDescent="0.25">
      <c r="A339" s="17" t="s">
        <v>804</v>
      </c>
      <c r="B339" s="18">
        <v>4877.1379800000004</v>
      </c>
      <c r="C339" s="18">
        <v>73</v>
      </c>
    </row>
    <row r="340" spans="1:3" x14ac:dyDescent="0.25">
      <c r="A340" s="17" t="s">
        <v>911</v>
      </c>
      <c r="B340" s="18">
        <v>4831.9464600000001</v>
      </c>
      <c r="C340" s="18">
        <v>74</v>
      </c>
    </row>
    <row r="341" spans="1:3" x14ac:dyDescent="0.25">
      <c r="A341" s="17" t="s">
        <v>1269</v>
      </c>
      <c r="B341" s="18">
        <v>4826.5396199999996</v>
      </c>
      <c r="C341" s="18">
        <v>75</v>
      </c>
    </row>
    <row r="342" spans="1:3" x14ac:dyDescent="0.25">
      <c r="A342" s="17" t="s">
        <v>1219</v>
      </c>
      <c r="B342" s="18">
        <v>4682.9519799999998</v>
      </c>
      <c r="C342" s="18">
        <v>76</v>
      </c>
    </row>
    <row r="343" spans="1:3" x14ac:dyDescent="0.25">
      <c r="A343" s="17" t="s">
        <v>983</v>
      </c>
      <c r="B343" s="18">
        <v>4375.3620000000001</v>
      </c>
      <c r="C343" s="18">
        <v>77</v>
      </c>
    </row>
    <row r="344" spans="1:3" x14ac:dyDescent="0.25">
      <c r="A344" s="17" t="s">
        <v>1022</v>
      </c>
      <c r="B344" s="18">
        <v>3190.8713200000002</v>
      </c>
      <c r="C344" s="18">
        <v>78</v>
      </c>
    </row>
    <row r="345" spans="1:3" x14ac:dyDescent="0.25">
      <c r="A345" s="17" t="s">
        <v>1043</v>
      </c>
      <c r="B345" s="18">
        <v>2915.4540999999999</v>
      </c>
      <c r="C345" s="18">
        <v>79</v>
      </c>
    </row>
    <row r="346" spans="1:3" x14ac:dyDescent="0.25">
      <c r="A346" s="17" t="s">
        <v>731</v>
      </c>
      <c r="B346" s="18">
        <v>2886.4496399999998</v>
      </c>
      <c r="C346" s="18">
        <v>80</v>
      </c>
    </row>
    <row r="347" spans="1:3" x14ac:dyDescent="0.25">
      <c r="A347" s="17" t="s">
        <v>1156</v>
      </c>
      <c r="B347" s="18">
        <v>2627.6239999999998</v>
      </c>
      <c r="C347" s="18">
        <v>81</v>
      </c>
    </row>
    <row r="348" spans="1:3" x14ac:dyDescent="0.25">
      <c r="A348" s="17" t="s">
        <v>942</v>
      </c>
      <c r="B348" s="18">
        <v>2231.6467200000002</v>
      </c>
      <c r="C348" s="18">
        <v>82</v>
      </c>
    </row>
    <row r="349" spans="1:3" x14ac:dyDescent="0.25">
      <c r="A349" s="17" t="s">
        <v>1274</v>
      </c>
      <c r="B349" s="18">
        <v>1846.8040799999999</v>
      </c>
      <c r="C349" s="18">
        <v>83</v>
      </c>
    </row>
    <row r="350" spans="1:3" x14ac:dyDescent="0.25">
      <c r="A350" s="17" t="s">
        <v>1305</v>
      </c>
      <c r="B350" s="18">
        <v>1801.4076000000002</v>
      </c>
      <c r="C350" s="18">
        <v>84</v>
      </c>
    </row>
    <row r="351" spans="1:3" x14ac:dyDescent="0.25">
      <c r="A351" s="17" t="s">
        <v>936</v>
      </c>
      <c r="B351" s="18">
        <v>1774.8072</v>
      </c>
      <c r="C351" s="18">
        <v>85</v>
      </c>
    </row>
    <row r="352" spans="1:3" x14ac:dyDescent="0.25">
      <c r="A352" s="17" t="s">
        <v>1030</v>
      </c>
      <c r="B352" s="18">
        <v>1641.7107199999998</v>
      </c>
      <c r="C352" s="18">
        <v>86</v>
      </c>
    </row>
    <row r="353" spans="1:3" x14ac:dyDescent="0.25">
      <c r="A353" s="17" t="s">
        <v>1340</v>
      </c>
      <c r="B353" s="18">
        <v>846.34703999999988</v>
      </c>
      <c r="C353" s="18">
        <v>87</v>
      </c>
    </row>
    <row r="354" spans="1:3" x14ac:dyDescent="0.25">
      <c r="A354" s="17" t="s">
        <v>814</v>
      </c>
      <c r="B354" s="18">
        <v>624.43503999999996</v>
      </c>
      <c r="C354" s="18">
        <v>88</v>
      </c>
    </row>
    <row r="355" spans="1:3" x14ac:dyDescent="0.25">
      <c r="A355" s="17" t="s">
        <v>972</v>
      </c>
      <c r="B355" s="18">
        <v>607.30668000000003</v>
      </c>
      <c r="C355" s="18">
        <v>89</v>
      </c>
    </row>
    <row r="356" spans="1:3" x14ac:dyDescent="0.25">
      <c r="A356" s="17" t="s">
        <v>776</v>
      </c>
      <c r="B356" s="18">
        <v>599.53200000000004</v>
      </c>
      <c r="C356" s="18">
        <v>90</v>
      </c>
    </row>
    <row r="357" spans="1:3" x14ac:dyDescent="0.25">
      <c r="A357" s="17" t="s">
        <v>1256</v>
      </c>
      <c r="B357" s="18">
        <v>534.57695999999999</v>
      </c>
      <c r="C357" s="18">
        <v>91</v>
      </c>
    </row>
    <row r="358" spans="1:3" x14ac:dyDescent="0.25">
      <c r="A358" s="17" t="s">
        <v>808</v>
      </c>
      <c r="B358" s="18">
        <v>524.81174999999996</v>
      </c>
      <c r="C358" s="18">
        <v>92</v>
      </c>
    </row>
    <row r="359" spans="1:3" x14ac:dyDescent="0.25">
      <c r="A359" s="17" t="s">
        <v>821</v>
      </c>
      <c r="B359" s="18">
        <v>147.00756000000001</v>
      </c>
      <c r="C359" s="18">
        <v>93</v>
      </c>
    </row>
    <row r="360" spans="1:3" x14ac:dyDescent="0.25">
      <c r="A360" s="17" t="s">
        <v>1023</v>
      </c>
      <c r="B360" s="18">
        <v>66.920760000000001</v>
      </c>
      <c r="C360" s="18">
        <v>94</v>
      </c>
    </row>
    <row r="361" spans="1:3" x14ac:dyDescent="0.25">
      <c r="A361" s="16" t="s">
        <v>721</v>
      </c>
      <c r="B361" s="18">
        <v>1774358.6154200004</v>
      </c>
      <c r="C361" s="18"/>
    </row>
    <row r="362" spans="1:3" x14ac:dyDescent="0.25">
      <c r="A362" s="17" t="s">
        <v>772</v>
      </c>
      <c r="B362" s="18">
        <v>109244</v>
      </c>
      <c r="C362" s="18">
        <v>1</v>
      </c>
    </row>
    <row r="363" spans="1:3" x14ac:dyDescent="0.25">
      <c r="A363" s="17" t="s">
        <v>1336</v>
      </c>
      <c r="B363" s="18">
        <v>82141.339799999987</v>
      </c>
      <c r="C363" s="18">
        <v>2</v>
      </c>
    </row>
    <row r="364" spans="1:3" x14ac:dyDescent="0.25">
      <c r="A364" s="17" t="s">
        <v>1001</v>
      </c>
      <c r="B364" s="18">
        <v>79548.755999999994</v>
      </c>
      <c r="C364" s="18">
        <v>3</v>
      </c>
    </row>
    <row r="365" spans="1:3" x14ac:dyDescent="0.25">
      <c r="A365" s="17" t="s">
        <v>948</v>
      </c>
      <c r="B365" s="18">
        <v>66988.771199999988</v>
      </c>
      <c r="C365" s="18">
        <v>4</v>
      </c>
    </row>
    <row r="366" spans="1:3" x14ac:dyDescent="0.25">
      <c r="A366" s="17" t="s">
        <v>805</v>
      </c>
      <c r="B366" s="18">
        <v>60292.805299999993</v>
      </c>
      <c r="C366" s="18">
        <v>5</v>
      </c>
    </row>
    <row r="367" spans="1:3" x14ac:dyDescent="0.25">
      <c r="A367" s="17" t="s">
        <v>1315</v>
      </c>
      <c r="B367" s="18">
        <v>51768.181920000003</v>
      </c>
      <c r="C367" s="18">
        <v>6</v>
      </c>
    </row>
    <row r="368" spans="1:3" x14ac:dyDescent="0.25">
      <c r="A368" s="17" t="s">
        <v>1347</v>
      </c>
      <c r="B368" s="18">
        <v>50090.397499999999</v>
      </c>
      <c r="C368" s="18">
        <v>7</v>
      </c>
    </row>
    <row r="369" spans="1:3" x14ac:dyDescent="0.25">
      <c r="A369" s="17" t="s">
        <v>1082</v>
      </c>
      <c r="B369" s="18">
        <v>49336.511399999996</v>
      </c>
      <c r="C369" s="18">
        <v>8</v>
      </c>
    </row>
    <row r="370" spans="1:3" x14ac:dyDescent="0.25">
      <c r="A370" s="17" t="s">
        <v>928</v>
      </c>
      <c r="B370" s="18">
        <v>47962.717579999997</v>
      </c>
      <c r="C370" s="18">
        <v>9</v>
      </c>
    </row>
    <row r="371" spans="1:3" x14ac:dyDescent="0.25">
      <c r="A371" s="17" t="s">
        <v>1107</v>
      </c>
      <c r="B371" s="18">
        <v>47693.373</v>
      </c>
      <c r="C371" s="18">
        <v>10</v>
      </c>
    </row>
    <row r="372" spans="1:3" x14ac:dyDescent="0.25">
      <c r="A372" s="17" t="s">
        <v>1101</v>
      </c>
      <c r="B372" s="18">
        <v>43553.493060000001</v>
      </c>
      <c r="C372" s="18">
        <v>11</v>
      </c>
    </row>
    <row r="373" spans="1:3" x14ac:dyDescent="0.25">
      <c r="A373" s="17" t="s">
        <v>1204</v>
      </c>
      <c r="B373" s="18">
        <v>40488.792960000006</v>
      </c>
      <c r="C373" s="18">
        <v>12</v>
      </c>
    </row>
    <row r="374" spans="1:3" x14ac:dyDescent="0.25">
      <c r="A374" s="17" t="s">
        <v>1027</v>
      </c>
      <c r="B374" s="18">
        <v>39686.4182</v>
      </c>
      <c r="C374" s="18">
        <v>13</v>
      </c>
    </row>
    <row r="375" spans="1:3" x14ac:dyDescent="0.25">
      <c r="A375" s="17" t="s">
        <v>1047</v>
      </c>
      <c r="B375" s="18">
        <v>39546.774539999999</v>
      </c>
      <c r="C375" s="18">
        <v>14</v>
      </c>
    </row>
    <row r="376" spans="1:3" x14ac:dyDescent="0.25">
      <c r="A376" s="17" t="s">
        <v>845</v>
      </c>
      <c r="B376" s="18">
        <v>39516.804389999998</v>
      </c>
      <c r="C376" s="18">
        <v>15</v>
      </c>
    </row>
    <row r="377" spans="1:3" x14ac:dyDescent="0.25">
      <c r="A377" s="17" t="s">
        <v>773</v>
      </c>
      <c r="B377" s="18">
        <v>35621.302319999995</v>
      </c>
      <c r="C377" s="18">
        <v>16</v>
      </c>
    </row>
    <row r="378" spans="1:3" x14ac:dyDescent="0.25">
      <c r="A378" s="17" t="s">
        <v>1078</v>
      </c>
      <c r="B378" s="18">
        <v>34816.968000000001</v>
      </c>
      <c r="C378" s="18">
        <v>17</v>
      </c>
    </row>
    <row r="379" spans="1:3" x14ac:dyDescent="0.25">
      <c r="A379" s="17" t="s">
        <v>1292</v>
      </c>
      <c r="B379" s="18">
        <v>34307.159999999996</v>
      </c>
      <c r="C379" s="18">
        <v>18</v>
      </c>
    </row>
    <row r="380" spans="1:3" x14ac:dyDescent="0.25">
      <c r="A380" s="17" t="s">
        <v>1104</v>
      </c>
      <c r="B380" s="18">
        <v>33200.038079999998</v>
      </c>
      <c r="C380" s="18">
        <v>19</v>
      </c>
    </row>
    <row r="381" spans="1:3" x14ac:dyDescent="0.25">
      <c r="A381" s="17" t="s">
        <v>1348</v>
      </c>
      <c r="B381" s="18">
        <v>32704.386400000003</v>
      </c>
      <c r="C381" s="18">
        <v>20</v>
      </c>
    </row>
    <row r="382" spans="1:3" x14ac:dyDescent="0.25">
      <c r="A382" s="17" t="s">
        <v>770</v>
      </c>
      <c r="B382" s="18">
        <v>32506.559399999998</v>
      </c>
      <c r="C382" s="18">
        <v>21</v>
      </c>
    </row>
    <row r="383" spans="1:3" x14ac:dyDescent="0.25">
      <c r="A383" s="17" t="s">
        <v>1138</v>
      </c>
      <c r="B383" s="18">
        <v>31513.423040000001</v>
      </c>
      <c r="C383" s="18">
        <v>22</v>
      </c>
    </row>
    <row r="384" spans="1:3" x14ac:dyDescent="0.25">
      <c r="A384" s="17" t="s">
        <v>1220</v>
      </c>
      <c r="B384" s="18">
        <v>30692.47896</v>
      </c>
      <c r="C384" s="18">
        <v>23</v>
      </c>
    </row>
    <row r="385" spans="1:3" x14ac:dyDescent="0.25">
      <c r="A385" s="17" t="s">
        <v>951</v>
      </c>
      <c r="B385" s="18">
        <v>30479.418970000002</v>
      </c>
      <c r="C385" s="18">
        <v>24</v>
      </c>
    </row>
    <row r="386" spans="1:3" x14ac:dyDescent="0.25">
      <c r="A386" s="17" t="s">
        <v>1345</v>
      </c>
      <c r="B386" s="18">
        <v>30229.994880000002</v>
      </c>
      <c r="C386" s="18">
        <v>25</v>
      </c>
    </row>
    <row r="387" spans="1:3" x14ac:dyDescent="0.25">
      <c r="A387" s="17" t="s">
        <v>1273</v>
      </c>
      <c r="B387" s="18">
        <v>29673.454499999993</v>
      </c>
      <c r="C387" s="18">
        <v>26</v>
      </c>
    </row>
    <row r="388" spans="1:3" x14ac:dyDescent="0.25">
      <c r="A388" s="17" t="s">
        <v>869</v>
      </c>
      <c r="B388" s="18">
        <v>25672.127039999999</v>
      </c>
      <c r="C388" s="18">
        <v>27</v>
      </c>
    </row>
    <row r="389" spans="1:3" x14ac:dyDescent="0.25">
      <c r="A389" s="17" t="s">
        <v>1221</v>
      </c>
      <c r="B389" s="18">
        <v>25249.613219999999</v>
      </c>
      <c r="C389" s="18">
        <v>28</v>
      </c>
    </row>
    <row r="390" spans="1:3" x14ac:dyDescent="0.25">
      <c r="A390" s="17" t="s">
        <v>1208</v>
      </c>
      <c r="B390" s="18">
        <v>21908.731650000002</v>
      </c>
      <c r="C390" s="18">
        <v>29</v>
      </c>
    </row>
    <row r="391" spans="1:3" x14ac:dyDescent="0.25">
      <c r="A391" s="17" t="s">
        <v>809</v>
      </c>
      <c r="B391" s="18">
        <v>21062.61248</v>
      </c>
      <c r="C391" s="18">
        <v>30</v>
      </c>
    </row>
    <row r="392" spans="1:3" x14ac:dyDescent="0.25">
      <c r="A392" s="17" t="s">
        <v>754</v>
      </c>
      <c r="B392" s="18">
        <v>20084.133720000002</v>
      </c>
      <c r="C392" s="18">
        <v>31</v>
      </c>
    </row>
    <row r="393" spans="1:3" x14ac:dyDescent="0.25">
      <c r="A393" s="17" t="s">
        <v>1012</v>
      </c>
      <c r="B393" s="18">
        <v>20028.787380000002</v>
      </c>
      <c r="C393" s="18">
        <v>32</v>
      </c>
    </row>
    <row r="394" spans="1:3" x14ac:dyDescent="0.25">
      <c r="A394" s="17" t="s">
        <v>746</v>
      </c>
      <c r="B394" s="18">
        <v>19903.585040000002</v>
      </c>
      <c r="C394" s="18">
        <v>33</v>
      </c>
    </row>
    <row r="395" spans="1:3" x14ac:dyDescent="0.25">
      <c r="A395" s="17" t="s">
        <v>1275</v>
      </c>
      <c r="B395" s="18">
        <v>18830.12472</v>
      </c>
      <c r="C395" s="18">
        <v>34</v>
      </c>
    </row>
    <row r="396" spans="1:3" x14ac:dyDescent="0.25">
      <c r="A396" s="17" t="s">
        <v>1337</v>
      </c>
      <c r="B396" s="18">
        <v>18500.693520000001</v>
      </c>
      <c r="C396" s="18">
        <v>35</v>
      </c>
    </row>
    <row r="397" spans="1:3" x14ac:dyDescent="0.25">
      <c r="A397" s="17" t="s">
        <v>1124</v>
      </c>
      <c r="B397" s="18">
        <v>17731.623</v>
      </c>
      <c r="C397" s="18">
        <v>36</v>
      </c>
    </row>
    <row r="398" spans="1:3" x14ac:dyDescent="0.25">
      <c r="A398" s="17" t="s">
        <v>1042</v>
      </c>
      <c r="B398" s="18">
        <v>16306.59375</v>
      </c>
      <c r="C398" s="18">
        <v>37</v>
      </c>
    </row>
    <row r="399" spans="1:3" x14ac:dyDescent="0.25">
      <c r="A399" s="17" t="s">
        <v>854</v>
      </c>
      <c r="B399" s="18">
        <v>16071.44868</v>
      </c>
      <c r="C399" s="18">
        <v>38</v>
      </c>
    </row>
    <row r="400" spans="1:3" x14ac:dyDescent="0.25">
      <c r="A400" s="17" t="s">
        <v>1231</v>
      </c>
      <c r="B400" s="18">
        <v>15323.926799999999</v>
      </c>
      <c r="C400" s="18">
        <v>39</v>
      </c>
    </row>
    <row r="401" spans="1:3" x14ac:dyDescent="0.25">
      <c r="A401" s="17" t="s">
        <v>940</v>
      </c>
      <c r="B401" s="18">
        <v>15253.069799999999</v>
      </c>
      <c r="C401" s="18">
        <v>40</v>
      </c>
    </row>
    <row r="402" spans="1:3" x14ac:dyDescent="0.25">
      <c r="A402" s="17" t="s">
        <v>1191</v>
      </c>
      <c r="B402" s="18">
        <v>14261.92439</v>
      </c>
      <c r="C402" s="18">
        <v>41</v>
      </c>
    </row>
    <row r="403" spans="1:3" x14ac:dyDescent="0.25">
      <c r="A403" s="17" t="s">
        <v>1300</v>
      </c>
      <c r="B403" s="18">
        <v>13882.6016</v>
      </c>
      <c r="C403" s="18">
        <v>42</v>
      </c>
    </row>
    <row r="404" spans="1:3" x14ac:dyDescent="0.25">
      <c r="A404" s="17" t="s">
        <v>1006</v>
      </c>
      <c r="B404" s="18">
        <v>13035.970220000001</v>
      </c>
      <c r="C404" s="18">
        <v>43</v>
      </c>
    </row>
    <row r="405" spans="1:3" x14ac:dyDescent="0.25">
      <c r="A405" s="17" t="s">
        <v>1105</v>
      </c>
      <c r="B405" s="18">
        <v>12881.097599999999</v>
      </c>
      <c r="C405" s="18">
        <v>44</v>
      </c>
    </row>
    <row r="406" spans="1:3" x14ac:dyDescent="0.25">
      <c r="A406" s="17" t="s">
        <v>1299</v>
      </c>
      <c r="B406" s="18">
        <v>12091.190399999999</v>
      </c>
      <c r="C406" s="18">
        <v>45</v>
      </c>
    </row>
    <row r="407" spans="1:3" x14ac:dyDescent="0.25">
      <c r="A407" s="17" t="s">
        <v>848</v>
      </c>
      <c r="B407" s="18">
        <v>10817.3416</v>
      </c>
      <c r="C407" s="18">
        <v>46</v>
      </c>
    </row>
    <row r="408" spans="1:3" x14ac:dyDescent="0.25">
      <c r="A408" s="17" t="s">
        <v>1268</v>
      </c>
      <c r="B408" s="18">
        <v>10792.637119999999</v>
      </c>
      <c r="C408" s="18">
        <v>47</v>
      </c>
    </row>
    <row r="409" spans="1:3" x14ac:dyDescent="0.25">
      <c r="A409" s="17" t="s">
        <v>1339</v>
      </c>
      <c r="B409" s="18">
        <v>10786.32144</v>
      </c>
      <c r="C409" s="18">
        <v>48</v>
      </c>
    </row>
    <row r="410" spans="1:3" x14ac:dyDescent="0.25">
      <c r="A410" s="17" t="s">
        <v>766</v>
      </c>
      <c r="B410" s="18">
        <v>10558.74</v>
      </c>
      <c r="C410" s="18">
        <v>49</v>
      </c>
    </row>
    <row r="411" spans="1:3" x14ac:dyDescent="0.25">
      <c r="A411" s="17" t="s">
        <v>1228</v>
      </c>
      <c r="B411" s="18">
        <v>10189.8891</v>
      </c>
      <c r="C411" s="18">
        <v>50</v>
      </c>
    </row>
    <row r="412" spans="1:3" x14ac:dyDescent="0.25">
      <c r="A412" s="17" t="s">
        <v>1287</v>
      </c>
      <c r="B412" s="18">
        <v>10166.535600000001</v>
      </c>
      <c r="C412" s="18">
        <v>51</v>
      </c>
    </row>
    <row r="413" spans="1:3" x14ac:dyDescent="0.25">
      <c r="A413" s="17" t="s">
        <v>1242</v>
      </c>
      <c r="B413" s="18">
        <v>9807.7842799999999</v>
      </c>
      <c r="C413" s="18">
        <v>52</v>
      </c>
    </row>
    <row r="414" spans="1:3" x14ac:dyDescent="0.25">
      <c r="A414" s="17" t="s">
        <v>757</v>
      </c>
      <c r="B414" s="18">
        <v>9647.3852800000004</v>
      </c>
      <c r="C414" s="18">
        <v>53</v>
      </c>
    </row>
    <row r="415" spans="1:3" x14ac:dyDescent="0.25">
      <c r="A415" s="17" t="s">
        <v>798</v>
      </c>
      <c r="B415" s="18">
        <v>9373.460219999999</v>
      </c>
      <c r="C415" s="18">
        <v>54</v>
      </c>
    </row>
    <row r="416" spans="1:3" x14ac:dyDescent="0.25">
      <c r="A416" s="17" t="s">
        <v>1254</v>
      </c>
      <c r="B416" s="18">
        <v>9262.0686600000008</v>
      </c>
      <c r="C416" s="18">
        <v>55</v>
      </c>
    </row>
    <row r="417" spans="1:3" x14ac:dyDescent="0.25">
      <c r="A417" s="17" t="s">
        <v>880</v>
      </c>
      <c r="B417" s="18">
        <v>8909.6646800000017</v>
      </c>
      <c r="C417" s="18">
        <v>56</v>
      </c>
    </row>
    <row r="418" spans="1:3" x14ac:dyDescent="0.25">
      <c r="A418" s="17" t="s">
        <v>1056</v>
      </c>
      <c r="B418" s="18">
        <v>8764.4065599999994</v>
      </c>
      <c r="C418" s="18">
        <v>57</v>
      </c>
    </row>
    <row r="419" spans="1:3" x14ac:dyDescent="0.25">
      <c r="A419" s="17" t="s">
        <v>1227</v>
      </c>
      <c r="B419" s="18">
        <v>8637.1874499999994</v>
      </c>
      <c r="C419" s="18">
        <v>58</v>
      </c>
    </row>
    <row r="420" spans="1:3" x14ac:dyDescent="0.25">
      <c r="A420" s="17" t="s">
        <v>923</v>
      </c>
      <c r="B420" s="18">
        <v>8349.2224200000001</v>
      </c>
      <c r="C420" s="18">
        <v>59</v>
      </c>
    </row>
    <row r="421" spans="1:3" x14ac:dyDescent="0.25">
      <c r="A421" s="17" t="s">
        <v>815</v>
      </c>
      <c r="B421" s="18">
        <v>8324.8326000000015</v>
      </c>
      <c r="C421" s="18">
        <v>60</v>
      </c>
    </row>
    <row r="422" spans="1:3" x14ac:dyDescent="0.25">
      <c r="A422" s="17" t="s">
        <v>987</v>
      </c>
      <c r="B422" s="18">
        <v>8186.057600000001</v>
      </c>
      <c r="C422" s="18">
        <v>61</v>
      </c>
    </row>
    <row r="423" spans="1:3" x14ac:dyDescent="0.25">
      <c r="A423" s="17" t="s">
        <v>1260</v>
      </c>
      <c r="B423" s="18">
        <v>7823.4472399999995</v>
      </c>
      <c r="C423" s="18">
        <v>62</v>
      </c>
    </row>
    <row r="424" spans="1:3" x14ac:dyDescent="0.25">
      <c r="A424" s="17" t="s">
        <v>1046</v>
      </c>
      <c r="B424" s="18">
        <v>7493.1076000000012</v>
      </c>
      <c r="C424" s="18">
        <v>63</v>
      </c>
    </row>
    <row r="425" spans="1:3" x14ac:dyDescent="0.25">
      <c r="A425" s="17" t="s">
        <v>881</v>
      </c>
      <c r="B425" s="18">
        <v>7203.8047000000006</v>
      </c>
      <c r="C425" s="18">
        <v>64</v>
      </c>
    </row>
    <row r="426" spans="1:3" x14ac:dyDescent="0.25">
      <c r="A426" s="17" t="s">
        <v>1103</v>
      </c>
      <c r="B426" s="18">
        <v>6576.298960000001</v>
      </c>
      <c r="C426" s="18">
        <v>65</v>
      </c>
    </row>
    <row r="427" spans="1:3" x14ac:dyDescent="0.25">
      <c r="A427" s="17" t="s">
        <v>1160</v>
      </c>
      <c r="B427" s="18">
        <v>5546.4642200000008</v>
      </c>
      <c r="C427" s="18">
        <v>66</v>
      </c>
    </row>
    <row r="428" spans="1:3" x14ac:dyDescent="0.25">
      <c r="A428" s="17" t="s">
        <v>823</v>
      </c>
      <c r="B428" s="18">
        <v>5328.4890400000004</v>
      </c>
      <c r="C428" s="18">
        <v>67</v>
      </c>
    </row>
    <row r="429" spans="1:3" x14ac:dyDescent="0.25">
      <c r="A429" s="17" t="s">
        <v>1302</v>
      </c>
      <c r="B429" s="18">
        <v>4280.6786400000001</v>
      </c>
      <c r="C429" s="18">
        <v>68</v>
      </c>
    </row>
    <row r="430" spans="1:3" x14ac:dyDescent="0.25">
      <c r="A430" s="17" t="s">
        <v>919</v>
      </c>
      <c r="B430" s="18">
        <v>3928.3797600000003</v>
      </c>
      <c r="C430" s="18">
        <v>69</v>
      </c>
    </row>
    <row r="431" spans="1:3" x14ac:dyDescent="0.25">
      <c r="A431" s="17" t="s">
        <v>1032</v>
      </c>
      <c r="B431" s="18">
        <v>3644.3212800000006</v>
      </c>
      <c r="C431" s="18">
        <v>70</v>
      </c>
    </row>
    <row r="432" spans="1:3" x14ac:dyDescent="0.25">
      <c r="A432" s="17" t="s">
        <v>973</v>
      </c>
      <c r="B432" s="18">
        <v>3592.04</v>
      </c>
      <c r="C432" s="18">
        <v>71</v>
      </c>
    </row>
    <row r="433" spans="1:3" x14ac:dyDescent="0.25">
      <c r="A433" s="17" t="s">
        <v>1263</v>
      </c>
      <c r="B433" s="18">
        <v>3340.6370000000002</v>
      </c>
      <c r="C433" s="18">
        <v>72</v>
      </c>
    </row>
    <row r="434" spans="1:3" x14ac:dyDescent="0.25">
      <c r="A434" s="17" t="s">
        <v>1069</v>
      </c>
      <c r="B434" s="18">
        <v>3175.1547799999998</v>
      </c>
      <c r="C434" s="18">
        <v>73</v>
      </c>
    </row>
    <row r="435" spans="1:3" x14ac:dyDescent="0.25">
      <c r="A435" s="17" t="s">
        <v>1163</v>
      </c>
      <c r="B435" s="18">
        <v>2795.6384399999997</v>
      </c>
      <c r="C435" s="18">
        <v>74</v>
      </c>
    </row>
    <row r="436" spans="1:3" x14ac:dyDescent="0.25">
      <c r="A436" s="17" t="s">
        <v>982</v>
      </c>
      <c r="B436" s="18">
        <v>2394.1605599999998</v>
      </c>
      <c r="C436" s="18">
        <v>75</v>
      </c>
    </row>
    <row r="437" spans="1:3" x14ac:dyDescent="0.25">
      <c r="A437" s="17" t="s">
        <v>1344</v>
      </c>
      <c r="B437" s="18">
        <v>2355.2113199999999</v>
      </c>
      <c r="C437" s="18">
        <v>76</v>
      </c>
    </row>
    <row r="438" spans="1:3" x14ac:dyDescent="0.25">
      <c r="A438" s="17" t="s">
        <v>1158</v>
      </c>
      <c r="B438" s="18">
        <v>1950.0031200000001</v>
      </c>
      <c r="C438" s="18">
        <v>77</v>
      </c>
    </row>
    <row r="439" spans="1:3" x14ac:dyDescent="0.25">
      <c r="A439" s="17" t="s">
        <v>1187</v>
      </c>
      <c r="B439" s="18">
        <v>1886.9915999999998</v>
      </c>
      <c r="C439" s="18">
        <v>78</v>
      </c>
    </row>
    <row r="440" spans="1:3" x14ac:dyDescent="0.25">
      <c r="A440" s="17" t="s">
        <v>833</v>
      </c>
      <c r="B440" s="18">
        <v>1660.3999999999999</v>
      </c>
      <c r="C440" s="18">
        <v>79</v>
      </c>
    </row>
    <row r="441" spans="1:3" x14ac:dyDescent="0.25">
      <c r="A441" s="17" t="s">
        <v>839</v>
      </c>
      <c r="B441" s="18">
        <v>1499.22</v>
      </c>
      <c r="C441" s="18">
        <v>80</v>
      </c>
    </row>
    <row r="442" spans="1:3" x14ac:dyDescent="0.25">
      <c r="A442" s="17" t="s">
        <v>1066</v>
      </c>
      <c r="B442" s="18">
        <v>1115.1975999999997</v>
      </c>
      <c r="C442" s="18">
        <v>81</v>
      </c>
    </row>
    <row r="443" spans="1:3" x14ac:dyDescent="0.25">
      <c r="A443" s="17" t="s">
        <v>1325</v>
      </c>
      <c r="B443" s="18">
        <v>1062.5902000000001</v>
      </c>
      <c r="C443" s="18">
        <v>82</v>
      </c>
    </row>
    <row r="444" spans="1:3" x14ac:dyDescent="0.25">
      <c r="A444" s="17" t="s">
        <v>1036</v>
      </c>
      <c r="B444" s="18">
        <v>879.05840000000001</v>
      </c>
      <c r="C444" s="18">
        <v>83</v>
      </c>
    </row>
    <row r="445" spans="1:3" x14ac:dyDescent="0.25">
      <c r="A445" s="17" t="s">
        <v>727</v>
      </c>
      <c r="B445" s="18">
        <v>319.72248000000002</v>
      </c>
      <c r="C445" s="18">
        <v>84</v>
      </c>
    </row>
    <row r="446" spans="1:3" x14ac:dyDescent="0.25">
      <c r="A446" s="17" t="s">
        <v>779</v>
      </c>
      <c r="B446" s="18">
        <v>215.19839999999996</v>
      </c>
      <c r="C446" s="18">
        <v>85</v>
      </c>
    </row>
    <row r="447" spans="1:3" x14ac:dyDescent="0.25">
      <c r="A447" s="17" t="s">
        <v>837</v>
      </c>
      <c r="B447" s="18">
        <v>34.689059999999998</v>
      </c>
      <c r="C447" s="18">
        <v>86</v>
      </c>
    </row>
    <row r="448" spans="1:3" x14ac:dyDescent="0.25">
      <c r="A448" s="16" t="s">
        <v>722</v>
      </c>
      <c r="B448" s="18">
        <v>1398841.4532999997</v>
      </c>
      <c r="C448" s="18"/>
    </row>
    <row r="449" spans="1:3" x14ac:dyDescent="0.25">
      <c r="A449" s="17" t="s">
        <v>1311</v>
      </c>
      <c r="B449" s="18">
        <v>68665.574250000005</v>
      </c>
      <c r="C449" s="18">
        <v>1</v>
      </c>
    </row>
    <row r="450" spans="1:3" x14ac:dyDescent="0.25">
      <c r="A450" s="17" t="s">
        <v>825</v>
      </c>
      <c r="B450" s="18">
        <v>52780.07</v>
      </c>
      <c r="C450" s="18">
        <v>2</v>
      </c>
    </row>
    <row r="451" spans="1:3" x14ac:dyDescent="0.25">
      <c r="A451" s="17" t="s">
        <v>874</v>
      </c>
      <c r="B451" s="18">
        <v>42495.805439999996</v>
      </c>
      <c r="C451" s="18">
        <v>3</v>
      </c>
    </row>
    <row r="452" spans="1:3" x14ac:dyDescent="0.25">
      <c r="A452" s="17" t="s">
        <v>906</v>
      </c>
      <c r="B452" s="18">
        <v>41352.246200000009</v>
      </c>
      <c r="C452" s="18">
        <v>4</v>
      </c>
    </row>
    <row r="453" spans="1:3" x14ac:dyDescent="0.25">
      <c r="A453" s="17" t="s">
        <v>1153</v>
      </c>
      <c r="B453" s="18">
        <v>41138.261999999995</v>
      </c>
      <c r="C453" s="18">
        <v>5</v>
      </c>
    </row>
    <row r="454" spans="1:3" x14ac:dyDescent="0.25">
      <c r="A454" s="17" t="s">
        <v>1100</v>
      </c>
      <c r="B454" s="18">
        <v>38422.022320000004</v>
      </c>
      <c r="C454" s="18">
        <v>6</v>
      </c>
    </row>
    <row r="455" spans="1:3" x14ac:dyDescent="0.25">
      <c r="A455" s="17" t="s">
        <v>961</v>
      </c>
      <c r="B455" s="18">
        <v>37038.581760000001</v>
      </c>
      <c r="C455" s="18">
        <v>7</v>
      </c>
    </row>
    <row r="456" spans="1:3" x14ac:dyDescent="0.25">
      <c r="A456" s="17" t="s">
        <v>742</v>
      </c>
      <c r="B456" s="18">
        <v>35367.211040000002</v>
      </c>
      <c r="C456" s="18">
        <v>8</v>
      </c>
    </row>
    <row r="457" spans="1:3" x14ac:dyDescent="0.25">
      <c r="A457" s="17" t="s">
        <v>1003</v>
      </c>
      <c r="B457" s="18">
        <v>34840.344000000005</v>
      </c>
      <c r="C457" s="18">
        <v>9</v>
      </c>
    </row>
    <row r="458" spans="1:3" x14ac:dyDescent="0.25">
      <c r="A458" s="17" t="s">
        <v>1230</v>
      </c>
      <c r="B458" s="18">
        <v>34800.431400000001</v>
      </c>
      <c r="C458" s="18">
        <v>10</v>
      </c>
    </row>
    <row r="459" spans="1:3" x14ac:dyDescent="0.25">
      <c r="A459" s="17" t="s">
        <v>1278</v>
      </c>
      <c r="B459" s="18">
        <v>33551.927499999998</v>
      </c>
      <c r="C459" s="18">
        <v>11</v>
      </c>
    </row>
    <row r="460" spans="1:3" x14ac:dyDescent="0.25">
      <c r="A460" s="17" t="s">
        <v>1285</v>
      </c>
      <c r="B460" s="18">
        <v>33071.3145</v>
      </c>
      <c r="C460" s="18">
        <v>12</v>
      </c>
    </row>
    <row r="461" spans="1:3" x14ac:dyDescent="0.25">
      <c r="A461" s="17" t="s">
        <v>1351</v>
      </c>
      <c r="B461" s="18">
        <v>33017.42</v>
      </c>
      <c r="C461" s="18">
        <v>13</v>
      </c>
    </row>
    <row r="462" spans="1:3" x14ac:dyDescent="0.25">
      <c r="A462" s="17" t="s">
        <v>1099</v>
      </c>
      <c r="B462" s="18">
        <v>31005.24768</v>
      </c>
      <c r="C462" s="18">
        <v>14</v>
      </c>
    </row>
    <row r="463" spans="1:3" x14ac:dyDescent="0.25">
      <c r="A463" s="17" t="s">
        <v>1147</v>
      </c>
      <c r="B463" s="18">
        <v>29627.320319999999</v>
      </c>
      <c r="C463" s="18">
        <v>15</v>
      </c>
    </row>
    <row r="464" spans="1:3" x14ac:dyDescent="0.25">
      <c r="A464" s="17" t="s">
        <v>884</v>
      </c>
      <c r="B464" s="18">
        <v>29263.754519999995</v>
      </c>
      <c r="C464" s="18">
        <v>16</v>
      </c>
    </row>
    <row r="465" spans="1:3" x14ac:dyDescent="0.25">
      <c r="A465" s="17" t="s">
        <v>1330</v>
      </c>
      <c r="B465" s="18">
        <v>29175.036029999999</v>
      </c>
      <c r="C465" s="18">
        <v>17</v>
      </c>
    </row>
    <row r="466" spans="1:3" x14ac:dyDescent="0.25">
      <c r="A466" s="17" t="s">
        <v>1061</v>
      </c>
      <c r="B466" s="18">
        <v>28247.74656</v>
      </c>
      <c r="C466" s="18">
        <v>18</v>
      </c>
    </row>
    <row r="467" spans="1:3" x14ac:dyDescent="0.25">
      <c r="A467" s="17" t="s">
        <v>1159</v>
      </c>
      <c r="B467" s="18">
        <v>27249</v>
      </c>
      <c r="C467" s="18">
        <v>19</v>
      </c>
    </row>
    <row r="468" spans="1:3" x14ac:dyDescent="0.25">
      <c r="A468" s="17" t="s">
        <v>756</v>
      </c>
      <c r="B468" s="18">
        <v>26150.364320000001</v>
      </c>
      <c r="C468" s="18">
        <v>20</v>
      </c>
    </row>
    <row r="469" spans="1:3" x14ac:dyDescent="0.25">
      <c r="A469" s="17" t="s">
        <v>927</v>
      </c>
      <c r="B469" s="18">
        <v>25299.040000000001</v>
      </c>
      <c r="C469" s="18">
        <v>21</v>
      </c>
    </row>
    <row r="470" spans="1:3" x14ac:dyDescent="0.25">
      <c r="A470" s="17" t="s">
        <v>938</v>
      </c>
      <c r="B470" s="18">
        <v>24223.05</v>
      </c>
      <c r="C470" s="18">
        <v>22</v>
      </c>
    </row>
    <row r="471" spans="1:3" x14ac:dyDescent="0.25">
      <c r="A471" s="17" t="s">
        <v>832</v>
      </c>
      <c r="B471" s="18">
        <v>23687.524440000001</v>
      </c>
      <c r="C471" s="18">
        <v>23</v>
      </c>
    </row>
    <row r="472" spans="1:3" x14ac:dyDescent="0.25">
      <c r="A472" s="17" t="s">
        <v>1308</v>
      </c>
      <c r="B472" s="18">
        <v>22676.312610000001</v>
      </c>
      <c r="C472" s="18">
        <v>24</v>
      </c>
    </row>
    <row r="473" spans="1:3" x14ac:dyDescent="0.25">
      <c r="A473" s="17" t="s">
        <v>1045</v>
      </c>
      <c r="B473" s="18">
        <v>22380.204000000002</v>
      </c>
      <c r="C473" s="18">
        <v>25</v>
      </c>
    </row>
    <row r="474" spans="1:3" x14ac:dyDescent="0.25">
      <c r="A474" s="17" t="s">
        <v>921</v>
      </c>
      <c r="B474" s="18">
        <v>21679.749799999998</v>
      </c>
      <c r="C474" s="18">
        <v>26</v>
      </c>
    </row>
    <row r="475" spans="1:3" x14ac:dyDescent="0.25">
      <c r="A475" s="17" t="s">
        <v>950</v>
      </c>
      <c r="B475" s="18">
        <v>21573.6495</v>
      </c>
      <c r="C475" s="18">
        <v>27</v>
      </c>
    </row>
    <row r="476" spans="1:3" x14ac:dyDescent="0.25">
      <c r="A476" s="17" t="s">
        <v>1131</v>
      </c>
      <c r="B476" s="18">
        <v>21541.017959999997</v>
      </c>
      <c r="C476" s="18">
        <v>28</v>
      </c>
    </row>
    <row r="477" spans="1:3" x14ac:dyDescent="0.25">
      <c r="A477" s="17" t="s">
        <v>1180</v>
      </c>
      <c r="B477" s="18">
        <v>20797.98</v>
      </c>
      <c r="C477" s="18">
        <v>29</v>
      </c>
    </row>
    <row r="478" spans="1:3" x14ac:dyDescent="0.25">
      <c r="A478" s="17" t="s">
        <v>1151</v>
      </c>
      <c r="B478" s="18">
        <v>19637.76528</v>
      </c>
      <c r="C478" s="18">
        <v>30</v>
      </c>
    </row>
    <row r="479" spans="1:3" x14ac:dyDescent="0.25">
      <c r="A479" s="17" t="s">
        <v>1091</v>
      </c>
      <c r="B479" s="18">
        <v>19547.329920000004</v>
      </c>
      <c r="C479" s="18">
        <v>31</v>
      </c>
    </row>
    <row r="480" spans="1:3" x14ac:dyDescent="0.25">
      <c r="A480" s="17" t="s">
        <v>816</v>
      </c>
      <c r="B480" s="18">
        <v>19510.808000000001</v>
      </c>
      <c r="C480" s="18">
        <v>32</v>
      </c>
    </row>
    <row r="481" spans="1:3" x14ac:dyDescent="0.25">
      <c r="A481" s="17" t="s">
        <v>1198</v>
      </c>
      <c r="B481" s="18">
        <v>19233.355499999998</v>
      </c>
      <c r="C481" s="18">
        <v>33</v>
      </c>
    </row>
    <row r="482" spans="1:3" x14ac:dyDescent="0.25">
      <c r="A482" s="17" t="s">
        <v>1096</v>
      </c>
      <c r="B482" s="18">
        <v>16873.45</v>
      </c>
      <c r="C482" s="18">
        <v>34</v>
      </c>
    </row>
    <row r="483" spans="1:3" x14ac:dyDescent="0.25">
      <c r="A483" s="17" t="s">
        <v>1137</v>
      </c>
      <c r="B483" s="18">
        <v>16134.22069</v>
      </c>
      <c r="C483" s="18">
        <v>35</v>
      </c>
    </row>
    <row r="484" spans="1:3" x14ac:dyDescent="0.25">
      <c r="A484" s="17" t="s">
        <v>847</v>
      </c>
      <c r="B484" s="18">
        <v>16061.972879999999</v>
      </c>
      <c r="C484" s="18">
        <v>36</v>
      </c>
    </row>
    <row r="485" spans="1:3" x14ac:dyDescent="0.25">
      <c r="A485" s="17" t="s">
        <v>925</v>
      </c>
      <c r="B485" s="18">
        <v>14963.769179999999</v>
      </c>
      <c r="C485" s="18">
        <v>37</v>
      </c>
    </row>
    <row r="486" spans="1:3" x14ac:dyDescent="0.25">
      <c r="A486" s="17" t="s">
        <v>1144</v>
      </c>
      <c r="B486" s="18">
        <v>14527.748400000002</v>
      </c>
      <c r="C486" s="18">
        <v>38</v>
      </c>
    </row>
    <row r="487" spans="1:3" x14ac:dyDescent="0.25">
      <c r="A487" s="17" t="s">
        <v>1353</v>
      </c>
      <c r="B487" s="18">
        <v>12769.38768</v>
      </c>
      <c r="C487" s="18">
        <v>39</v>
      </c>
    </row>
    <row r="488" spans="1:3" x14ac:dyDescent="0.25">
      <c r="A488" s="17" t="s">
        <v>1165</v>
      </c>
      <c r="B488" s="18">
        <v>12668.50728</v>
      </c>
      <c r="C488" s="18">
        <v>40</v>
      </c>
    </row>
    <row r="489" spans="1:3" x14ac:dyDescent="0.25">
      <c r="A489" s="17" t="s">
        <v>1173</v>
      </c>
      <c r="B489" s="18">
        <v>12289.2</v>
      </c>
      <c r="C489" s="18">
        <v>41</v>
      </c>
    </row>
    <row r="490" spans="1:3" x14ac:dyDescent="0.25">
      <c r="A490" s="17" t="s">
        <v>969</v>
      </c>
      <c r="B490" s="18">
        <v>12248.675999999999</v>
      </c>
      <c r="C490" s="18">
        <v>42</v>
      </c>
    </row>
    <row r="491" spans="1:3" x14ac:dyDescent="0.25">
      <c r="A491" s="17" t="s">
        <v>790</v>
      </c>
      <c r="B491" s="18">
        <v>12153.267360000002</v>
      </c>
      <c r="C491" s="18">
        <v>43</v>
      </c>
    </row>
    <row r="492" spans="1:3" x14ac:dyDescent="0.25">
      <c r="A492" s="17" t="s">
        <v>1177</v>
      </c>
      <c r="B492" s="18">
        <v>11984.891250000001</v>
      </c>
      <c r="C492" s="18">
        <v>44</v>
      </c>
    </row>
    <row r="493" spans="1:3" x14ac:dyDescent="0.25">
      <c r="A493" s="17" t="s">
        <v>1257</v>
      </c>
      <c r="B493" s="18">
        <v>11924.0978</v>
      </c>
      <c r="C493" s="18">
        <v>45</v>
      </c>
    </row>
    <row r="494" spans="1:3" x14ac:dyDescent="0.25">
      <c r="A494" s="17" t="s">
        <v>922</v>
      </c>
      <c r="B494" s="18">
        <v>11326.846439999999</v>
      </c>
      <c r="C494" s="18">
        <v>46</v>
      </c>
    </row>
    <row r="495" spans="1:3" x14ac:dyDescent="0.25">
      <c r="A495" s="17" t="s">
        <v>1117</v>
      </c>
      <c r="B495" s="18">
        <v>11285.764020000001</v>
      </c>
      <c r="C495" s="18">
        <v>47</v>
      </c>
    </row>
    <row r="496" spans="1:3" x14ac:dyDescent="0.25">
      <c r="A496" s="17" t="s">
        <v>787</v>
      </c>
      <c r="B496" s="18">
        <v>10947.904</v>
      </c>
      <c r="C496" s="18">
        <v>48</v>
      </c>
    </row>
    <row r="497" spans="1:3" x14ac:dyDescent="0.25">
      <c r="A497" s="17" t="s">
        <v>736</v>
      </c>
      <c r="B497" s="18">
        <v>10370.549999999999</v>
      </c>
      <c r="C497" s="18">
        <v>49</v>
      </c>
    </row>
    <row r="498" spans="1:3" x14ac:dyDescent="0.25">
      <c r="A498" s="17" t="s">
        <v>1145</v>
      </c>
      <c r="B498" s="18">
        <v>9984.7160999999978</v>
      </c>
      <c r="C498" s="18">
        <v>50</v>
      </c>
    </row>
    <row r="499" spans="1:3" x14ac:dyDescent="0.25">
      <c r="A499" s="17" t="s">
        <v>966</v>
      </c>
      <c r="B499" s="18">
        <v>9684.8756000000012</v>
      </c>
      <c r="C499" s="18">
        <v>51</v>
      </c>
    </row>
    <row r="500" spans="1:3" x14ac:dyDescent="0.25">
      <c r="A500" s="17" t="s">
        <v>1213</v>
      </c>
      <c r="B500" s="18">
        <v>9614.4403999999995</v>
      </c>
      <c r="C500" s="18">
        <v>52</v>
      </c>
    </row>
    <row r="501" spans="1:3" x14ac:dyDescent="0.25">
      <c r="A501" s="17" t="s">
        <v>1041</v>
      </c>
      <c r="B501" s="18">
        <v>9062.34692</v>
      </c>
      <c r="C501" s="18">
        <v>53</v>
      </c>
    </row>
    <row r="502" spans="1:3" x14ac:dyDescent="0.25">
      <c r="A502" s="17" t="s">
        <v>1068</v>
      </c>
      <c r="B502" s="18">
        <v>8938.8996600000009</v>
      </c>
      <c r="C502" s="18">
        <v>54</v>
      </c>
    </row>
    <row r="503" spans="1:3" x14ac:dyDescent="0.25">
      <c r="A503" s="17" t="s">
        <v>866</v>
      </c>
      <c r="B503" s="18">
        <v>8211.6342000000004</v>
      </c>
      <c r="C503" s="18">
        <v>55</v>
      </c>
    </row>
    <row r="504" spans="1:3" x14ac:dyDescent="0.25">
      <c r="A504" s="17" t="s">
        <v>887</v>
      </c>
      <c r="B504" s="18">
        <v>8154.5511600000009</v>
      </c>
      <c r="C504" s="18">
        <v>56</v>
      </c>
    </row>
    <row r="505" spans="1:3" x14ac:dyDescent="0.25">
      <c r="A505" s="17" t="s">
        <v>1028</v>
      </c>
      <c r="B505" s="18">
        <v>8093.4784</v>
      </c>
      <c r="C505" s="18">
        <v>57</v>
      </c>
    </row>
    <row r="506" spans="1:3" x14ac:dyDescent="0.25">
      <c r="A506" s="17" t="s">
        <v>1225</v>
      </c>
      <c r="B506" s="18">
        <v>7428.1108999999988</v>
      </c>
      <c r="C506" s="18">
        <v>58</v>
      </c>
    </row>
    <row r="507" spans="1:3" x14ac:dyDescent="0.25">
      <c r="A507" s="17" t="s">
        <v>1303</v>
      </c>
      <c r="B507" s="18">
        <v>7173.3342799999991</v>
      </c>
      <c r="C507" s="18">
        <v>59</v>
      </c>
    </row>
    <row r="508" spans="1:3" x14ac:dyDescent="0.25">
      <c r="A508" s="17" t="s">
        <v>993</v>
      </c>
      <c r="B508" s="18">
        <v>6946.8</v>
      </c>
      <c r="C508" s="18">
        <v>60</v>
      </c>
    </row>
    <row r="509" spans="1:3" x14ac:dyDescent="0.25">
      <c r="A509" s="17" t="s">
        <v>963</v>
      </c>
      <c r="B509" s="18">
        <v>6684.1875</v>
      </c>
      <c r="C509" s="18">
        <v>61</v>
      </c>
    </row>
    <row r="510" spans="1:3" x14ac:dyDescent="0.25">
      <c r="A510" s="17" t="s">
        <v>956</v>
      </c>
      <c r="B510" s="18">
        <v>5814.6927299999998</v>
      </c>
      <c r="C510" s="18">
        <v>62</v>
      </c>
    </row>
    <row r="511" spans="1:3" x14ac:dyDescent="0.25">
      <c r="A511" s="17" t="s">
        <v>819</v>
      </c>
      <c r="B511" s="18">
        <v>5487.6023999999998</v>
      </c>
      <c r="C511" s="18">
        <v>63</v>
      </c>
    </row>
    <row r="512" spans="1:3" x14ac:dyDescent="0.25">
      <c r="A512" s="17" t="s">
        <v>728</v>
      </c>
      <c r="B512" s="18">
        <v>5225.2710400000005</v>
      </c>
      <c r="C512" s="18">
        <v>64</v>
      </c>
    </row>
    <row r="513" spans="1:3" x14ac:dyDescent="0.25">
      <c r="A513" s="17" t="s">
        <v>1237</v>
      </c>
      <c r="B513" s="18">
        <v>5189.8836000000001</v>
      </c>
      <c r="C513" s="18">
        <v>65</v>
      </c>
    </row>
    <row r="514" spans="1:3" x14ac:dyDescent="0.25">
      <c r="A514" s="17" t="s">
        <v>1210</v>
      </c>
      <c r="B514" s="18">
        <v>5159.7893599999998</v>
      </c>
      <c r="C514" s="18">
        <v>66</v>
      </c>
    </row>
    <row r="515" spans="1:3" x14ac:dyDescent="0.25">
      <c r="A515" s="17" t="s">
        <v>1207</v>
      </c>
      <c r="B515" s="18">
        <v>5127.0390600000001</v>
      </c>
      <c r="C515" s="18">
        <v>67</v>
      </c>
    </row>
    <row r="516" spans="1:3" x14ac:dyDescent="0.25">
      <c r="A516" s="17" t="s">
        <v>1059</v>
      </c>
      <c r="B516" s="18">
        <v>4856.35725</v>
      </c>
      <c r="C516" s="18">
        <v>68</v>
      </c>
    </row>
    <row r="517" spans="1:3" x14ac:dyDescent="0.25">
      <c r="A517" s="17" t="s">
        <v>1086</v>
      </c>
      <c r="B517" s="18">
        <v>4804.4682400000002</v>
      </c>
      <c r="C517" s="18">
        <v>69</v>
      </c>
    </row>
    <row r="518" spans="1:3" x14ac:dyDescent="0.25">
      <c r="A518" s="17" t="s">
        <v>862</v>
      </c>
      <c r="B518" s="18">
        <v>4336.2427499999994</v>
      </c>
      <c r="C518" s="18">
        <v>70</v>
      </c>
    </row>
    <row r="519" spans="1:3" x14ac:dyDescent="0.25">
      <c r="A519" s="17" t="s">
        <v>752</v>
      </c>
      <c r="B519" s="18">
        <v>3980.7075</v>
      </c>
      <c r="C519" s="18">
        <v>71</v>
      </c>
    </row>
    <row r="520" spans="1:3" x14ac:dyDescent="0.25">
      <c r="A520" s="17" t="s">
        <v>1010</v>
      </c>
      <c r="B520" s="18">
        <v>3978.6474000000003</v>
      </c>
      <c r="C520" s="18">
        <v>72</v>
      </c>
    </row>
    <row r="521" spans="1:3" x14ac:dyDescent="0.25">
      <c r="A521" s="17" t="s">
        <v>753</v>
      </c>
      <c r="B521" s="18">
        <v>3913.2000000000003</v>
      </c>
      <c r="C521" s="18">
        <v>73</v>
      </c>
    </row>
    <row r="522" spans="1:3" x14ac:dyDescent="0.25">
      <c r="A522" s="17" t="s">
        <v>1052</v>
      </c>
      <c r="B522" s="18">
        <v>3799.8031499999997</v>
      </c>
      <c r="C522" s="18">
        <v>74</v>
      </c>
    </row>
    <row r="523" spans="1:3" x14ac:dyDescent="0.25">
      <c r="A523" s="17" t="s">
        <v>858</v>
      </c>
      <c r="B523" s="18">
        <v>3494.4040799999998</v>
      </c>
      <c r="C523" s="18">
        <v>75</v>
      </c>
    </row>
    <row r="524" spans="1:3" x14ac:dyDescent="0.25">
      <c r="A524" s="17" t="s">
        <v>970</v>
      </c>
      <c r="B524" s="18">
        <v>2909.8689199999999</v>
      </c>
      <c r="C524" s="18">
        <v>76</v>
      </c>
    </row>
    <row r="525" spans="1:3" x14ac:dyDescent="0.25">
      <c r="A525" s="17" t="s">
        <v>853</v>
      </c>
      <c r="B525" s="18">
        <v>2642.1686999999997</v>
      </c>
      <c r="C525" s="18">
        <v>77</v>
      </c>
    </row>
    <row r="526" spans="1:3" x14ac:dyDescent="0.25">
      <c r="A526" s="17" t="s">
        <v>1055</v>
      </c>
      <c r="B526" s="18">
        <v>2537.2908000000002</v>
      </c>
      <c r="C526" s="18">
        <v>78</v>
      </c>
    </row>
    <row r="527" spans="1:3" x14ac:dyDescent="0.25">
      <c r="A527" s="17" t="s">
        <v>1072</v>
      </c>
      <c r="B527" s="18">
        <v>2206.8000000000002</v>
      </c>
      <c r="C527" s="18">
        <v>79</v>
      </c>
    </row>
    <row r="528" spans="1:3" x14ac:dyDescent="0.25">
      <c r="A528" s="17" t="s">
        <v>1136</v>
      </c>
      <c r="B528" s="18">
        <v>2059.0056</v>
      </c>
      <c r="C528" s="18">
        <v>80</v>
      </c>
    </row>
    <row r="529" spans="1:3" x14ac:dyDescent="0.25">
      <c r="A529" s="17" t="s">
        <v>1295</v>
      </c>
      <c r="B529" s="18">
        <v>841.00536</v>
      </c>
      <c r="C529" s="18">
        <v>81</v>
      </c>
    </row>
    <row r="530" spans="1:3" x14ac:dyDescent="0.25">
      <c r="A530" s="17" t="s">
        <v>1007</v>
      </c>
      <c r="B530" s="18">
        <v>667.74</v>
      </c>
      <c r="C530" s="18">
        <v>82</v>
      </c>
    </row>
    <row r="531" spans="1:3" x14ac:dyDescent="0.25">
      <c r="A531" s="17" t="s">
        <v>1255</v>
      </c>
      <c r="B531" s="18">
        <v>618.19979999999987</v>
      </c>
      <c r="C531" s="18">
        <v>83</v>
      </c>
    </row>
    <row r="532" spans="1:3" x14ac:dyDescent="0.25">
      <c r="A532" s="17" t="s">
        <v>988</v>
      </c>
      <c r="B532" s="18">
        <v>560.36831999999993</v>
      </c>
      <c r="C532" s="18">
        <v>84</v>
      </c>
    </row>
    <row r="533" spans="1:3" x14ac:dyDescent="0.25">
      <c r="A533" s="17" t="s">
        <v>831</v>
      </c>
      <c r="B533" s="18">
        <v>518.65436999999997</v>
      </c>
      <c r="C533" s="18">
        <v>85</v>
      </c>
    </row>
    <row r="534" spans="1:3" x14ac:dyDescent="0.25">
      <c r="A534" s="17" t="s">
        <v>1309</v>
      </c>
      <c r="B534" s="18">
        <v>370.86</v>
      </c>
      <c r="C534" s="18">
        <v>86</v>
      </c>
    </row>
    <row r="535" spans="1:3" x14ac:dyDescent="0.25">
      <c r="A535" s="17" t="s">
        <v>1217</v>
      </c>
      <c r="B535" s="18">
        <v>110.14919999999999</v>
      </c>
      <c r="C535" s="18">
        <v>87</v>
      </c>
    </row>
    <row r="536" spans="1:3" x14ac:dyDescent="0.25">
      <c r="A536" s="17" t="s">
        <v>1011</v>
      </c>
      <c r="B536" s="18">
        <v>76.138720000000006</v>
      </c>
      <c r="C536" s="18">
        <v>88</v>
      </c>
    </row>
    <row r="537" spans="1:3" x14ac:dyDescent="0.25">
      <c r="A537" s="16" t="s">
        <v>720</v>
      </c>
      <c r="B537" s="18">
        <v>1616102.6546599993</v>
      </c>
      <c r="C537" s="18"/>
    </row>
    <row r="538" spans="1:3" x14ac:dyDescent="0.25">
      <c r="A538" s="17" t="s">
        <v>1262</v>
      </c>
      <c r="B538" s="18">
        <v>66260.314239999992</v>
      </c>
      <c r="C538" s="18">
        <v>1</v>
      </c>
    </row>
    <row r="539" spans="1:3" x14ac:dyDescent="0.25">
      <c r="A539" s="17" t="s">
        <v>1148</v>
      </c>
      <c r="B539" s="18">
        <v>58091.634960000003</v>
      </c>
      <c r="C539" s="18">
        <v>2</v>
      </c>
    </row>
    <row r="540" spans="1:3" x14ac:dyDescent="0.25">
      <c r="A540" s="17" t="s">
        <v>924</v>
      </c>
      <c r="B540" s="18">
        <v>55880.483749999999</v>
      </c>
      <c r="C540" s="18">
        <v>3</v>
      </c>
    </row>
    <row r="541" spans="1:3" x14ac:dyDescent="0.25">
      <c r="A541" s="17" t="s">
        <v>1280</v>
      </c>
      <c r="B541" s="18">
        <v>50545.319219999998</v>
      </c>
      <c r="C541" s="18">
        <v>4</v>
      </c>
    </row>
    <row r="542" spans="1:3" x14ac:dyDescent="0.25">
      <c r="A542" s="17" t="s">
        <v>1081</v>
      </c>
      <c r="B542" s="18">
        <v>43907.94</v>
      </c>
      <c r="C542" s="18">
        <v>5</v>
      </c>
    </row>
    <row r="543" spans="1:3" x14ac:dyDescent="0.25">
      <c r="A543" s="17" t="s">
        <v>820</v>
      </c>
      <c r="B543" s="18">
        <v>43209.006119999991</v>
      </c>
      <c r="C543" s="18">
        <v>6</v>
      </c>
    </row>
    <row r="544" spans="1:3" x14ac:dyDescent="0.25">
      <c r="A544" s="17" t="s">
        <v>1038</v>
      </c>
      <c r="B544" s="18">
        <v>40325.31</v>
      </c>
      <c r="C544" s="18">
        <v>7</v>
      </c>
    </row>
    <row r="545" spans="1:3" x14ac:dyDescent="0.25">
      <c r="A545" s="17" t="s">
        <v>1326</v>
      </c>
      <c r="B545" s="18">
        <v>39810.328000000001</v>
      </c>
      <c r="C545" s="18">
        <v>8</v>
      </c>
    </row>
    <row r="546" spans="1:3" x14ac:dyDescent="0.25">
      <c r="A546" s="17" t="s">
        <v>1062</v>
      </c>
      <c r="B546" s="18">
        <v>38535.955099999999</v>
      </c>
      <c r="C546" s="18">
        <v>9</v>
      </c>
    </row>
    <row r="547" spans="1:3" x14ac:dyDescent="0.25">
      <c r="A547" s="17" t="s">
        <v>1106</v>
      </c>
      <c r="B547" s="18">
        <v>37562.28</v>
      </c>
      <c r="C547" s="18">
        <v>10</v>
      </c>
    </row>
    <row r="548" spans="1:3" x14ac:dyDescent="0.25">
      <c r="A548" s="17" t="s">
        <v>1195</v>
      </c>
      <c r="B548" s="18">
        <v>36549.429260000004</v>
      </c>
      <c r="C548" s="18">
        <v>11</v>
      </c>
    </row>
    <row r="549" spans="1:3" x14ac:dyDescent="0.25">
      <c r="A549" s="17" t="s">
        <v>863</v>
      </c>
      <c r="B549" s="18">
        <v>35567.737920000007</v>
      </c>
      <c r="C549" s="18">
        <v>12</v>
      </c>
    </row>
    <row r="550" spans="1:3" x14ac:dyDescent="0.25">
      <c r="A550" s="17" t="s">
        <v>774</v>
      </c>
      <c r="B550" s="18">
        <v>34444.462359999998</v>
      </c>
      <c r="C550" s="18">
        <v>13</v>
      </c>
    </row>
    <row r="551" spans="1:3" x14ac:dyDescent="0.25">
      <c r="A551" s="17" t="s">
        <v>1253</v>
      </c>
      <c r="B551" s="18">
        <v>33421.1</v>
      </c>
      <c r="C551" s="18">
        <v>14</v>
      </c>
    </row>
    <row r="552" spans="1:3" x14ac:dyDescent="0.25">
      <c r="A552" s="17" t="s">
        <v>1271</v>
      </c>
      <c r="B552" s="18">
        <v>31822.023930000003</v>
      </c>
      <c r="C552" s="18">
        <v>15</v>
      </c>
    </row>
    <row r="553" spans="1:3" x14ac:dyDescent="0.25">
      <c r="A553" s="17" t="s">
        <v>767</v>
      </c>
      <c r="B553" s="18">
        <v>30596.565999999999</v>
      </c>
      <c r="C553" s="18">
        <v>16</v>
      </c>
    </row>
    <row r="554" spans="1:3" x14ac:dyDescent="0.25">
      <c r="A554" s="17" t="s">
        <v>878</v>
      </c>
      <c r="B554" s="18">
        <v>29654.83008</v>
      </c>
      <c r="C554" s="18">
        <v>17</v>
      </c>
    </row>
    <row r="555" spans="1:3" x14ac:dyDescent="0.25">
      <c r="A555" s="17" t="s">
        <v>1211</v>
      </c>
      <c r="B555" s="18">
        <v>28856.475000000002</v>
      </c>
      <c r="C555" s="18">
        <v>18</v>
      </c>
    </row>
    <row r="556" spans="1:3" x14ac:dyDescent="0.25">
      <c r="A556" s="17" t="s">
        <v>944</v>
      </c>
      <c r="B556" s="18">
        <v>28211.92124</v>
      </c>
      <c r="C556" s="18">
        <v>19</v>
      </c>
    </row>
    <row r="557" spans="1:3" x14ac:dyDescent="0.25">
      <c r="A557" s="17" t="s">
        <v>1199</v>
      </c>
      <c r="B557" s="18">
        <v>27194.152039999997</v>
      </c>
      <c r="C557" s="18">
        <v>20</v>
      </c>
    </row>
    <row r="558" spans="1:3" x14ac:dyDescent="0.25">
      <c r="A558" s="17" t="s">
        <v>741</v>
      </c>
      <c r="B558" s="18">
        <v>25948.414799999995</v>
      </c>
      <c r="C558" s="18">
        <v>21</v>
      </c>
    </row>
    <row r="559" spans="1:3" x14ac:dyDescent="0.25">
      <c r="A559" s="17" t="s">
        <v>978</v>
      </c>
      <c r="B559" s="18">
        <v>25483.91488</v>
      </c>
      <c r="C559" s="18">
        <v>22</v>
      </c>
    </row>
    <row r="560" spans="1:3" x14ac:dyDescent="0.25">
      <c r="A560" s="17" t="s">
        <v>1341</v>
      </c>
      <c r="B560" s="18">
        <v>25174.028880000002</v>
      </c>
      <c r="C560" s="18">
        <v>23</v>
      </c>
    </row>
    <row r="561" spans="1:3" x14ac:dyDescent="0.25">
      <c r="A561" s="17" t="s">
        <v>1130</v>
      </c>
      <c r="B561" s="18">
        <v>22457.143800000002</v>
      </c>
      <c r="C561" s="18">
        <v>24</v>
      </c>
    </row>
    <row r="562" spans="1:3" x14ac:dyDescent="0.25">
      <c r="A562" s="17" t="s">
        <v>1240</v>
      </c>
      <c r="B562" s="18">
        <v>22201.762229999997</v>
      </c>
      <c r="C562" s="18">
        <v>25</v>
      </c>
    </row>
    <row r="563" spans="1:3" x14ac:dyDescent="0.25">
      <c r="A563" s="17" t="s">
        <v>1168</v>
      </c>
      <c r="B563" s="18">
        <v>21664.440000000002</v>
      </c>
      <c r="C563" s="18">
        <v>26</v>
      </c>
    </row>
    <row r="564" spans="1:3" x14ac:dyDescent="0.25">
      <c r="A564" s="17" t="s">
        <v>738</v>
      </c>
      <c r="B564" s="18">
        <v>21585.15</v>
      </c>
      <c r="C564" s="18">
        <v>27</v>
      </c>
    </row>
    <row r="565" spans="1:3" x14ac:dyDescent="0.25">
      <c r="A565" s="17" t="s">
        <v>1164</v>
      </c>
      <c r="B565" s="18">
        <v>20672.289000000001</v>
      </c>
      <c r="C565" s="18">
        <v>28</v>
      </c>
    </row>
    <row r="566" spans="1:3" x14ac:dyDescent="0.25">
      <c r="A566" s="17" t="s">
        <v>1067</v>
      </c>
      <c r="B566" s="18">
        <v>20053.439999999999</v>
      </c>
      <c r="C566" s="18">
        <v>29</v>
      </c>
    </row>
    <row r="567" spans="1:3" x14ac:dyDescent="0.25">
      <c r="A567" s="17" t="s">
        <v>1139</v>
      </c>
      <c r="B567" s="18">
        <v>18411.4084</v>
      </c>
      <c r="C567" s="18">
        <v>30</v>
      </c>
    </row>
    <row r="568" spans="1:3" x14ac:dyDescent="0.25">
      <c r="A568" s="17" t="s">
        <v>806</v>
      </c>
      <c r="B568" s="18">
        <v>18258.868320000001</v>
      </c>
      <c r="C568" s="18">
        <v>31</v>
      </c>
    </row>
    <row r="569" spans="1:3" x14ac:dyDescent="0.25">
      <c r="A569" s="17" t="s">
        <v>1334</v>
      </c>
      <c r="B569" s="18">
        <v>18003.847679999999</v>
      </c>
      <c r="C569" s="18">
        <v>32</v>
      </c>
    </row>
    <row r="570" spans="1:3" x14ac:dyDescent="0.25">
      <c r="A570" s="17" t="s">
        <v>726</v>
      </c>
      <c r="B570" s="18">
        <v>17960.432489999999</v>
      </c>
      <c r="C570" s="18">
        <v>33</v>
      </c>
    </row>
    <row r="571" spans="1:3" x14ac:dyDescent="0.25">
      <c r="A571" s="17" t="s">
        <v>1125</v>
      </c>
      <c r="B571" s="18">
        <v>17427.164800000002</v>
      </c>
      <c r="C571" s="18">
        <v>34</v>
      </c>
    </row>
    <row r="572" spans="1:3" x14ac:dyDescent="0.25">
      <c r="A572" s="17" t="s">
        <v>960</v>
      </c>
      <c r="B572" s="18">
        <v>17359.804799999998</v>
      </c>
      <c r="C572" s="18">
        <v>35</v>
      </c>
    </row>
    <row r="573" spans="1:3" x14ac:dyDescent="0.25">
      <c r="A573" s="17" t="s">
        <v>953</v>
      </c>
      <c r="B573" s="18">
        <v>16609.090809999998</v>
      </c>
      <c r="C573" s="18">
        <v>36</v>
      </c>
    </row>
    <row r="574" spans="1:3" x14ac:dyDescent="0.25">
      <c r="A574" s="17" t="s">
        <v>1193</v>
      </c>
      <c r="B574" s="18">
        <v>16252.219979999998</v>
      </c>
      <c r="C574" s="18">
        <v>37</v>
      </c>
    </row>
    <row r="575" spans="1:3" x14ac:dyDescent="0.25">
      <c r="A575" s="17" t="s">
        <v>1060</v>
      </c>
      <c r="B575" s="18">
        <v>16219.34496</v>
      </c>
      <c r="C575" s="18">
        <v>38</v>
      </c>
    </row>
    <row r="576" spans="1:3" x14ac:dyDescent="0.25">
      <c r="A576" s="17" t="s">
        <v>933</v>
      </c>
      <c r="B576" s="18">
        <v>15825.399369999997</v>
      </c>
      <c r="C576" s="18">
        <v>39</v>
      </c>
    </row>
    <row r="577" spans="1:3" x14ac:dyDescent="0.25">
      <c r="A577" s="17" t="s">
        <v>901</v>
      </c>
      <c r="B577" s="18">
        <v>15656.47056</v>
      </c>
      <c r="C577" s="18">
        <v>40</v>
      </c>
    </row>
    <row r="578" spans="1:3" x14ac:dyDescent="0.25">
      <c r="A578" s="17" t="s">
        <v>763</v>
      </c>
      <c r="B578" s="18">
        <v>14968.239</v>
      </c>
      <c r="C578" s="18">
        <v>41</v>
      </c>
    </row>
    <row r="579" spans="1:3" x14ac:dyDescent="0.25">
      <c r="A579" s="17" t="s">
        <v>873</v>
      </c>
      <c r="B579" s="18">
        <v>14877.464000000002</v>
      </c>
      <c r="C579" s="18">
        <v>42</v>
      </c>
    </row>
    <row r="580" spans="1:3" x14ac:dyDescent="0.25">
      <c r="A580" s="17" t="s">
        <v>1084</v>
      </c>
      <c r="B580" s="18">
        <v>14813.731920000002</v>
      </c>
      <c r="C580" s="18">
        <v>43</v>
      </c>
    </row>
    <row r="581" spans="1:3" x14ac:dyDescent="0.25">
      <c r="A581" s="17" t="s">
        <v>1283</v>
      </c>
      <c r="B581" s="18">
        <v>13251.48</v>
      </c>
      <c r="C581" s="18">
        <v>44</v>
      </c>
    </row>
    <row r="582" spans="1:3" x14ac:dyDescent="0.25">
      <c r="A582" s="17" t="s">
        <v>1154</v>
      </c>
      <c r="B582" s="18">
        <v>12955.824749999998</v>
      </c>
      <c r="C582" s="18">
        <v>45</v>
      </c>
    </row>
    <row r="583" spans="1:3" x14ac:dyDescent="0.25">
      <c r="A583" s="17" t="s">
        <v>1089</v>
      </c>
      <c r="B583" s="18">
        <v>12717.311040000001</v>
      </c>
      <c r="C583" s="18">
        <v>46</v>
      </c>
    </row>
    <row r="584" spans="1:3" x14ac:dyDescent="0.25">
      <c r="A584" s="17" t="s">
        <v>990</v>
      </c>
      <c r="B584" s="18">
        <v>12597.52224</v>
      </c>
      <c r="C584" s="18">
        <v>47</v>
      </c>
    </row>
    <row r="585" spans="1:3" x14ac:dyDescent="0.25">
      <c r="A585" s="17" t="s">
        <v>1174</v>
      </c>
      <c r="B585" s="18">
        <v>12462.65055</v>
      </c>
      <c r="C585" s="18">
        <v>48</v>
      </c>
    </row>
    <row r="586" spans="1:3" x14ac:dyDescent="0.25">
      <c r="A586" s="17" t="s">
        <v>859</v>
      </c>
      <c r="B586" s="18">
        <v>12031.491680000001</v>
      </c>
      <c r="C586" s="18">
        <v>49</v>
      </c>
    </row>
    <row r="587" spans="1:3" x14ac:dyDescent="0.25">
      <c r="A587" s="17" t="s">
        <v>889</v>
      </c>
      <c r="B587" s="18">
        <v>11851.806399999999</v>
      </c>
      <c r="C587" s="18">
        <v>50</v>
      </c>
    </row>
    <row r="588" spans="1:3" x14ac:dyDescent="0.25">
      <c r="A588" s="17" t="s">
        <v>999</v>
      </c>
      <c r="B588" s="18">
        <v>11417.429099999999</v>
      </c>
      <c r="C588" s="18">
        <v>51</v>
      </c>
    </row>
    <row r="589" spans="1:3" x14ac:dyDescent="0.25">
      <c r="A589" s="17" t="s">
        <v>1251</v>
      </c>
      <c r="B589" s="18">
        <v>11406.96</v>
      </c>
      <c r="C589" s="18">
        <v>52</v>
      </c>
    </row>
    <row r="590" spans="1:3" x14ac:dyDescent="0.25">
      <c r="A590" s="17" t="s">
        <v>729</v>
      </c>
      <c r="B590" s="18">
        <v>10957.9797</v>
      </c>
      <c r="C590" s="18">
        <v>53</v>
      </c>
    </row>
    <row r="591" spans="1:3" x14ac:dyDescent="0.25">
      <c r="A591" s="17" t="s">
        <v>1226</v>
      </c>
      <c r="B591" s="18">
        <v>10869.182940000001</v>
      </c>
      <c r="C591" s="18">
        <v>54</v>
      </c>
    </row>
    <row r="592" spans="1:3" x14ac:dyDescent="0.25">
      <c r="A592" s="17" t="s">
        <v>768</v>
      </c>
      <c r="B592" s="18">
        <v>10666.229420000001</v>
      </c>
      <c r="C592" s="18">
        <v>55</v>
      </c>
    </row>
    <row r="593" spans="1:3" x14ac:dyDescent="0.25">
      <c r="A593" s="17" t="s">
        <v>1338</v>
      </c>
      <c r="B593" s="18">
        <v>10464.138360000001</v>
      </c>
      <c r="C593" s="18">
        <v>56</v>
      </c>
    </row>
    <row r="594" spans="1:3" x14ac:dyDescent="0.25">
      <c r="A594" s="17" t="s">
        <v>1194</v>
      </c>
      <c r="B594" s="18">
        <v>10428.057360000001</v>
      </c>
      <c r="C594" s="18">
        <v>57</v>
      </c>
    </row>
    <row r="595" spans="1:3" x14ac:dyDescent="0.25">
      <c r="A595" s="17" t="s">
        <v>1333</v>
      </c>
      <c r="B595" s="18">
        <v>10260.060159999999</v>
      </c>
      <c r="C595" s="18">
        <v>58</v>
      </c>
    </row>
    <row r="596" spans="1:3" x14ac:dyDescent="0.25">
      <c r="A596" s="17" t="s">
        <v>817</v>
      </c>
      <c r="B596" s="18">
        <v>10161.46624</v>
      </c>
      <c r="C596" s="18">
        <v>59</v>
      </c>
    </row>
    <row r="597" spans="1:3" x14ac:dyDescent="0.25">
      <c r="A597" s="17" t="s">
        <v>868</v>
      </c>
      <c r="B597" s="18">
        <v>9969.4201499999999</v>
      </c>
      <c r="C597" s="18">
        <v>60</v>
      </c>
    </row>
    <row r="598" spans="1:3" x14ac:dyDescent="0.25">
      <c r="A598" s="17" t="s">
        <v>1026</v>
      </c>
      <c r="B598" s="18">
        <v>9866.3104799999983</v>
      </c>
      <c r="C598" s="18">
        <v>61</v>
      </c>
    </row>
    <row r="599" spans="1:3" x14ac:dyDescent="0.25">
      <c r="A599" s="17" t="s">
        <v>1110</v>
      </c>
      <c r="B599" s="18">
        <v>9586.8057599999993</v>
      </c>
      <c r="C599" s="18">
        <v>62</v>
      </c>
    </row>
    <row r="600" spans="1:3" x14ac:dyDescent="0.25">
      <c r="A600" s="17" t="s">
        <v>1249</v>
      </c>
      <c r="B600" s="18">
        <v>8326.6852500000005</v>
      </c>
      <c r="C600" s="18">
        <v>63</v>
      </c>
    </row>
    <row r="601" spans="1:3" x14ac:dyDescent="0.25">
      <c r="A601" s="17" t="s">
        <v>875</v>
      </c>
      <c r="B601" s="18">
        <v>7901.5041599999995</v>
      </c>
      <c r="C601" s="18">
        <v>64</v>
      </c>
    </row>
    <row r="602" spans="1:3" x14ac:dyDescent="0.25">
      <c r="A602" s="17" t="s">
        <v>994</v>
      </c>
      <c r="B602" s="18">
        <v>7678.2113999999992</v>
      </c>
      <c r="C602" s="18">
        <v>65</v>
      </c>
    </row>
    <row r="603" spans="1:3" x14ac:dyDescent="0.25">
      <c r="A603" s="17" t="s">
        <v>1324</v>
      </c>
      <c r="B603" s="18">
        <v>7466.3063999999986</v>
      </c>
      <c r="C603" s="18">
        <v>66</v>
      </c>
    </row>
    <row r="604" spans="1:3" x14ac:dyDescent="0.25">
      <c r="A604" s="17" t="s">
        <v>954</v>
      </c>
      <c r="B604" s="18">
        <v>7446.5209000000004</v>
      </c>
      <c r="C604" s="18">
        <v>67</v>
      </c>
    </row>
    <row r="605" spans="1:3" x14ac:dyDescent="0.25">
      <c r="A605" s="17" t="s">
        <v>771</v>
      </c>
      <c r="B605" s="18">
        <v>7135.57</v>
      </c>
      <c r="C605" s="18">
        <v>68</v>
      </c>
    </row>
    <row r="606" spans="1:3" x14ac:dyDescent="0.25">
      <c r="A606" s="17" t="s">
        <v>937</v>
      </c>
      <c r="B606" s="18">
        <v>6984.8246399999998</v>
      </c>
      <c r="C606" s="18">
        <v>69</v>
      </c>
    </row>
    <row r="607" spans="1:3" x14ac:dyDescent="0.25">
      <c r="A607" s="17" t="s">
        <v>1135</v>
      </c>
      <c r="B607" s="18">
        <v>6899.8804600000003</v>
      </c>
      <c r="C607" s="18">
        <v>70</v>
      </c>
    </row>
    <row r="608" spans="1:3" x14ac:dyDescent="0.25">
      <c r="A608" s="17" t="s">
        <v>760</v>
      </c>
      <c r="B608" s="18">
        <v>6631.6443100000006</v>
      </c>
      <c r="C608" s="18">
        <v>71</v>
      </c>
    </row>
    <row r="609" spans="1:3" x14ac:dyDescent="0.25">
      <c r="A609" s="17" t="s">
        <v>943</v>
      </c>
      <c r="B609" s="18">
        <v>6535.6324800000002</v>
      </c>
      <c r="C609" s="18">
        <v>72</v>
      </c>
    </row>
    <row r="610" spans="1:3" x14ac:dyDescent="0.25">
      <c r="A610" s="17" t="s">
        <v>1167</v>
      </c>
      <c r="B610" s="18">
        <v>5960.04288</v>
      </c>
      <c r="C610" s="18">
        <v>73</v>
      </c>
    </row>
    <row r="611" spans="1:3" x14ac:dyDescent="0.25">
      <c r="A611" s="17" t="s">
        <v>1327</v>
      </c>
      <c r="B611" s="18">
        <v>5457.4317000000001</v>
      </c>
      <c r="C611" s="18">
        <v>74</v>
      </c>
    </row>
    <row r="612" spans="1:3" x14ac:dyDescent="0.25">
      <c r="A612" s="17" t="s">
        <v>1033</v>
      </c>
      <c r="B612" s="18">
        <v>5334.9141999999993</v>
      </c>
      <c r="C612" s="18">
        <v>75</v>
      </c>
    </row>
    <row r="613" spans="1:3" x14ac:dyDescent="0.25">
      <c r="A613" s="17" t="s">
        <v>1205</v>
      </c>
      <c r="B613" s="18">
        <v>4738.5261</v>
      </c>
      <c r="C613" s="18">
        <v>76</v>
      </c>
    </row>
    <row r="614" spans="1:3" x14ac:dyDescent="0.25">
      <c r="A614" s="17" t="s">
        <v>926</v>
      </c>
      <c r="B614" s="18">
        <v>4637.7968000000001</v>
      </c>
      <c r="C614" s="18">
        <v>77</v>
      </c>
    </row>
    <row r="615" spans="1:3" x14ac:dyDescent="0.25">
      <c r="A615" s="17" t="s">
        <v>1094</v>
      </c>
      <c r="B615" s="18">
        <v>4569.5735999999997</v>
      </c>
      <c r="C615" s="18">
        <v>78</v>
      </c>
    </row>
    <row r="616" spans="1:3" x14ac:dyDescent="0.25">
      <c r="A616" s="17" t="s">
        <v>965</v>
      </c>
      <c r="B616" s="18">
        <v>4436.6291200000005</v>
      </c>
      <c r="C616" s="18">
        <v>79</v>
      </c>
    </row>
    <row r="617" spans="1:3" x14ac:dyDescent="0.25">
      <c r="A617" s="17" t="s">
        <v>904</v>
      </c>
      <c r="B617" s="18">
        <v>4420.5961799999995</v>
      </c>
      <c r="C617" s="18">
        <v>80</v>
      </c>
    </row>
    <row r="618" spans="1:3" x14ac:dyDescent="0.25">
      <c r="A618" s="17" t="s">
        <v>1321</v>
      </c>
      <c r="B618" s="18">
        <v>4409.5168800000001</v>
      </c>
      <c r="C618" s="18">
        <v>81</v>
      </c>
    </row>
    <row r="619" spans="1:3" x14ac:dyDescent="0.25">
      <c r="A619" s="17" t="s">
        <v>918</v>
      </c>
      <c r="B619" s="18">
        <v>4402.1164799999997</v>
      </c>
      <c r="C619" s="18">
        <v>82</v>
      </c>
    </row>
    <row r="620" spans="1:3" x14ac:dyDescent="0.25">
      <c r="A620" s="17" t="s">
        <v>1021</v>
      </c>
      <c r="B620" s="18">
        <v>4241.88105</v>
      </c>
      <c r="C620" s="18">
        <v>83</v>
      </c>
    </row>
    <row r="621" spans="1:3" x14ac:dyDescent="0.25">
      <c r="A621" s="17" t="s">
        <v>877</v>
      </c>
      <c r="B621" s="18">
        <v>4139.8127999999997</v>
      </c>
      <c r="C621" s="18">
        <v>84</v>
      </c>
    </row>
    <row r="622" spans="1:3" x14ac:dyDescent="0.25">
      <c r="A622" s="17" t="s">
        <v>1075</v>
      </c>
      <c r="B622" s="18">
        <v>4132.0325200000007</v>
      </c>
      <c r="C622" s="18">
        <v>85</v>
      </c>
    </row>
    <row r="623" spans="1:3" x14ac:dyDescent="0.25">
      <c r="A623" s="17" t="s">
        <v>1098</v>
      </c>
      <c r="B623" s="18">
        <v>4117.4880599999997</v>
      </c>
      <c r="C623" s="18">
        <v>86</v>
      </c>
    </row>
    <row r="624" spans="1:3" x14ac:dyDescent="0.25">
      <c r="A624" s="17" t="s">
        <v>1186</v>
      </c>
      <c r="B624" s="18">
        <v>4055.5175999999997</v>
      </c>
      <c r="C624" s="18">
        <v>87</v>
      </c>
    </row>
    <row r="625" spans="1:3" x14ac:dyDescent="0.25">
      <c r="A625" s="17" t="s">
        <v>1212</v>
      </c>
      <c r="B625" s="18">
        <v>4025.8565599999993</v>
      </c>
      <c r="C625" s="18">
        <v>88</v>
      </c>
    </row>
    <row r="626" spans="1:3" x14ac:dyDescent="0.25">
      <c r="A626" s="17" t="s">
        <v>764</v>
      </c>
      <c r="B626" s="18">
        <v>3562.1983800000003</v>
      </c>
      <c r="C626" s="18">
        <v>89</v>
      </c>
    </row>
    <row r="627" spans="1:3" x14ac:dyDescent="0.25">
      <c r="A627" s="17" t="s">
        <v>1320</v>
      </c>
      <c r="B627" s="18">
        <v>3116.21</v>
      </c>
      <c r="C627" s="18">
        <v>90</v>
      </c>
    </row>
    <row r="628" spans="1:3" x14ac:dyDescent="0.25">
      <c r="A628" s="17" t="s">
        <v>957</v>
      </c>
      <c r="B628" s="18">
        <v>2879.9836</v>
      </c>
      <c r="C628" s="18">
        <v>91</v>
      </c>
    </row>
    <row r="629" spans="1:3" x14ac:dyDescent="0.25">
      <c r="A629" s="17" t="s">
        <v>1331</v>
      </c>
      <c r="B629" s="18">
        <v>2736.27018</v>
      </c>
      <c r="C629" s="18">
        <v>92</v>
      </c>
    </row>
    <row r="630" spans="1:3" x14ac:dyDescent="0.25">
      <c r="A630" s="17" t="s">
        <v>1115</v>
      </c>
      <c r="B630" s="18">
        <v>2525.0635000000002</v>
      </c>
      <c r="C630" s="18">
        <v>93</v>
      </c>
    </row>
    <row r="631" spans="1:3" x14ac:dyDescent="0.25">
      <c r="A631" s="17" t="s">
        <v>1250</v>
      </c>
      <c r="B631" s="18">
        <v>2146.5580500000001</v>
      </c>
      <c r="C631" s="18">
        <v>94</v>
      </c>
    </row>
    <row r="632" spans="1:3" x14ac:dyDescent="0.25">
      <c r="A632" s="17" t="s">
        <v>899</v>
      </c>
      <c r="B632" s="18">
        <v>1952.6356799999999</v>
      </c>
      <c r="C632" s="18">
        <v>95</v>
      </c>
    </row>
    <row r="633" spans="1:3" x14ac:dyDescent="0.25">
      <c r="A633" s="17" t="s">
        <v>1169</v>
      </c>
      <c r="B633" s="18">
        <v>1925.29872</v>
      </c>
      <c r="C633" s="18">
        <v>96</v>
      </c>
    </row>
    <row r="634" spans="1:3" x14ac:dyDescent="0.25">
      <c r="A634" s="17" t="s">
        <v>751</v>
      </c>
      <c r="B634" s="18">
        <v>1756.6999999999998</v>
      </c>
      <c r="C634" s="18">
        <v>97</v>
      </c>
    </row>
    <row r="635" spans="1:3" x14ac:dyDescent="0.25">
      <c r="A635" s="17" t="s">
        <v>1079</v>
      </c>
      <c r="B635" s="18">
        <v>1122.0896000000002</v>
      </c>
      <c r="C635" s="18">
        <v>98</v>
      </c>
    </row>
    <row r="636" spans="1:3" x14ac:dyDescent="0.25">
      <c r="A636" s="17" t="s">
        <v>1016</v>
      </c>
      <c r="B636" s="18">
        <v>1098.9470800000001</v>
      </c>
      <c r="C636" s="18">
        <v>99</v>
      </c>
    </row>
    <row r="637" spans="1:3" x14ac:dyDescent="0.25">
      <c r="A637" s="17" t="s">
        <v>841</v>
      </c>
      <c r="B637" s="18">
        <v>765.99195000000009</v>
      </c>
      <c r="C637" s="18">
        <v>100</v>
      </c>
    </row>
    <row r="638" spans="1:3" x14ac:dyDescent="0.25">
      <c r="A638" s="17" t="s">
        <v>968</v>
      </c>
      <c r="B638" s="18">
        <v>748.22303999999997</v>
      </c>
      <c r="C638" s="18">
        <v>101</v>
      </c>
    </row>
    <row r="639" spans="1:3" x14ac:dyDescent="0.25">
      <c r="A639" s="17" t="s">
        <v>1142</v>
      </c>
      <c r="B639" s="18">
        <v>741.43835999999999</v>
      </c>
      <c r="C639" s="18">
        <v>102</v>
      </c>
    </row>
    <row r="640" spans="1:3" x14ac:dyDescent="0.25">
      <c r="A640" s="17" t="s">
        <v>732</v>
      </c>
      <c r="B640" s="18">
        <v>685.06776000000002</v>
      </c>
      <c r="C640" s="18">
        <v>103</v>
      </c>
    </row>
    <row r="641" spans="1:3" x14ac:dyDescent="0.25">
      <c r="A641" s="16" t="s">
        <v>1422</v>
      </c>
      <c r="B641" s="18">
        <v>10928845.716499999</v>
      </c>
      <c r="C641"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2C425-D2C9-41F8-9BE7-27A42455CEB9}">
  <dimension ref="A3:E20"/>
  <sheetViews>
    <sheetView workbookViewId="0">
      <selection activeCell="B30" sqref="B30"/>
    </sheetView>
  </sheetViews>
  <sheetFormatPr defaultRowHeight="15" x14ac:dyDescent="0.25"/>
  <cols>
    <col min="1" max="1" width="13.140625" bestFit="1" customWidth="1"/>
    <col min="2" max="2" width="21.140625" bestFit="1" customWidth="1"/>
    <col min="3" max="3" width="16.140625" bestFit="1" customWidth="1"/>
    <col min="4" max="4" width="18.28515625" bestFit="1" customWidth="1"/>
    <col min="5" max="5" width="15.140625" bestFit="1" customWidth="1"/>
  </cols>
  <sheetData>
    <row r="3" spans="1:5" x14ac:dyDescent="0.25">
      <c r="A3" s="15" t="s">
        <v>1421</v>
      </c>
      <c r="B3" t="s">
        <v>1438</v>
      </c>
      <c r="C3" t="s">
        <v>1444</v>
      </c>
      <c r="D3" t="s">
        <v>1445</v>
      </c>
      <c r="E3" t="s">
        <v>1435</v>
      </c>
    </row>
    <row r="4" spans="1:5" x14ac:dyDescent="0.25">
      <c r="A4" s="16" t="s">
        <v>712</v>
      </c>
      <c r="B4" s="18">
        <v>877159.52092999977</v>
      </c>
      <c r="C4" s="18">
        <v>46</v>
      </c>
      <c r="D4" s="18">
        <v>281944.47093000001</v>
      </c>
      <c r="E4" s="18">
        <v>46</v>
      </c>
    </row>
    <row r="5" spans="1:5" x14ac:dyDescent="0.25">
      <c r="A5" s="16" t="s">
        <v>709</v>
      </c>
      <c r="B5" s="18">
        <v>893735.66084999999</v>
      </c>
      <c r="C5" s="18">
        <v>48</v>
      </c>
      <c r="D5" s="18">
        <v>315969.97084999998</v>
      </c>
      <c r="E5" s="18">
        <v>48</v>
      </c>
    </row>
    <row r="6" spans="1:5" x14ac:dyDescent="0.25">
      <c r="A6" s="16" t="s">
        <v>704</v>
      </c>
      <c r="B6" s="18">
        <v>685111.85991999996</v>
      </c>
      <c r="C6" s="18">
        <v>37</v>
      </c>
      <c r="D6" s="18">
        <v>225695.01991999999</v>
      </c>
      <c r="E6" s="18">
        <v>37</v>
      </c>
    </row>
    <row r="7" spans="1:5" x14ac:dyDescent="0.25">
      <c r="A7" s="16" t="s">
        <v>718</v>
      </c>
      <c r="B7" s="18">
        <v>576820.19091</v>
      </c>
      <c r="C7" s="18">
        <v>38</v>
      </c>
      <c r="D7" s="18">
        <v>151076.93091000005</v>
      </c>
      <c r="E7" s="18">
        <v>38</v>
      </c>
    </row>
    <row r="8" spans="1:5" x14ac:dyDescent="0.25">
      <c r="A8" s="16" t="s">
        <v>710</v>
      </c>
      <c r="B8" s="18">
        <v>543846.44053000002</v>
      </c>
      <c r="C8" s="18">
        <v>34</v>
      </c>
      <c r="D8" s="18">
        <v>204981.34053000004</v>
      </c>
      <c r="E8" s="18">
        <v>34</v>
      </c>
    </row>
    <row r="9" spans="1:5" x14ac:dyDescent="0.25">
      <c r="A9" s="16" t="s">
        <v>713</v>
      </c>
      <c r="B9" s="18">
        <v>812637.17231999978</v>
      </c>
      <c r="C9" s="18">
        <v>51</v>
      </c>
      <c r="D9" s="18">
        <v>251733.01232000004</v>
      </c>
      <c r="E9" s="18">
        <v>51</v>
      </c>
    </row>
    <row r="10" spans="1:5" x14ac:dyDescent="0.25">
      <c r="A10" s="16" t="s">
        <v>707</v>
      </c>
      <c r="B10" s="18">
        <v>510653.71305000014</v>
      </c>
      <c r="C10" s="18">
        <v>30</v>
      </c>
      <c r="D10" s="18">
        <v>172441.87305000005</v>
      </c>
      <c r="E10" s="18">
        <v>30</v>
      </c>
    </row>
    <row r="11" spans="1:5" x14ac:dyDescent="0.25">
      <c r="A11" s="16" t="s">
        <v>714</v>
      </c>
      <c r="B11" s="18">
        <v>697568.29853000003</v>
      </c>
      <c r="C11" s="18">
        <v>45</v>
      </c>
      <c r="D11" s="18">
        <v>137020.80852999998</v>
      </c>
      <c r="E11" s="18">
        <v>45</v>
      </c>
    </row>
    <row r="12" spans="1:5" x14ac:dyDescent="0.25">
      <c r="A12" s="16" t="s">
        <v>706</v>
      </c>
      <c r="B12" s="18">
        <v>541165.67181999993</v>
      </c>
      <c r="C12" s="18">
        <v>38</v>
      </c>
      <c r="D12" s="18">
        <v>140021.69181999998</v>
      </c>
      <c r="E12" s="18">
        <v>38</v>
      </c>
    </row>
    <row r="13" spans="1:5" x14ac:dyDescent="0.25">
      <c r="A13" s="16" t="s">
        <v>705</v>
      </c>
      <c r="B13" s="18">
        <v>802384.6622799997</v>
      </c>
      <c r="C13" s="18">
        <v>50</v>
      </c>
      <c r="D13" s="18">
        <v>273113.11228</v>
      </c>
      <c r="E13" s="18">
        <v>50</v>
      </c>
    </row>
    <row r="14" spans="1:5" x14ac:dyDescent="0.25">
      <c r="A14" s="16" t="s">
        <v>715</v>
      </c>
      <c r="B14" s="18">
        <v>883348.1293599999</v>
      </c>
      <c r="C14" s="18">
        <v>44</v>
      </c>
      <c r="D14" s="18">
        <v>278762.26935999998</v>
      </c>
      <c r="E14" s="18">
        <v>44</v>
      </c>
    </row>
    <row r="15" spans="1:5" x14ac:dyDescent="0.25">
      <c r="A15" s="16" t="s">
        <v>708</v>
      </c>
      <c r="B15" s="18">
        <v>853038.52344999986</v>
      </c>
      <c r="C15" s="18">
        <v>46</v>
      </c>
      <c r="D15" s="18">
        <v>269716.55345000006</v>
      </c>
      <c r="E15" s="18">
        <v>46</v>
      </c>
    </row>
    <row r="16" spans="1:5" x14ac:dyDescent="0.25">
      <c r="A16" s="16" t="s">
        <v>716</v>
      </c>
      <c r="B16" s="18">
        <v>966298.9875499995</v>
      </c>
      <c r="C16" s="18">
        <v>48</v>
      </c>
      <c r="D16" s="18">
        <v>302657.05754999985</v>
      </c>
      <c r="E16" s="18">
        <v>48</v>
      </c>
    </row>
    <row r="17" spans="1:5" x14ac:dyDescent="0.25">
      <c r="A17" s="16" t="s">
        <v>717</v>
      </c>
      <c r="B17" s="18">
        <v>388325.13659000001</v>
      </c>
      <c r="C17" s="18">
        <v>32</v>
      </c>
      <c r="D17" s="18">
        <v>110646.45659</v>
      </c>
      <c r="E17" s="18">
        <v>32</v>
      </c>
    </row>
    <row r="18" spans="1:5" x14ac:dyDescent="0.25">
      <c r="A18" s="16" t="s">
        <v>1413</v>
      </c>
      <c r="B18" s="18">
        <v>249026.85146999999</v>
      </c>
      <c r="C18" s="18">
        <v>8</v>
      </c>
      <c r="D18" s="18">
        <v>100098.00146999997</v>
      </c>
      <c r="E18" s="18">
        <v>8</v>
      </c>
    </row>
    <row r="19" spans="1:5" x14ac:dyDescent="0.25">
      <c r="A19" s="16" t="s">
        <v>711</v>
      </c>
      <c r="B19" s="18">
        <v>647724.89694000001</v>
      </c>
      <c r="C19" s="18">
        <v>37</v>
      </c>
      <c r="D19" s="18">
        <v>185219.43694000004</v>
      </c>
      <c r="E19" s="18">
        <v>37</v>
      </c>
    </row>
    <row r="20" spans="1:5" x14ac:dyDescent="0.25">
      <c r="A20" s="16" t="s">
        <v>1422</v>
      </c>
      <c r="B20" s="18">
        <v>10928845.716499986</v>
      </c>
      <c r="C20" s="18">
        <v>632</v>
      </c>
      <c r="D20" s="18">
        <v>3401098.0064999987</v>
      </c>
      <c r="E20" s="18">
        <v>632</v>
      </c>
    </row>
  </sheetData>
  <conditionalFormatting sqref="A4:XFD19">
    <cfRule type="top10" dxfId="2" priority="1" bottom="1" rank="3"/>
    <cfRule type="top10" dxfId="1" priority="2" rank="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B9E06-98A4-4F2E-9003-3125BB2E210E}">
  <dimension ref="A3:B58"/>
  <sheetViews>
    <sheetView tabSelected="1" workbookViewId="0">
      <selection activeCell="A8" sqref="A8"/>
    </sheetView>
  </sheetViews>
  <sheetFormatPr defaultRowHeight="15" x14ac:dyDescent="0.25"/>
  <cols>
    <col min="1" max="1" width="15" bestFit="1" customWidth="1"/>
    <col min="2" max="2" width="21.140625" bestFit="1" customWidth="1"/>
  </cols>
  <sheetData>
    <row r="3" spans="1:2" x14ac:dyDescent="0.25">
      <c r="A3" s="15" t="s">
        <v>1421</v>
      </c>
      <c r="B3" t="s">
        <v>1438</v>
      </c>
    </row>
    <row r="4" spans="1:2" x14ac:dyDescent="0.25">
      <c r="A4" s="16" t="s">
        <v>638</v>
      </c>
      <c r="B4" s="20">
        <v>0.15051907595817085</v>
      </c>
    </row>
    <row r="5" spans="1:2" x14ac:dyDescent="0.25">
      <c r="A5" s="17" t="s">
        <v>700</v>
      </c>
      <c r="B5" s="20">
        <v>0.91071659832397556</v>
      </c>
    </row>
    <row r="6" spans="1:2" x14ac:dyDescent="0.25">
      <c r="A6" s="21" t="s">
        <v>1447</v>
      </c>
      <c r="B6" s="20">
        <v>0.24394139030765941</v>
      </c>
    </row>
    <row r="7" spans="1:2" x14ac:dyDescent="0.25">
      <c r="A7" s="21" t="s">
        <v>1458</v>
      </c>
      <c r="B7" s="20">
        <v>4.4161054850952251E-2</v>
      </c>
    </row>
    <row r="8" spans="1:2" x14ac:dyDescent="0.25">
      <c r="A8" s="21" t="s">
        <v>1459</v>
      </c>
      <c r="B8" s="20">
        <v>0.12097571865832446</v>
      </c>
    </row>
    <row r="9" spans="1:2" x14ac:dyDescent="0.25">
      <c r="A9" s="21" t="s">
        <v>1460</v>
      </c>
      <c r="B9" s="20">
        <v>0.27338446785710435</v>
      </c>
    </row>
    <row r="10" spans="1:2" x14ac:dyDescent="0.25">
      <c r="A10" s="21" t="s">
        <v>1462</v>
      </c>
      <c r="B10" s="20">
        <v>3.2098800911848782E-3</v>
      </c>
    </row>
    <row r="11" spans="1:2" x14ac:dyDescent="0.25">
      <c r="A11" s="21" t="s">
        <v>1463</v>
      </c>
      <c r="B11" s="20">
        <v>0.28604531430340419</v>
      </c>
    </row>
    <row r="12" spans="1:2" x14ac:dyDescent="0.25">
      <c r="A12" s="21" t="s">
        <v>1471</v>
      </c>
      <c r="B12" s="20">
        <v>2.8282173931370308E-2</v>
      </c>
    </row>
    <row r="13" spans="1:2" x14ac:dyDescent="0.25">
      <c r="A13" s="17" t="s">
        <v>699</v>
      </c>
      <c r="B13" s="20">
        <v>8.9283401676024415E-2</v>
      </c>
    </row>
    <row r="14" spans="1:2" x14ac:dyDescent="0.25">
      <c r="A14" s="21" t="s">
        <v>1459</v>
      </c>
      <c r="B14" s="20">
        <v>0.94127969541691925</v>
      </c>
    </row>
    <row r="15" spans="1:2" x14ac:dyDescent="0.25">
      <c r="A15" s="21" t="s">
        <v>1462</v>
      </c>
      <c r="B15" s="20">
        <v>5.8720304583080724E-2</v>
      </c>
    </row>
    <row r="16" spans="1:2" x14ac:dyDescent="0.25">
      <c r="A16" s="16" t="s">
        <v>640</v>
      </c>
      <c r="B16" s="20">
        <v>0.23090768379929702</v>
      </c>
    </row>
    <row r="17" spans="1:2" x14ac:dyDescent="0.25">
      <c r="A17" s="17" t="s">
        <v>700</v>
      </c>
      <c r="B17" s="20">
        <v>0.64765713753789456</v>
      </c>
    </row>
    <row r="18" spans="1:2" x14ac:dyDescent="0.25">
      <c r="A18" s="21" t="s">
        <v>1446</v>
      </c>
      <c r="B18" s="20">
        <v>4.0269074031443364E-2</v>
      </c>
    </row>
    <row r="19" spans="1:2" x14ac:dyDescent="0.25">
      <c r="A19" s="21" t="s">
        <v>1473</v>
      </c>
      <c r="B19" s="20">
        <v>0.21270663293393768</v>
      </c>
    </row>
    <row r="20" spans="1:2" x14ac:dyDescent="0.25">
      <c r="A20" s="21" t="s">
        <v>1458</v>
      </c>
      <c r="B20" s="20">
        <v>0.19822513136987616</v>
      </c>
    </row>
    <row r="21" spans="1:2" x14ac:dyDescent="0.25">
      <c r="A21" s="21" t="s">
        <v>1462</v>
      </c>
      <c r="B21" s="20">
        <v>2.228514616268424E-2</v>
      </c>
    </row>
    <row r="22" spans="1:2" x14ac:dyDescent="0.25">
      <c r="A22" s="21" t="s">
        <v>1463</v>
      </c>
      <c r="B22" s="20">
        <v>0.18087518638690922</v>
      </c>
    </row>
    <row r="23" spans="1:2" x14ac:dyDescent="0.25">
      <c r="A23" s="21" t="s">
        <v>1471</v>
      </c>
      <c r="B23" s="20">
        <v>0.34563882911514937</v>
      </c>
    </row>
    <row r="24" spans="1:2" x14ac:dyDescent="0.25">
      <c r="A24" s="17" t="s">
        <v>699</v>
      </c>
      <c r="B24" s="20">
        <v>0.3523428624621055</v>
      </c>
    </row>
    <row r="25" spans="1:2" x14ac:dyDescent="0.25">
      <c r="A25" s="21" t="s">
        <v>1458</v>
      </c>
      <c r="B25" s="20">
        <v>0.26076207611750535</v>
      </c>
    </row>
    <row r="26" spans="1:2" x14ac:dyDescent="0.25">
      <c r="A26" s="21" t="s">
        <v>1459</v>
      </c>
      <c r="B26" s="20">
        <v>8.9638129692024948E-2</v>
      </c>
    </row>
    <row r="27" spans="1:2" x14ac:dyDescent="0.25">
      <c r="A27" s="21" t="s">
        <v>1462</v>
      </c>
      <c r="B27" s="20">
        <v>0.28356800068728305</v>
      </c>
    </row>
    <row r="28" spans="1:2" x14ac:dyDescent="0.25">
      <c r="A28" s="21" t="s">
        <v>1463</v>
      </c>
      <c r="B28" s="20">
        <v>0.32803050198611095</v>
      </c>
    </row>
    <row r="29" spans="1:2" x14ac:dyDescent="0.25">
      <c r="A29" s="21" t="s">
        <v>1471</v>
      </c>
      <c r="B29" s="20">
        <v>3.8001291517075764E-2</v>
      </c>
    </row>
    <row r="30" spans="1:2" x14ac:dyDescent="0.25">
      <c r="A30" s="16" t="s">
        <v>639</v>
      </c>
      <c r="B30" s="20">
        <v>0.35222162447063643</v>
      </c>
    </row>
    <row r="31" spans="1:2" x14ac:dyDescent="0.25">
      <c r="A31" s="17" t="s">
        <v>700</v>
      </c>
      <c r="B31" s="20">
        <v>0.14813670763742953</v>
      </c>
    </row>
    <row r="32" spans="1:2" x14ac:dyDescent="0.25">
      <c r="A32" s="21" t="s">
        <v>1473</v>
      </c>
      <c r="B32" s="20">
        <v>0.19969304246386227</v>
      </c>
    </row>
    <row r="33" spans="1:2" x14ac:dyDescent="0.25">
      <c r="A33" s="21" t="s">
        <v>1459</v>
      </c>
      <c r="B33" s="20">
        <v>0.45000327381533972</v>
      </c>
    </row>
    <row r="34" spans="1:2" x14ac:dyDescent="0.25">
      <c r="A34" s="21" t="s">
        <v>1463</v>
      </c>
      <c r="B34" s="20">
        <v>0.1928325675333564</v>
      </c>
    </row>
    <row r="35" spans="1:2" x14ac:dyDescent="0.25">
      <c r="A35" s="21" t="s">
        <v>1471</v>
      </c>
      <c r="B35" s="20">
        <v>0.15747111618744175</v>
      </c>
    </row>
    <row r="36" spans="1:2" x14ac:dyDescent="0.25">
      <c r="A36" s="17" t="s">
        <v>699</v>
      </c>
      <c r="B36" s="20">
        <v>0.85186329236257052</v>
      </c>
    </row>
    <row r="37" spans="1:2" x14ac:dyDescent="0.25">
      <c r="A37" s="21" t="s">
        <v>1446</v>
      </c>
      <c r="B37" s="20">
        <v>0.19719442391280437</v>
      </c>
    </row>
    <row r="38" spans="1:2" x14ac:dyDescent="0.25">
      <c r="A38" s="21" t="s">
        <v>1447</v>
      </c>
      <c r="B38" s="20">
        <v>4.0141925006011679E-2</v>
      </c>
    </row>
    <row r="39" spans="1:2" x14ac:dyDescent="0.25">
      <c r="A39" s="21" t="s">
        <v>1458</v>
      </c>
      <c r="B39" s="20">
        <v>2.9254313184633746E-2</v>
      </c>
    </row>
    <row r="40" spans="1:2" x14ac:dyDescent="0.25">
      <c r="A40" s="21" t="s">
        <v>1459</v>
      </c>
      <c r="B40" s="20">
        <v>0.12017983147617597</v>
      </c>
    </row>
    <row r="41" spans="1:2" x14ac:dyDescent="0.25">
      <c r="A41" s="21" t="s">
        <v>1460</v>
      </c>
      <c r="B41" s="20">
        <v>2.253349825413889E-2</v>
      </c>
    </row>
    <row r="42" spans="1:2" x14ac:dyDescent="0.25">
      <c r="A42" s="21" t="s">
        <v>1462</v>
      </c>
      <c r="B42" s="20">
        <v>0.37033214225379757</v>
      </c>
    </row>
    <row r="43" spans="1:2" x14ac:dyDescent="0.25">
      <c r="A43" s="21" t="s">
        <v>1463</v>
      </c>
      <c r="B43" s="20">
        <v>6.6995472204035303E-2</v>
      </c>
    </row>
    <row r="44" spans="1:2" x14ac:dyDescent="0.25">
      <c r="A44" s="21" t="s">
        <v>1471</v>
      </c>
      <c r="B44" s="20">
        <v>0.15336839370840247</v>
      </c>
    </row>
    <row r="45" spans="1:2" x14ac:dyDescent="0.25">
      <c r="A45" s="16" t="s">
        <v>641</v>
      </c>
      <c r="B45" s="20">
        <v>0.26635161577189576</v>
      </c>
    </row>
    <row r="46" spans="1:2" x14ac:dyDescent="0.25">
      <c r="A46" s="17" t="s">
        <v>700</v>
      </c>
      <c r="B46" s="20">
        <v>0.39980034474327114</v>
      </c>
    </row>
    <row r="47" spans="1:2" x14ac:dyDescent="0.25">
      <c r="A47" s="21" t="s">
        <v>1446</v>
      </c>
      <c r="B47" s="20">
        <v>0.23942703413195349</v>
      </c>
    </row>
    <row r="48" spans="1:2" x14ac:dyDescent="0.25">
      <c r="A48" s="21" t="s">
        <v>1447</v>
      </c>
      <c r="B48" s="20">
        <v>0.12921721418757706</v>
      </c>
    </row>
    <row r="49" spans="1:2" x14ac:dyDescent="0.25">
      <c r="A49" s="21" t="s">
        <v>1458</v>
      </c>
      <c r="B49" s="20">
        <v>4.1347064410040976E-2</v>
      </c>
    </row>
    <row r="50" spans="1:2" x14ac:dyDescent="0.25">
      <c r="A50" s="21" t="s">
        <v>1463</v>
      </c>
      <c r="B50" s="20">
        <v>0.27720035114320718</v>
      </c>
    </row>
    <row r="51" spans="1:2" x14ac:dyDescent="0.25">
      <c r="A51" s="21" t="s">
        <v>1471</v>
      </c>
      <c r="B51" s="20">
        <v>0.31280833612722136</v>
      </c>
    </row>
    <row r="52" spans="1:2" x14ac:dyDescent="0.25">
      <c r="A52" s="17" t="s">
        <v>699</v>
      </c>
      <c r="B52" s="20">
        <v>0.6001996552567288</v>
      </c>
    </row>
    <row r="53" spans="1:2" x14ac:dyDescent="0.25">
      <c r="A53" s="21" t="s">
        <v>1446</v>
      </c>
      <c r="B53" s="20">
        <v>0.1111670790920541</v>
      </c>
    </row>
    <row r="54" spans="1:2" x14ac:dyDescent="0.25">
      <c r="A54" s="21" t="s">
        <v>1473</v>
      </c>
      <c r="B54" s="20">
        <v>0.10658291405484922</v>
      </c>
    </row>
    <row r="55" spans="1:2" x14ac:dyDescent="0.25">
      <c r="A55" s="21" t="s">
        <v>1458</v>
      </c>
      <c r="B55" s="20">
        <v>5.5129544410084566E-2</v>
      </c>
    </row>
    <row r="56" spans="1:2" x14ac:dyDescent="0.25">
      <c r="A56" s="21" t="s">
        <v>1462</v>
      </c>
      <c r="B56" s="20">
        <v>9.533388559125798E-2</v>
      </c>
    </row>
    <row r="57" spans="1:2" x14ac:dyDescent="0.25">
      <c r="A57" s="21" t="s">
        <v>1463</v>
      </c>
      <c r="B57" s="20">
        <v>0.63178657685175421</v>
      </c>
    </row>
    <row r="58" spans="1:2" x14ac:dyDescent="0.25">
      <c r="A58" s="16" t="s">
        <v>1422</v>
      </c>
      <c r="B58" s="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2214-9A36-4681-81E0-C808B13D411A}">
  <dimension ref="A3:C668"/>
  <sheetViews>
    <sheetView topLeftCell="A4" workbookViewId="0">
      <selection activeCell="B3" sqref="B3"/>
    </sheetView>
  </sheetViews>
  <sheetFormatPr defaultRowHeight="15" x14ac:dyDescent="0.25"/>
  <cols>
    <col min="1" max="1" width="16.140625" bestFit="1" customWidth="1"/>
    <col min="2" max="2" width="26.42578125" style="31" bestFit="1" customWidth="1"/>
    <col min="3" max="3" width="16.140625" style="10" bestFit="1" customWidth="1"/>
  </cols>
  <sheetData>
    <row r="3" spans="1:3" x14ac:dyDescent="0.25">
      <c r="A3" s="15" t="s">
        <v>1421</v>
      </c>
      <c r="B3" t="s">
        <v>1486</v>
      </c>
      <c r="C3" s="10" t="s">
        <v>1444</v>
      </c>
    </row>
    <row r="4" spans="1:3" x14ac:dyDescent="0.25">
      <c r="A4" s="16" t="s">
        <v>638</v>
      </c>
      <c r="B4" s="31">
        <v>0.35172413793103446</v>
      </c>
      <c r="C4" s="10">
        <v>145</v>
      </c>
    </row>
    <row r="5" spans="1:3" x14ac:dyDescent="0.25">
      <c r="A5" s="17" t="s">
        <v>725</v>
      </c>
      <c r="B5" s="31">
        <v>0.44444444444444442</v>
      </c>
      <c r="C5" s="10">
        <v>27</v>
      </c>
    </row>
    <row r="6" spans="1:3" x14ac:dyDescent="0.25">
      <c r="A6" s="17" t="s">
        <v>719</v>
      </c>
      <c r="B6" s="31">
        <v>0.36363636363636365</v>
      </c>
      <c r="C6" s="10">
        <v>22</v>
      </c>
    </row>
    <row r="7" spans="1:3" x14ac:dyDescent="0.25">
      <c r="A7" s="17" t="s">
        <v>723</v>
      </c>
      <c r="B7" s="31">
        <v>0.52173913043478259</v>
      </c>
      <c r="C7" s="10">
        <v>23</v>
      </c>
    </row>
    <row r="8" spans="1:3" x14ac:dyDescent="0.25">
      <c r="A8" s="17" t="s">
        <v>724</v>
      </c>
      <c r="B8" s="31">
        <v>0.2857142857142857</v>
      </c>
      <c r="C8" s="10">
        <v>14</v>
      </c>
    </row>
    <row r="9" spans="1:3" x14ac:dyDescent="0.25">
      <c r="A9" s="17" t="s">
        <v>721</v>
      </c>
      <c r="B9" s="31">
        <v>0.33333333333333331</v>
      </c>
      <c r="C9" s="10">
        <v>15</v>
      </c>
    </row>
    <row r="10" spans="1:3" x14ac:dyDescent="0.25">
      <c r="A10" s="17" t="s">
        <v>722</v>
      </c>
      <c r="B10" s="31">
        <v>0.2</v>
      </c>
      <c r="C10" s="10">
        <v>25</v>
      </c>
    </row>
    <row r="11" spans="1:3" x14ac:dyDescent="0.25">
      <c r="A11" s="17" t="s">
        <v>720</v>
      </c>
      <c r="B11" s="31">
        <v>0.26315789473684209</v>
      </c>
      <c r="C11" s="10">
        <v>19</v>
      </c>
    </row>
    <row r="12" spans="1:3" x14ac:dyDescent="0.25">
      <c r="A12" s="16" t="s">
        <v>640</v>
      </c>
      <c r="B12" s="31">
        <v>0.28662420382165604</v>
      </c>
      <c r="C12" s="10">
        <v>157</v>
      </c>
    </row>
    <row r="13" spans="1:3" x14ac:dyDescent="0.25">
      <c r="A13" s="17" t="s">
        <v>725</v>
      </c>
      <c r="B13" s="31">
        <v>0.4</v>
      </c>
      <c r="C13" s="10">
        <v>20</v>
      </c>
    </row>
    <row r="14" spans="1:3" x14ac:dyDescent="0.25">
      <c r="A14" s="17" t="s">
        <v>719</v>
      </c>
      <c r="B14" s="31">
        <v>0.33333333333333331</v>
      </c>
      <c r="C14" s="10">
        <v>18</v>
      </c>
    </row>
    <row r="15" spans="1:3" x14ac:dyDescent="0.25">
      <c r="A15" s="17" t="s">
        <v>723</v>
      </c>
      <c r="B15" s="31">
        <v>0.25</v>
      </c>
      <c r="C15" s="10">
        <v>16</v>
      </c>
    </row>
    <row r="16" spans="1:3" x14ac:dyDescent="0.25">
      <c r="A16" s="17" t="s">
        <v>724</v>
      </c>
      <c r="B16" s="31">
        <v>0.14285714285714285</v>
      </c>
      <c r="C16" s="10">
        <v>28</v>
      </c>
    </row>
    <row r="17" spans="1:3" x14ac:dyDescent="0.25">
      <c r="A17" s="17" t="s">
        <v>721</v>
      </c>
      <c r="B17" s="31">
        <v>0.28000000000000003</v>
      </c>
      <c r="C17" s="10">
        <v>25</v>
      </c>
    </row>
    <row r="18" spans="1:3" x14ac:dyDescent="0.25">
      <c r="A18" s="17" t="s">
        <v>722</v>
      </c>
      <c r="B18" s="31">
        <v>0.27272727272727271</v>
      </c>
      <c r="C18" s="10">
        <v>22</v>
      </c>
    </row>
    <row r="19" spans="1:3" x14ac:dyDescent="0.25">
      <c r="A19" s="17" t="s">
        <v>720</v>
      </c>
      <c r="B19" s="31">
        <v>0.35714285714285715</v>
      </c>
      <c r="C19" s="10">
        <v>28</v>
      </c>
    </row>
    <row r="20" spans="1:3" x14ac:dyDescent="0.25">
      <c r="A20" s="16" t="s">
        <v>639</v>
      </c>
      <c r="B20" s="31">
        <v>0.21052631578947367</v>
      </c>
      <c r="C20" s="10">
        <v>171</v>
      </c>
    </row>
    <row r="21" spans="1:3" x14ac:dyDescent="0.25">
      <c r="A21" s="17" t="s">
        <v>725</v>
      </c>
      <c r="B21" s="31">
        <v>0.35294117647058826</v>
      </c>
      <c r="C21" s="10">
        <v>17</v>
      </c>
    </row>
    <row r="22" spans="1:3" x14ac:dyDescent="0.25">
      <c r="A22" s="17" t="s">
        <v>719</v>
      </c>
      <c r="B22" s="31">
        <v>0.17857142857142858</v>
      </c>
      <c r="C22" s="10">
        <v>28</v>
      </c>
    </row>
    <row r="23" spans="1:3" x14ac:dyDescent="0.25">
      <c r="A23" s="17" t="s">
        <v>723</v>
      </c>
      <c r="B23" s="31">
        <v>0.23809523809523808</v>
      </c>
      <c r="C23" s="10">
        <v>21</v>
      </c>
    </row>
    <row r="24" spans="1:3" x14ac:dyDescent="0.25">
      <c r="A24" s="17" t="s">
        <v>724</v>
      </c>
      <c r="B24" s="31">
        <v>0.2</v>
      </c>
      <c r="C24" s="10">
        <v>25</v>
      </c>
    </row>
    <row r="25" spans="1:3" x14ac:dyDescent="0.25">
      <c r="A25" s="17" t="s">
        <v>721</v>
      </c>
      <c r="B25" s="31">
        <v>0.22222222222222221</v>
      </c>
      <c r="C25" s="10">
        <v>27</v>
      </c>
    </row>
    <row r="26" spans="1:3" x14ac:dyDescent="0.25">
      <c r="A26" s="17" t="s">
        <v>722</v>
      </c>
      <c r="B26" s="31">
        <v>0.14814814814814814</v>
      </c>
      <c r="C26" s="10">
        <v>27</v>
      </c>
    </row>
    <row r="27" spans="1:3" x14ac:dyDescent="0.25">
      <c r="A27" s="17" t="s">
        <v>720</v>
      </c>
      <c r="B27" s="31">
        <v>0.19230769230769232</v>
      </c>
      <c r="C27" s="10">
        <v>26</v>
      </c>
    </row>
    <row r="28" spans="1:3" x14ac:dyDescent="0.25">
      <c r="A28" s="16" t="s">
        <v>641</v>
      </c>
      <c r="B28" s="31">
        <v>0.25157232704402516</v>
      </c>
      <c r="C28" s="10">
        <v>159</v>
      </c>
    </row>
    <row r="29" spans="1:3" x14ac:dyDescent="0.25">
      <c r="A29" s="17" t="s">
        <v>725</v>
      </c>
      <c r="B29" s="31">
        <v>0.25</v>
      </c>
      <c r="C29" s="10">
        <v>24</v>
      </c>
    </row>
    <row r="30" spans="1:3" x14ac:dyDescent="0.25">
      <c r="A30" s="17" t="s">
        <v>719</v>
      </c>
      <c r="B30" s="31">
        <v>0.30434782608695654</v>
      </c>
      <c r="C30" s="10">
        <v>23</v>
      </c>
    </row>
    <row r="31" spans="1:3" x14ac:dyDescent="0.25">
      <c r="A31" s="17" t="s">
        <v>723</v>
      </c>
      <c r="B31" s="31">
        <v>0.36363636363636365</v>
      </c>
      <c r="C31" s="10">
        <v>22</v>
      </c>
    </row>
    <row r="32" spans="1:3" x14ac:dyDescent="0.25">
      <c r="A32" s="17" t="s">
        <v>724</v>
      </c>
      <c r="B32" s="31">
        <v>0.22222222222222221</v>
      </c>
      <c r="C32" s="10">
        <v>27</v>
      </c>
    </row>
    <row r="33" spans="1:3" x14ac:dyDescent="0.25">
      <c r="A33" s="17" t="s">
        <v>721</v>
      </c>
      <c r="B33" s="31">
        <v>0.26315789473684209</v>
      </c>
      <c r="C33" s="10">
        <v>19</v>
      </c>
    </row>
    <row r="34" spans="1:3" x14ac:dyDescent="0.25">
      <c r="A34" s="17" t="s">
        <v>722</v>
      </c>
      <c r="B34" s="31">
        <v>0.14285714285714285</v>
      </c>
      <c r="C34" s="10">
        <v>14</v>
      </c>
    </row>
    <row r="35" spans="1:3" x14ac:dyDescent="0.25">
      <c r="A35" s="17" t="s">
        <v>720</v>
      </c>
      <c r="B35" s="31">
        <v>0.2</v>
      </c>
      <c r="C35" s="10">
        <v>30</v>
      </c>
    </row>
    <row r="36" spans="1:3" x14ac:dyDescent="0.25">
      <c r="A36" s="16" t="s">
        <v>1422</v>
      </c>
      <c r="B36" s="31">
        <v>0.27215189873417722</v>
      </c>
      <c r="C36" s="10">
        <v>632</v>
      </c>
    </row>
    <row r="37" spans="1:3" x14ac:dyDescent="0.25">
      <c r="B37"/>
    </row>
    <row r="38" spans="1:3" x14ac:dyDescent="0.25">
      <c r="B38"/>
    </row>
    <row r="39" spans="1:3" x14ac:dyDescent="0.25">
      <c r="B39"/>
    </row>
    <row r="40" spans="1:3" x14ac:dyDescent="0.25">
      <c r="B40"/>
    </row>
    <row r="41" spans="1:3" x14ac:dyDescent="0.25">
      <c r="B41"/>
    </row>
    <row r="42" spans="1:3" x14ac:dyDescent="0.25">
      <c r="B42"/>
    </row>
    <row r="43" spans="1:3" x14ac:dyDescent="0.25">
      <c r="B43"/>
    </row>
    <row r="44" spans="1:3" x14ac:dyDescent="0.25">
      <c r="B44"/>
    </row>
    <row r="45" spans="1:3" x14ac:dyDescent="0.25">
      <c r="B45"/>
    </row>
    <row r="46" spans="1:3" x14ac:dyDescent="0.25">
      <c r="B46"/>
    </row>
    <row r="47" spans="1:3" x14ac:dyDescent="0.25">
      <c r="B47"/>
    </row>
    <row r="48" spans="1:3"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47825-0FA7-4053-BC06-73C2BE1B3B10}">
  <dimension ref="A3:C704"/>
  <sheetViews>
    <sheetView workbookViewId="0">
      <selection activeCell="G66" sqref="G66"/>
    </sheetView>
  </sheetViews>
  <sheetFormatPr defaultRowHeight="15" x14ac:dyDescent="0.25"/>
  <cols>
    <col min="1" max="1" width="16.5703125" bestFit="1" customWidth="1"/>
    <col min="2" max="2" width="16.140625" style="31" bestFit="1" customWidth="1"/>
    <col min="3" max="3" width="23.5703125" style="10" bestFit="1" customWidth="1"/>
  </cols>
  <sheetData>
    <row r="3" spans="1:3" x14ac:dyDescent="0.25">
      <c r="A3" s="15" t="s">
        <v>1421</v>
      </c>
      <c r="B3" s="10" t="s">
        <v>1444</v>
      </c>
      <c r="C3" t="s">
        <v>1488</v>
      </c>
    </row>
    <row r="4" spans="1:3" x14ac:dyDescent="0.25">
      <c r="A4" s="16" t="s">
        <v>638</v>
      </c>
      <c r="B4" s="10">
        <v>145</v>
      </c>
      <c r="C4" s="31">
        <v>0.15172413793103448</v>
      </c>
    </row>
    <row r="5" spans="1:3" x14ac:dyDescent="0.25">
      <c r="A5" s="17" t="s">
        <v>712</v>
      </c>
      <c r="B5" s="10">
        <v>16</v>
      </c>
      <c r="C5" s="31">
        <v>0.1875</v>
      </c>
    </row>
    <row r="6" spans="1:3" x14ac:dyDescent="0.25">
      <c r="A6" s="17" t="s">
        <v>709</v>
      </c>
      <c r="B6" s="10">
        <v>8</v>
      </c>
      <c r="C6" s="31">
        <v>0</v>
      </c>
    </row>
    <row r="7" spans="1:3" x14ac:dyDescent="0.25">
      <c r="A7" s="17" t="s">
        <v>704</v>
      </c>
      <c r="B7" s="10">
        <v>8</v>
      </c>
      <c r="C7" s="31">
        <v>0.25</v>
      </c>
    </row>
    <row r="8" spans="1:3" x14ac:dyDescent="0.25">
      <c r="A8" s="17" t="s">
        <v>718</v>
      </c>
      <c r="B8" s="10">
        <v>10</v>
      </c>
      <c r="C8" s="31">
        <v>0.2</v>
      </c>
    </row>
    <row r="9" spans="1:3" x14ac:dyDescent="0.25">
      <c r="A9" s="17" t="s">
        <v>710</v>
      </c>
      <c r="B9" s="10">
        <v>5</v>
      </c>
      <c r="C9" s="31">
        <v>0.2</v>
      </c>
    </row>
    <row r="10" spans="1:3" x14ac:dyDescent="0.25">
      <c r="A10" s="17" t="s">
        <v>713</v>
      </c>
      <c r="B10" s="10">
        <v>13</v>
      </c>
      <c r="C10" s="31">
        <v>0</v>
      </c>
    </row>
    <row r="11" spans="1:3" x14ac:dyDescent="0.25">
      <c r="A11" s="17" t="s">
        <v>707</v>
      </c>
      <c r="B11" s="10">
        <v>3</v>
      </c>
      <c r="C11" s="31">
        <v>0</v>
      </c>
    </row>
    <row r="12" spans="1:3" x14ac:dyDescent="0.25">
      <c r="A12" s="17" t="s">
        <v>714</v>
      </c>
      <c r="B12" s="10">
        <v>7</v>
      </c>
      <c r="C12" s="31">
        <v>0.14285714285714285</v>
      </c>
    </row>
    <row r="13" spans="1:3" x14ac:dyDescent="0.25">
      <c r="A13" s="17" t="s">
        <v>706</v>
      </c>
      <c r="B13" s="10">
        <v>8</v>
      </c>
      <c r="C13" s="31">
        <v>0.25</v>
      </c>
    </row>
    <row r="14" spans="1:3" x14ac:dyDescent="0.25">
      <c r="A14" s="17" t="s">
        <v>705</v>
      </c>
      <c r="B14" s="10">
        <v>12</v>
      </c>
      <c r="C14" s="31">
        <v>0.25</v>
      </c>
    </row>
    <row r="15" spans="1:3" x14ac:dyDescent="0.25">
      <c r="A15" s="17" t="s">
        <v>715</v>
      </c>
      <c r="B15" s="10">
        <v>14</v>
      </c>
      <c r="C15" s="31">
        <v>0</v>
      </c>
    </row>
    <row r="16" spans="1:3" x14ac:dyDescent="0.25">
      <c r="A16" s="17" t="s">
        <v>708</v>
      </c>
      <c r="B16" s="10">
        <v>10</v>
      </c>
      <c r="C16" s="31">
        <v>0.2</v>
      </c>
    </row>
    <row r="17" spans="1:3" x14ac:dyDescent="0.25">
      <c r="A17" s="17" t="s">
        <v>716</v>
      </c>
      <c r="B17" s="10">
        <v>16</v>
      </c>
      <c r="C17" s="31">
        <v>0.3125</v>
      </c>
    </row>
    <row r="18" spans="1:3" x14ac:dyDescent="0.25">
      <c r="A18" s="17" t="s">
        <v>717</v>
      </c>
      <c r="B18" s="10">
        <v>4</v>
      </c>
      <c r="C18" s="31">
        <v>0</v>
      </c>
    </row>
    <row r="19" spans="1:3" x14ac:dyDescent="0.25">
      <c r="A19" s="17" t="s">
        <v>1413</v>
      </c>
      <c r="B19" s="10">
        <v>2</v>
      </c>
      <c r="C19" s="31">
        <v>0.5</v>
      </c>
    </row>
    <row r="20" spans="1:3" x14ac:dyDescent="0.25">
      <c r="A20" s="17" t="s">
        <v>711</v>
      </c>
      <c r="B20" s="10">
        <v>9</v>
      </c>
      <c r="C20" s="31">
        <v>0</v>
      </c>
    </row>
    <row r="21" spans="1:3" x14ac:dyDescent="0.25">
      <c r="A21" s="16" t="s">
        <v>640</v>
      </c>
      <c r="B21" s="10">
        <v>157</v>
      </c>
      <c r="C21" s="31">
        <v>0.17197452229299362</v>
      </c>
    </row>
    <row r="22" spans="1:3" x14ac:dyDescent="0.25">
      <c r="A22" s="17" t="s">
        <v>712</v>
      </c>
      <c r="B22" s="10">
        <v>10</v>
      </c>
      <c r="C22" s="31">
        <v>0.5</v>
      </c>
    </row>
    <row r="23" spans="1:3" x14ac:dyDescent="0.25">
      <c r="A23" s="17" t="s">
        <v>709</v>
      </c>
      <c r="B23" s="10">
        <v>8</v>
      </c>
      <c r="C23" s="31">
        <v>0.125</v>
      </c>
    </row>
    <row r="24" spans="1:3" x14ac:dyDescent="0.25">
      <c r="A24" s="17" t="s">
        <v>704</v>
      </c>
      <c r="B24" s="10">
        <v>14</v>
      </c>
      <c r="C24" s="31">
        <v>0.14285714285714285</v>
      </c>
    </row>
    <row r="25" spans="1:3" x14ac:dyDescent="0.25">
      <c r="A25" s="17" t="s">
        <v>718</v>
      </c>
      <c r="B25" s="10">
        <v>8</v>
      </c>
      <c r="C25" s="31">
        <v>0.5</v>
      </c>
    </row>
    <row r="26" spans="1:3" x14ac:dyDescent="0.25">
      <c r="A26" s="17" t="s">
        <v>710</v>
      </c>
      <c r="B26" s="10">
        <v>5</v>
      </c>
      <c r="C26" s="31">
        <v>0</v>
      </c>
    </row>
    <row r="27" spans="1:3" x14ac:dyDescent="0.25">
      <c r="A27" s="17" t="s">
        <v>713</v>
      </c>
      <c r="B27" s="10">
        <v>15</v>
      </c>
      <c r="C27" s="31">
        <v>6.6666666666666666E-2</v>
      </c>
    </row>
    <row r="28" spans="1:3" x14ac:dyDescent="0.25">
      <c r="A28" s="17" t="s">
        <v>707</v>
      </c>
      <c r="B28" s="10">
        <v>8</v>
      </c>
      <c r="C28" s="31">
        <v>0.125</v>
      </c>
    </row>
    <row r="29" spans="1:3" x14ac:dyDescent="0.25">
      <c r="A29" s="17" t="s">
        <v>714</v>
      </c>
      <c r="B29" s="10">
        <v>9</v>
      </c>
      <c r="C29" s="31">
        <v>0</v>
      </c>
    </row>
    <row r="30" spans="1:3" x14ac:dyDescent="0.25">
      <c r="A30" s="17" t="s">
        <v>706</v>
      </c>
      <c r="B30" s="10">
        <v>14</v>
      </c>
      <c r="C30" s="31">
        <v>0.35714285714285715</v>
      </c>
    </row>
    <row r="31" spans="1:3" x14ac:dyDescent="0.25">
      <c r="A31" s="17" t="s">
        <v>705</v>
      </c>
      <c r="B31" s="10">
        <v>10</v>
      </c>
      <c r="C31" s="31">
        <v>0</v>
      </c>
    </row>
    <row r="32" spans="1:3" x14ac:dyDescent="0.25">
      <c r="A32" s="17" t="s">
        <v>715</v>
      </c>
      <c r="B32" s="10">
        <v>10</v>
      </c>
      <c r="C32" s="31">
        <v>0.1</v>
      </c>
    </row>
    <row r="33" spans="1:3" x14ac:dyDescent="0.25">
      <c r="A33" s="17" t="s">
        <v>708</v>
      </c>
      <c r="B33" s="10">
        <v>12</v>
      </c>
      <c r="C33" s="31">
        <v>0.25</v>
      </c>
    </row>
    <row r="34" spans="1:3" x14ac:dyDescent="0.25">
      <c r="A34" s="17" t="s">
        <v>716</v>
      </c>
      <c r="B34" s="10">
        <v>12</v>
      </c>
      <c r="C34" s="31">
        <v>0.16666666666666666</v>
      </c>
    </row>
    <row r="35" spans="1:3" x14ac:dyDescent="0.25">
      <c r="A35" s="17" t="s">
        <v>717</v>
      </c>
      <c r="B35" s="10">
        <v>7</v>
      </c>
      <c r="C35" s="31">
        <v>0.14285714285714285</v>
      </c>
    </row>
    <row r="36" spans="1:3" x14ac:dyDescent="0.25">
      <c r="A36" s="17" t="s">
        <v>1413</v>
      </c>
      <c r="B36" s="10">
        <v>3</v>
      </c>
      <c r="C36" s="31">
        <v>0.33333333333333331</v>
      </c>
    </row>
    <row r="37" spans="1:3" x14ac:dyDescent="0.25">
      <c r="A37" s="17" t="s">
        <v>711</v>
      </c>
      <c r="B37" s="10">
        <v>12</v>
      </c>
      <c r="C37" s="31">
        <v>0</v>
      </c>
    </row>
    <row r="38" spans="1:3" x14ac:dyDescent="0.25">
      <c r="A38" s="16" t="s">
        <v>639</v>
      </c>
      <c r="B38" s="10">
        <v>171</v>
      </c>
      <c r="C38" s="31">
        <v>0.14035087719298245</v>
      </c>
    </row>
    <row r="39" spans="1:3" x14ac:dyDescent="0.25">
      <c r="A39" s="17" t="s">
        <v>712</v>
      </c>
      <c r="B39" s="10">
        <v>10</v>
      </c>
      <c r="C39" s="31">
        <v>0</v>
      </c>
    </row>
    <row r="40" spans="1:3" x14ac:dyDescent="0.25">
      <c r="A40" s="17" t="s">
        <v>709</v>
      </c>
      <c r="B40" s="10">
        <v>17</v>
      </c>
      <c r="C40" s="31">
        <v>0.11764705882352941</v>
      </c>
    </row>
    <row r="41" spans="1:3" x14ac:dyDescent="0.25">
      <c r="A41" s="17" t="s">
        <v>704</v>
      </c>
      <c r="B41" s="10">
        <v>10</v>
      </c>
      <c r="C41" s="31">
        <v>0.3</v>
      </c>
    </row>
    <row r="42" spans="1:3" x14ac:dyDescent="0.25">
      <c r="A42" s="17" t="s">
        <v>718</v>
      </c>
      <c r="B42" s="10">
        <v>9</v>
      </c>
      <c r="C42" s="31">
        <v>0.1111111111111111</v>
      </c>
    </row>
    <row r="43" spans="1:3" x14ac:dyDescent="0.25">
      <c r="A43" s="17" t="s">
        <v>710</v>
      </c>
      <c r="B43" s="10">
        <v>8</v>
      </c>
      <c r="C43" s="31">
        <v>0</v>
      </c>
    </row>
    <row r="44" spans="1:3" x14ac:dyDescent="0.25">
      <c r="A44" s="17" t="s">
        <v>713</v>
      </c>
      <c r="B44" s="10">
        <v>12</v>
      </c>
      <c r="C44" s="31">
        <v>0.25</v>
      </c>
    </row>
    <row r="45" spans="1:3" x14ac:dyDescent="0.25">
      <c r="A45" s="17" t="s">
        <v>707</v>
      </c>
      <c r="B45" s="10">
        <v>11</v>
      </c>
      <c r="C45" s="31">
        <v>9.0909090909090912E-2</v>
      </c>
    </row>
    <row r="46" spans="1:3" x14ac:dyDescent="0.25">
      <c r="A46" s="17" t="s">
        <v>714</v>
      </c>
      <c r="B46" s="10">
        <v>16</v>
      </c>
      <c r="C46" s="31">
        <v>0.125</v>
      </c>
    </row>
    <row r="47" spans="1:3" x14ac:dyDescent="0.25">
      <c r="A47" s="17" t="s">
        <v>706</v>
      </c>
      <c r="B47" s="10">
        <v>8</v>
      </c>
      <c r="C47" s="31">
        <v>0.125</v>
      </c>
    </row>
    <row r="48" spans="1:3" x14ac:dyDescent="0.25">
      <c r="A48" s="17" t="s">
        <v>705</v>
      </c>
      <c r="B48" s="10">
        <v>19</v>
      </c>
      <c r="C48" s="31">
        <v>0.10526315789473684</v>
      </c>
    </row>
    <row r="49" spans="1:3" x14ac:dyDescent="0.25">
      <c r="A49" s="17" t="s">
        <v>715</v>
      </c>
      <c r="B49" s="10">
        <v>7</v>
      </c>
      <c r="C49" s="31">
        <v>0.14285714285714285</v>
      </c>
    </row>
    <row r="50" spans="1:3" x14ac:dyDescent="0.25">
      <c r="A50" s="17" t="s">
        <v>708</v>
      </c>
      <c r="B50" s="10">
        <v>14</v>
      </c>
      <c r="C50" s="31">
        <v>0.21428571428571427</v>
      </c>
    </row>
    <row r="51" spans="1:3" x14ac:dyDescent="0.25">
      <c r="A51" s="17" t="s">
        <v>716</v>
      </c>
      <c r="B51" s="10">
        <v>10</v>
      </c>
      <c r="C51" s="31">
        <v>0</v>
      </c>
    </row>
    <row r="52" spans="1:3" x14ac:dyDescent="0.25">
      <c r="A52" s="17" t="s">
        <v>717</v>
      </c>
      <c r="B52" s="10">
        <v>10</v>
      </c>
      <c r="C52" s="31">
        <v>0.1</v>
      </c>
    </row>
    <row r="53" spans="1:3" x14ac:dyDescent="0.25">
      <c r="A53" s="17" t="s">
        <v>1413</v>
      </c>
      <c r="B53" s="10">
        <v>2</v>
      </c>
      <c r="C53" s="31">
        <v>0</v>
      </c>
    </row>
    <row r="54" spans="1:3" x14ac:dyDescent="0.25">
      <c r="A54" s="17" t="s">
        <v>711</v>
      </c>
      <c r="B54" s="10">
        <v>8</v>
      </c>
      <c r="C54" s="31">
        <v>0.5</v>
      </c>
    </row>
    <row r="55" spans="1:3" x14ac:dyDescent="0.25">
      <c r="A55" s="16" t="s">
        <v>641</v>
      </c>
      <c r="B55" s="10">
        <v>159</v>
      </c>
      <c r="C55" s="31">
        <v>0.1069182389937107</v>
      </c>
    </row>
    <row r="56" spans="1:3" x14ac:dyDescent="0.25">
      <c r="A56" s="17" t="s">
        <v>712</v>
      </c>
      <c r="B56" s="10">
        <v>10</v>
      </c>
      <c r="C56" s="31">
        <v>0.1</v>
      </c>
    </row>
    <row r="57" spans="1:3" x14ac:dyDescent="0.25">
      <c r="A57" s="17" t="s">
        <v>709</v>
      </c>
      <c r="B57" s="10">
        <v>15</v>
      </c>
      <c r="C57" s="31">
        <v>0.13333333333333333</v>
      </c>
    </row>
    <row r="58" spans="1:3" x14ac:dyDescent="0.25">
      <c r="A58" s="17" t="s">
        <v>704</v>
      </c>
      <c r="B58" s="10">
        <v>5</v>
      </c>
      <c r="C58" s="31">
        <v>0.2</v>
      </c>
    </row>
    <row r="59" spans="1:3" x14ac:dyDescent="0.25">
      <c r="A59" s="17" t="s">
        <v>718</v>
      </c>
      <c r="B59" s="10">
        <v>11</v>
      </c>
      <c r="C59" s="31">
        <v>9.0909090909090912E-2</v>
      </c>
    </row>
    <row r="60" spans="1:3" x14ac:dyDescent="0.25">
      <c r="A60" s="17" t="s">
        <v>710</v>
      </c>
      <c r="B60" s="10">
        <v>16</v>
      </c>
      <c r="C60" s="31">
        <v>0.125</v>
      </c>
    </row>
    <row r="61" spans="1:3" x14ac:dyDescent="0.25">
      <c r="A61" s="17" t="s">
        <v>713</v>
      </c>
      <c r="B61" s="10">
        <v>11</v>
      </c>
      <c r="C61" s="31">
        <v>0</v>
      </c>
    </row>
    <row r="62" spans="1:3" x14ac:dyDescent="0.25">
      <c r="A62" s="17" t="s">
        <v>707</v>
      </c>
      <c r="B62" s="10">
        <v>8</v>
      </c>
      <c r="C62" s="31">
        <v>0.125</v>
      </c>
    </row>
    <row r="63" spans="1:3" x14ac:dyDescent="0.25">
      <c r="A63" s="17" t="s">
        <v>714</v>
      </c>
      <c r="B63" s="10">
        <v>13</v>
      </c>
      <c r="C63" s="31">
        <v>7.6923076923076927E-2</v>
      </c>
    </row>
    <row r="64" spans="1:3" x14ac:dyDescent="0.25">
      <c r="A64" s="17" t="s">
        <v>706</v>
      </c>
      <c r="B64" s="10">
        <v>8</v>
      </c>
      <c r="C64" s="31">
        <v>0.125</v>
      </c>
    </row>
    <row r="65" spans="1:3" x14ac:dyDescent="0.25">
      <c r="A65" s="17" t="s">
        <v>705</v>
      </c>
      <c r="B65" s="10">
        <v>9</v>
      </c>
      <c r="C65" s="31">
        <v>0.1111111111111111</v>
      </c>
    </row>
    <row r="66" spans="1:3" x14ac:dyDescent="0.25">
      <c r="A66" s="17" t="s">
        <v>715</v>
      </c>
      <c r="B66" s="10">
        <v>13</v>
      </c>
      <c r="C66" s="31">
        <v>0.15384615384615385</v>
      </c>
    </row>
    <row r="67" spans="1:3" x14ac:dyDescent="0.25">
      <c r="A67" s="17" t="s">
        <v>708</v>
      </c>
      <c r="B67" s="10">
        <v>10</v>
      </c>
      <c r="C67" s="31">
        <v>0</v>
      </c>
    </row>
    <row r="68" spans="1:3" x14ac:dyDescent="0.25">
      <c r="A68" s="17" t="s">
        <v>716</v>
      </c>
      <c r="B68" s="10">
        <v>10</v>
      </c>
      <c r="C68" s="31">
        <v>0.1</v>
      </c>
    </row>
    <row r="69" spans="1:3" x14ac:dyDescent="0.25">
      <c r="A69" s="17" t="s">
        <v>717</v>
      </c>
      <c r="B69" s="10">
        <v>11</v>
      </c>
      <c r="C69" s="31">
        <v>0.27272727272727271</v>
      </c>
    </row>
    <row r="70" spans="1:3" x14ac:dyDescent="0.25">
      <c r="A70" s="17" t="s">
        <v>1413</v>
      </c>
      <c r="B70" s="10">
        <v>1</v>
      </c>
      <c r="C70" s="31">
        <v>0</v>
      </c>
    </row>
    <row r="71" spans="1:3" x14ac:dyDescent="0.25">
      <c r="A71" s="17" t="s">
        <v>711</v>
      </c>
      <c r="B71" s="10">
        <v>8</v>
      </c>
      <c r="C71" s="31">
        <v>0</v>
      </c>
    </row>
    <row r="72" spans="1:3" x14ac:dyDescent="0.25">
      <c r="A72" s="16" t="s">
        <v>1422</v>
      </c>
      <c r="B72" s="10">
        <v>632</v>
      </c>
      <c r="C72" s="31">
        <v>0.14240506329113925</v>
      </c>
    </row>
    <row r="73" spans="1:3" x14ac:dyDescent="0.25">
      <c r="B73"/>
    </row>
    <row r="74" spans="1:3" x14ac:dyDescent="0.25">
      <c r="B74"/>
    </row>
    <row r="75" spans="1:3" x14ac:dyDescent="0.25">
      <c r="B75"/>
    </row>
    <row r="76" spans="1:3" x14ac:dyDescent="0.25">
      <c r="B76"/>
    </row>
    <row r="77" spans="1:3" x14ac:dyDescent="0.25">
      <c r="B77"/>
    </row>
    <row r="78" spans="1:3" x14ac:dyDescent="0.25">
      <c r="B78"/>
    </row>
    <row r="79" spans="1:3" x14ac:dyDescent="0.25">
      <c r="B79"/>
    </row>
    <row r="80" spans="1:3"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sheetData>
  <sortState xmlns:xlrd2="http://schemas.microsoft.com/office/spreadsheetml/2017/richdata2" columnSort="1" ref="A3:C72">
    <sortCondition descending="1" ref="C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05BCC-B3DA-4DC9-B607-AAE2F931B392}">
  <dimension ref="A3:C20"/>
  <sheetViews>
    <sheetView workbookViewId="0">
      <selection activeCell="K32" sqref="K32"/>
    </sheetView>
  </sheetViews>
  <sheetFormatPr defaultRowHeight="15" x14ac:dyDescent="0.25"/>
  <sheetData>
    <row r="3" spans="1:3" x14ac:dyDescent="0.25">
      <c r="A3" s="22"/>
      <c r="B3" s="23"/>
      <c r="C3" s="24"/>
    </row>
    <row r="4" spans="1:3" x14ac:dyDescent="0.25">
      <c r="A4" s="25"/>
      <c r="B4" s="26"/>
      <c r="C4" s="27"/>
    </row>
    <row r="5" spans="1:3" x14ac:dyDescent="0.25">
      <c r="A5" s="25"/>
      <c r="B5" s="26"/>
      <c r="C5" s="27"/>
    </row>
    <row r="6" spans="1:3" x14ac:dyDescent="0.25">
      <c r="A6" s="25"/>
      <c r="B6" s="26"/>
      <c r="C6" s="27"/>
    </row>
    <row r="7" spans="1:3" x14ac:dyDescent="0.25">
      <c r="A7" s="25"/>
      <c r="B7" s="26"/>
      <c r="C7" s="27"/>
    </row>
    <row r="8" spans="1:3" x14ac:dyDescent="0.25">
      <c r="A8" s="25"/>
      <c r="B8" s="26"/>
      <c r="C8" s="27"/>
    </row>
    <row r="9" spans="1:3" x14ac:dyDescent="0.25">
      <c r="A9" s="25"/>
      <c r="B9" s="26"/>
      <c r="C9" s="27"/>
    </row>
    <row r="10" spans="1:3" x14ac:dyDescent="0.25">
      <c r="A10" s="25"/>
      <c r="B10" s="26"/>
      <c r="C10" s="27"/>
    </row>
    <row r="11" spans="1:3" x14ac:dyDescent="0.25">
      <c r="A11" s="25"/>
      <c r="B11" s="26"/>
      <c r="C11" s="27"/>
    </row>
    <row r="12" spans="1:3" x14ac:dyDescent="0.25">
      <c r="A12" s="25"/>
      <c r="B12" s="26"/>
      <c r="C12" s="27"/>
    </row>
    <row r="13" spans="1:3" x14ac:dyDescent="0.25">
      <c r="A13" s="25"/>
      <c r="B13" s="26"/>
      <c r="C13" s="27"/>
    </row>
    <row r="14" spans="1:3" x14ac:dyDescent="0.25">
      <c r="A14" s="25"/>
      <c r="B14" s="26"/>
      <c r="C14" s="27"/>
    </row>
    <row r="15" spans="1:3" x14ac:dyDescent="0.25">
      <c r="A15" s="25"/>
      <c r="B15" s="26"/>
      <c r="C15" s="27"/>
    </row>
    <row r="16" spans="1:3" x14ac:dyDescent="0.25">
      <c r="A16" s="25"/>
      <c r="B16" s="26"/>
      <c r="C16" s="27"/>
    </row>
    <row r="17" spans="1:3" x14ac:dyDescent="0.25">
      <c r="A17" s="25"/>
      <c r="B17" s="26"/>
      <c r="C17" s="27"/>
    </row>
    <row r="18" spans="1:3" x14ac:dyDescent="0.25">
      <c r="A18" s="25"/>
      <c r="B18" s="26"/>
      <c r="C18" s="27"/>
    </row>
    <row r="19" spans="1:3" x14ac:dyDescent="0.25">
      <c r="A19" s="25"/>
      <c r="B19" s="26"/>
      <c r="C19" s="27"/>
    </row>
    <row r="20" spans="1:3" x14ac:dyDescent="0.25">
      <c r="A20" s="28"/>
      <c r="B20" s="29"/>
      <c r="C20" s="3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642"/>
  <sheetViews>
    <sheetView workbookViewId="0">
      <pane ySplit="1" topLeftCell="A2" activePane="bottomLeft" state="frozen"/>
      <selection pane="bottomLeft" activeCell="U13" sqref="U13"/>
    </sheetView>
  </sheetViews>
  <sheetFormatPr defaultRowHeight="15" x14ac:dyDescent="0.25"/>
  <cols>
    <col min="1" max="1" width="16.42578125" style="3" bestFit="1" customWidth="1"/>
    <col min="2" max="2" width="10.7109375" style="4" bestFit="1" customWidth="1"/>
    <col min="3" max="3" width="9.7109375" style="4" bestFit="1" customWidth="1"/>
    <col min="4" max="4" width="8.7109375" style="4" bestFit="1" customWidth="1"/>
    <col min="5" max="5" width="13.85546875" style="4" bestFit="1" customWidth="1"/>
    <col min="6" max="6" width="14.7109375" style="10" bestFit="1" customWidth="1"/>
    <col min="7" max="7" width="9.140625" style="3"/>
    <col min="8" max="8" width="15.42578125" style="3" bestFit="1" customWidth="1"/>
    <col min="9" max="9" width="13.5703125" style="3" bestFit="1" customWidth="1"/>
    <col min="10" max="10" width="38" bestFit="1" customWidth="1"/>
    <col min="11" max="11" width="18.140625" style="3" bestFit="1" customWidth="1"/>
    <col min="12" max="13" width="12.7109375" style="3" bestFit="1" customWidth="1"/>
    <col min="14" max="14" width="16.28515625" style="3" bestFit="1" customWidth="1"/>
    <col min="15" max="15" width="10.28515625" style="3" bestFit="1" customWidth="1"/>
    <col min="16" max="16" width="9.140625" style="6" bestFit="1" customWidth="1"/>
    <col min="17" max="17" width="9.7109375" style="6" bestFit="1" customWidth="1"/>
    <col min="18" max="18" width="11.140625" style="6" bestFit="1" customWidth="1"/>
    <col min="19" max="19" width="11.85546875" style="6" bestFit="1" customWidth="1"/>
    <col min="20" max="20" width="8.7109375" style="6" bestFit="1" customWidth="1"/>
    <col min="21" max="21" width="19" bestFit="1" customWidth="1"/>
    <col min="22" max="22" width="17.28515625" bestFit="1" customWidth="1"/>
    <col min="23" max="23" width="13.7109375" bestFit="1" customWidth="1"/>
    <col min="24" max="24" width="11.42578125" style="6" bestFit="1" customWidth="1"/>
    <col min="25" max="25" width="12.7109375" bestFit="1" customWidth="1"/>
    <col min="26" max="26" width="16.28515625" bestFit="1" customWidth="1"/>
    <col min="27" max="27" width="21.5703125" style="4" bestFit="1" customWidth="1"/>
    <col min="28" max="28" width="18.28515625" style="4" bestFit="1" customWidth="1"/>
    <col min="29" max="29" width="16.5703125" bestFit="1" customWidth="1"/>
    <col min="30" max="30" width="8.42578125" bestFit="1" customWidth="1"/>
    <col min="31" max="31" width="16" bestFit="1" customWidth="1"/>
  </cols>
  <sheetData>
    <row r="1" spans="1:32" x14ac:dyDescent="0.25">
      <c r="A1" s="2" t="s">
        <v>0</v>
      </c>
      <c r="B1" s="7" t="s">
        <v>1424</v>
      </c>
      <c r="C1" s="7" t="s">
        <v>1418</v>
      </c>
      <c r="D1" s="7" t="s">
        <v>1419</v>
      </c>
      <c r="E1" s="7" t="s">
        <v>1414</v>
      </c>
      <c r="F1" s="11" t="s">
        <v>1415</v>
      </c>
      <c r="G1" s="2" t="s">
        <v>1</v>
      </c>
      <c r="H1" s="2" t="s">
        <v>2</v>
      </c>
      <c r="I1" s="2" t="s">
        <v>3</v>
      </c>
      <c r="J1" s="14" t="s">
        <v>1420</v>
      </c>
      <c r="K1" s="2" t="s">
        <v>1425</v>
      </c>
      <c r="L1" s="2" t="s">
        <v>4</v>
      </c>
      <c r="M1" s="2" t="s">
        <v>5</v>
      </c>
      <c r="N1" s="2" t="s">
        <v>1426</v>
      </c>
      <c r="O1" s="2" t="s">
        <v>6</v>
      </c>
      <c r="P1" s="5" t="s">
        <v>1427</v>
      </c>
      <c r="Q1" s="5" t="s">
        <v>1428</v>
      </c>
      <c r="R1" s="5" t="s">
        <v>1423</v>
      </c>
      <c r="S1" s="5" t="s">
        <v>1433</v>
      </c>
      <c r="T1" s="5" t="s">
        <v>7</v>
      </c>
      <c r="U1" s="12" t="s">
        <v>1429</v>
      </c>
      <c r="V1" s="8" t="s">
        <v>1442</v>
      </c>
      <c r="W1" s="8" t="s">
        <v>1430</v>
      </c>
      <c r="X1" s="13" t="s">
        <v>1431</v>
      </c>
      <c r="Y1" s="9" t="s">
        <v>1432</v>
      </c>
      <c r="Z1" s="9" t="s">
        <v>1436</v>
      </c>
      <c r="AA1" s="7" t="s">
        <v>1439</v>
      </c>
      <c r="AB1" s="7" t="s">
        <v>1440</v>
      </c>
      <c r="AC1" s="19" t="s">
        <v>1437</v>
      </c>
      <c r="AD1" s="19" t="s">
        <v>1483</v>
      </c>
      <c r="AE1" s="19" t="s">
        <v>1485</v>
      </c>
      <c r="AF1" s="19" t="s">
        <v>1487</v>
      </c>
    </row>
    <row r="2" spans="1:32" x14ac:dyDescent="0.25">
      <c r="A2" s="3" t="s">
        <v>1416</v>
      </c>
      <c r="B2" s="4">
        <v>45362</v>
      </c>
      <c r="C2" s="4" t="str">
        <f t="shared" ref="C2:C65" si="0">TEXT(B2,"MMM-YYYY")</f>
        <v>Mar-2024</v>
      </c>
      <c r="D2" s="4" t="str">
        <f t="shared" ref="D2:D65" si="1">IF(MONTH(B2)&lt;=3,"Q1",IF(MONTH(B2)&lt;=6,"Q2",IF(MONTH(B2)&lt;=9,"Q3","Q4")))</f>
        <v>Q1</v>
      </c>
      <c r="E2" s="4">
        <v>45388</v>
      </c>
      <c r="F2" s="10">
        <f t="shared" ref="F2:F65" si="2">ABS(E2-B2)</f>
        <v>26</v>
      </c>
      <c r="G2" s="3" t="s">
        <v>638</v>
      </c>
      <c r="H2" s="3" t="s">
        <v>642</v>
      </c>
      <c r="I2" s="3" t="s">
        <v>654</v>
      </c>
      <c r="J2" t="str">
        <f t="shared" ref="J2:J65" si="3">G2 &amp; " &gt; " &amp; H2 &amp; " &gt; " &amp; I2</f>
        <v>Africa &gt; Kenya &gt; Kisumu</v>
      </c>
      <c r="K2" s="3" t="s">
        <v>693</v>
      </c>
      <c r="L2" s="3" t="s">
        <v>699</v>
      </c>
      <c r="M2" s="3" t="s">
        <v>704</v>
      </c>
      <c r="N2" s="3" t="s">
        <v>719</v>
      </c>
      <c r="O2" s="3" t="s">
        <v>1441</v>
      </c>
      <c r="P2" s="6">
        <v>279.24</v>
      </c>
      <c r="Q2" s="6">
        <v>608.9</v>
      </c>
      <c r="R2" s="6" t="str">
        <f t="shared" ref="R2:R65" si="4">IF(P2&lt;=500,"Low",IF(P2&lt;=1000,"Medium","High"))</f>
        <v>Low</v>
      </c>
      <c r="S2" s="6">
        <v>0.112</v>
      </c>
      <c r="T2" s="6">
        <v>9</v>
      </c>
      <c r="U2">
        <f t="shared" ref="U2:U65" si="5">(Q2*T2*(1-S2))</f>
        <v>4866.3287999999993</v>
      </c>
      <c r="V2">
        <f>SUMIFS(U2:U633,N2:N633,"Components")</f>
        <v>1545646.9975800004</v>
      </c>
      <c r="W2">
        <f t="shared" ref="W2:W65" si="6">(P2*T2)</f>
        <v>2513.16</v>
      </c>
      <c r="X2" s="6">
        <f t="shared" ref="X2:X65" si="7">(U2-W2)</f>
        <v>2353.1687999999995</v>
      </c>
      <c r="Y2">
        <f t="shared" ref="Y2:Y65" si="8">IF(U2=0,0,X2/U2)</f>
        <v>0.48356140670149533</v>
      </c>
      <c r="Z2" cm="1">
        <f t="array" ref="Z2:Z633">YEAR(B2:B633)*100+MONTH(B2:B633)</f>
        <v>202403</v>
      </c>
      <c r="AA2" s="18" cm="1">
        <f t="array" ref="AA2:AA633">_xlfn.MINIFS(Z2:Z633,H2:H633,H2:H633)</f>
        <v>202301</v>
      </c>
      <c r="AB2" t="str" cm="1">
        <f t="array" ref="AB2:AB633">TEXT(DATE(INT(AA2:AA633/100),MOD(Z2:Z633,100),1),"MMM-YYYY")</f>
        <v>Mar-2023</v>
      </c>
      <c r="AC2">
        <f t="shared" ref="AC2:AC65" si="9">DATEDIF(DATE(LEFT(AA2,4),RIGHT(AA2,2),1),B2,"M")</f>
        <v>14</v>
      </c>
      <c r="AD2" t="str">
        <f>IF(F2&lt;=7,"On Time","Late")</f>
        <v>Late</v>
      </c>
      <c r="AE2">
        <f>IF(F2&lt;=7,1,0)</f>
        <v>0</v>
      </c>
      <c r="AF2">
        <f>IF(S2&gt;0.2,1,0)</f>
        <v>0</v>
      </c>
    </row>
    <row r="3" spans="1:32" x14ac:dyDescent="0.25">
      <c r="A3" s="3" t="s">
        <v>8</v>
      </c>
      <c r="B3" s="4">
        <v>45588</v>
      </c>
      <c r="C3" s="4" t="str">
        <f t="shared" si="0"/>
        <v>Oct-2024</v>
      </c>
      <c r="D3" s="4" t="str">
        <f t="shared" si="1"/>
        <v>Q4</v>
      </c>
      <c r="E3" s="4">
        <v>45589</v>
      </c>
      <c r="F3" s="10">
        <f t="shared" si="2"/>
        <v>1</v>
      </c>
      <c r="G3" s="3" t="s">
        <v>638</v>
      </c>
      <c r="H3" s="3" t="s">
        <v>643</v>
      </c>
      <c r="I3" s="3" t="s">
        <v>655</v>
      </c>
      <c r="J3" t="str">
        <f t="shared" si="3"/>
        <v>Africa &gt; Nigeria &gt; Port Harcourt</v>
      </c>
      <c r="K3" s="3" t="s">
        <v>694</v>
      </c>
      <c r="L3" s="3" t="s">
        <v>700</v>
      </c>
      <c r="M3" s="3" t="s">
        <v>705</v>
      </c>
      <c r="N3" s="3" t="s">
        <v>720</v>
      </c>
      <c r="O3" s="3" t="s">
        <v>726</v>
      </c>
      <c r="P3" s="6">
        <v>1084.3900000000001</v>
      </c>
      <c r="Q3" s="6">
        <v>759.33</v>
      </c>
      <c r="R3" s="6" t="str">
        <f t="shared" si="4"/>
        <v>High</v>
      </c>
      <c r="S3" s="6">
        <v>0.23699999999999999</v>
      </c>
      <c r="T3" s="6">
        <v>31</v>
      </c>
      <c r="U3">
        <f t="shared" si="5"/>
        <v>17960.432489999999</v>
      </c>
      <c r="V3">
        <f t="shared" ref="V3:V66" si="10">SUMIFS(U3:U634,N3:N634,"Components")</f>
        <v>1540780.6687800002</v>
      </c>
      <c r="W3">
        <f t="shared" si="6"/>
        <v>33616.090000000004</v>
      </c>
      <c r="X3" s="6">
        <f t="shared" si="7"/>
        <v>-15655.657510000005</v>
      </c>
      <c r="Y3">
        <f t="shared" si="8"/>
        <v>-0.87167486187856302</v>
      </c>
      <c r="Z3">
        <v>202410</v>
      </c>
      <c r="AA3" s="18">
        <v>202301</v>
      </c>
      <c r="AB3" t="str">
        <v>Oct-2023</v>
      </c>
      <c r="AC3">
        <f t="shared" si="9"/>
        <v>21</v>
      </c>
      <c r="AD3" t="str">
        <f t="shared" ref="AD3:AD66" si="11">IF(F3&lt;=7,"On Time","Late")</f>
        <v>On Time</v>
      </c>
      <c r="AE3">
        <f t="shared" ref="AE3:AE66" si="12">IF(F3&lt;=7,1,0)</f>
        <v>1</v>
      </c>
      <c r="AF3">
        <f t="shared" ref="AF3:AF66" si="13">IF(S3&gt;0.2,1,0)</f>
        <v>1</v>
      </c>
    </row>
    <row r="4" spans="1:32" x14ac:dyDescent="0.25">
      <c r="A4" s="3" t="s">
        <v>9</v>
      </c>
      <c r="B4" s="4">
        <v>44985</v>
      </c>
      <c r="C4" s="4" t="str">
        <f t="shared" si="0"/>
        <v>Feb-2023</v>
      </c>
      <c r="D4" s="4" t="str">
        <f t="shared" si="1"/>
        <v>Q1</v>
      </c>
      <c r="E4" s="4">
        <v>45010</v>
      </c>
      <c r="F4" s="10">
        <f t="shared" si="2"/>
        <v>25</v>
      </c>
      <c r="G4" s="3" t="s">
        <v>638</v>
      </c>
      <c r="H4" s="3" t="s">
        <v>642</v>
      </c>
      <c r="I4" s="3" t="s">
        <v>656</v>
      </c>
      <c r="J4" t="str">
        <f t="shared" si="3"/>
        <v>Africa &gt; Kenya &gt; Nairobi</v>
      </c>
      <c r="K4" s="3" t="s">
        <v>693</v>
      </c>
      <c r="L4" s="3" t="s">
        <v>699</v>
      </c>
      <c r="M4" s="3" t="s">
        <v>706</v>
      </c>
      <c r="N4" s="3" t="s">
        <v>721</v>
      </c>
      <c r="O4" s="3" t="s">
        <v>727</v>
      </c>
      <c r="P4" s="6">
        <v>1460.76</v>
      </c>
      <c r="Q4" s="6">
        <v>30.66</v>
      </c>
      <c r="R4" s="6" t="str">
        <f t="shared" si="4"/>
        <v>High</v>
      </c>
      <c r="S4" s="6">
        <v>0.13100000000000001</v>
      </c>
      <c r="T4" s="6">
        <v>12</v>
      </c>
      <c r="U4">
        <f t="shared" si="5"/>
        <v>319.72248000000002</v>
      </c>
      <c r="V4">
        <f t="shared" si="10"/>
        <v>1540780.6687800002</v>
      </c>
      <c r="W4">
        <f t="shared" si="6"/>
        <v>17529.12</v>
      </c>
      <c r="X4" s="6">
        <f t="shared" si="7"/>
        <v>-17209.397519999999</v>
      </c>
      <c r="Y4">
        <f t="shared" si="8"/>
        <v>-53.826047890032626</v>
      </c>
      <c r="Z4">
        <v>202302</v>
      </c>
      <c r="AA4" s="18">
        <v>202301</v>
      </c>
      <c r="AB4" t="str">
        <v>Feb-2023</v>
      </c>
      <c r="AC4">
        <f t="shared" si="9"/>
        <v>1</v>
      </c>
      <c r="AD4" t="str">
        <f t="shared" si="11"/>
        <v>Late</v>
      </c>
      <c r="AE4">
        <f t="shared" si="12"/>
        <v>0</v>
      </c>
      <c r="AF4">
        <f t="shared" si="13"/>
        <v>0</v>
      </c>
    </row>
    <row r="5" spans="1:32" x14ac:dyDescent="0.25">
      <c r="A5" s="3" t="s">
        <v>10</v>
      </c>
      <c r="B5" s="4">
        <v>45745</v>
      </c>
      <c r="C5" s="4" t="str">
        <f t="shared" si="0"/>
        <v>Mar-2025</v>
      </c>
      <c r="D5" s="4" t="str">
        <f t="shared" si="1"/>
        <v>Q1</v>
      </c>
      <c r="E5" s="4">
        <v>45749</v>
      </c>
      <c r="F5" s="10">
        <f t="shared" si="2"/>
        <v>4</v>
      </c>
      <c r="G5" s="3" t="s">
        <v>638</v>
      </c>
      <c r="H5" s="3" t="s">
        <v>643</v>
      </c>
      <c r="I5" s="3" t="s">
        <v>657</v>
      </c>
      <c r="J5" t="str">
        <f t="shared" si="3"/>
        <v>Africa &gt; Nigeria &gt; Lagos</v>
      </c>
      <c r="K5" s="3" t="s">
        <v>695</v>
      </c>
      <c r="L5" s="3" t="s">
        <v>701</v>
      </c>
      <c r="M5" s="3" t="s">
        <v>707</v>
      </c>
      <c r="N5" s="3" t="s">
        <v>722</v>
      </c>
      <c r="O5" s="3" t="s">
        <v>728</v>
      </c>
      <c r="P5" s="6">
        <v>259.93</v>
      </c>
      <c r="Q5" s="6">
        <v>255.94</v>
      </c>
      <c r="R5" s="6" t="str">
        <f t="shared" si="4"/>
        <v>Low</v>
      </c>
      <c r="S5" s="6">
        <v>7.1999999999999995E-2</v>
      </c>
      <c r="T5" s="6">
        <v>22</v>
      </c>
      <c r="U5">
        <f t="shared" si="5"/>
        <v>5225.2710400000005</v>
      </c>
      <c r="V5">
        <f t="shared" si="10"/>
        <v>1540780.6687800002</v>
      </c>
      <c r="W5">
        <f t="shared" si="6"/>
        <v>5718.46</v>
      </c>
      <c r="X5" s="6">
        <f t="shared" si="7"/>
        <v>-493.1889599999995</v>
      </c>
      <c r="Y5">
        <f t="shared" si="8"/>
        <v>-9.4385335463861311E-2</v>
      </c>
      <c r="Z5">
        <v>202503</v>
      </c>
      <c r="AA5" s="18">
        <v>202301</v>
      </c>
      <c r="AB5" t="str">
        <v>Mar-2023</v>
      </c>
      <c r="AC5">
        <f t="shared" si="9"/>
        <v>26</v>
      </c>
      <c r="AD5" t="str">
        <f t="shared" si="11"/>
        <v>On Time</v>
      </c>
      <c r="AE5">
        <f t="shared" si="12"/>
        <v>1</v>
      </c>
      <c r="AF5">
        <f t="shared" si="13"/>
        <v>0</v>
      </c>
    </row>
    <row r="6" spans="1:32" x14ac:dyDescent="0.25">
      <c r="A6" s="3" t="s">
        <v>11</v>
      </c>
      <c r="B6" s="4">
        <v>45266</v>
      </c>
      <c r="C6" s="4" t="str">
        <f t="shared" si="0"/>
        <v>Dec-2023</v>
      </c>
      <c r="D6" s="4" t="str">
        <f t="shared" si="1"/>
        <v>Q4</v>
      </c>
      <c r="E6" s="4">
        <v>45291</v>
      </c>
      <c r="F6" s="10">
        <f t="shared" si="2"/>
        <v>25</v>
      </c>
      <c r="G6" s="3" t="s">
        <v>639</v>
      </c>
      <c r="H6" s="3" t="s">
        <v>644</v>
      </c>
      <c r="I6" s="3" t="s">
        <v>658</v>
      </c>
      <c r="J6" t="str">
        <f t="shared" si="3"/>
        <v>Asia &gt; Japan &gt; Osaka</v>
      </c>
      <c r="K6" s="3" t="s">
        <v>696</v>
      </c>
      <c r="L6" s="3" t="s">
        <v>699</v>
      </c>
      <c r="M6" s="3" t="s">
        <v>708</v>
      </c>
      <c r="N6" s="3" t="s">
        <v>720</v>
      </c>
      <c r="O6" s="3" t="s">
        <v>729</v>
      </c>
      <c r="P6" s="6">
        <v>663.03</v>
      </c>
      <c r="Q6" s="6">
        <v>813.51</v>
      </c>
      <c r="R6" s="6" t="str">
        <f t="shared" si="4"/>
        <v>Medium</v>
      </c>
      <c r="S6" s="6">
        <v>0.10199999999999999</v>
      </c>
      <c r="T6" s="6">
        <v>15</v>
      </c>
      <c r="U6">
        <f t="shared" si="5"/>
        <v>10957.9797</v>
      </c>
      <c r="V6">
        <f t="shared" si="10"/>
        <v>1540780.6687800002</v>
      </c>
      <c r="W6">
        <f t="shared" si="6"/>
        <v>9945.4499999999989</v>
      </c>
      <c r="X6" s="6">
        <f t="shared" si="7"/>
        <v>1012.529700000001</v>
      </c>
      <c r="Y6">
        <f t="shared" si="8"/>
        <v>9.2401129379715952E-2</v>
      </c>
      <c r="Z6">
        <v>202312</v>
      </c>
      <c r="AA6" s="18">
        <v>202303</v>
      </c>
      <c r="AB6" t="str">
        <v>Dec-2023</v>
      </c>
      <c r="AC6">
        <f t="shared" si="9"/>
        <v>9</v>
      </c>
      <c r="AD6" t="str">
        <f t="shared" si="11"/>
        <v>Late</v>
      </c>
      <c r="AE6">
        <f t="shared" si="12"/>
        <v>0</v>
      </c>
      <c r="AF6">
        <f t="shared" si="13"/>
        <v>0</v>
      </c>
    </row>
    <row r="7" spans="1:32" x14ac:dyDescent="0.25">
      <c r="A7" s="3" t="s">
        <v>12</v>
      </c>
      <c r="B7" s="4">
        <v>44928</v>
      </c>
      <c r="C7" s="4" t="str">
        <f t="shared" si="0"/>
        <v>Jan-2023</v>
      </c>
      <c r="D7" s="4" t="str">
        <f t="shared" si="1"/>
        <v>Q1</v>
      </c>
      <c r="E7" s="4">
        <v>44931</v>
      </c>
      <c r="F7" s="10">
        <f t="shared" si="2"/>
        <v>3</v>
      </c>
      <c r="G7" s="3" t="s">
        <v>640</v>
      </c>
      <c r="H7" s="3" t="s">
        <v>645</v>
      </c>
      <c r="I7" s="3" t="s">
        <v>659</v>
      </c>
      <c r="J7" t="str">
        <f t="shared" si="3"/>
        <v>Americas &gt; Canada &gt; Toronto</v>
      </c>
      <c r="K7" s="3" t="s">
        <v>693</v>
      </c>
      <c r="L7" s="3" t="s">
        <v>702</v>
      </c>
      <c r="M7" s="3" t="s">
        <v>709</v>
      </c>
      <c r="N7" s="3" t="s">
        <v>723</v>
      </c>
      <c r="O7" s="3" t="s">
        <v>730</v>
      </c>
      <c r="P7" s="6">
        <v>315.87</v>
      </c>
      <c r="Q7" s="6">
        <v>591.67999999999995</v>
      </c>
      <c r="R7" s="6" t="str">
        <f t="shared" si="4"/>
        <v>Low</v>
      </c>
      <c r="S7" s="6">
        <v>0</v>
      </c>
      <c r="T7" s="6">
        <v>7</v>
      </c>
      <c r="U7">
        <f t="shared" si="5"/>
        <v>4141.7599999999993</v>
      </c>
      <c r="V7">
        <f t="shared" si="10"/>
        <v>1540780.6687800002</v>
      </c>
      <c r="W7">
        <f t="shared" si="6"/>
        <v>2211.09</v>
      </c>
      <c r="X7" s="6">
        <f t="shared" si="7"/>
        <v>1930.6699999999992</v>
      </c>
      <c r="Y7">
        <f t="shared" si="8"/>
        <v>0.46614724175229844</v>
      </c>
      <c r="Z7">
        <v>202301</v>
      </c>
      <c r="AA7" s="18">
        <v>202301</v>
      </c>
      <c r="AB7" t="str">
        <v>Jan-2023</v>
      </c>
      <c r="AC7">
        <f t="shared" si="9"/>
        <v>0</v>
      </c>
      <c r="AD7" t="str">
        <f t="shared" si="11"/>
        <v>On Time</v>
      </c>
      <c r="AE7">
        <f t="shared" si="12"/>
        <v>1</v>
      </c>
      <c r="AF7">
        <f t="shared" si="13"/>
        <v>0</v>
      </c>
    </row>
    <row r="8" spans="1:32" x14ac:dyDescent="0.25">
      <c r="A8" s="3" t="s">
        <v>13</v>
      </c>
      <c r="B8" s="4">
        <v>45653</v>
      </c>
      <c r="C8" s="4" t="str">
        <f t="shared" si="0"/>
        <v>Dec-2024</v>
      </c>
      <c r="D8" s="4" t="str">
        <f t="shared" si="1"/>
        <v>Q4</v>
      </c>
      <c r="E8" s="4">
        <v>45671</v>
      </c>
      <c r="F8" s="10">
        <f t="shared" si="2"/>
        <v>18</v>
      </c>
      <c r="G8" s="3" t="s">
        <v>639</v>
      </c>
      <c r="H8" s="3" t="s">
        <v>646</v>
      </c>
      <c r="I8" s="3" t="s">
        <v>660</v>
      </c>
      <c r="J8" t="str">
        <f t="shared" si="3"/>
        <v>Asia &gt; India &gt; Bengaluru</v>
      </c>
      <c r="K8" s="3" t="s">
        <v>697</v>
      </c>
      <c r="L8" s="3" t="s">
        <v>701</v>
      </c>
      <c r="M8" s="3" t="s">
        <v>710</v>
      </c>
      <c r="N8" s="3" t="s">
        <v>724</v>
      </c>
      <c r="O8" s="3" t="s">
        <v>731</v>
      </c>
      <c r="P8" s="6">
        <v>586.07000000000005</v>
      </c>
      <c r="Q8" s="6">
        <v>845.97</v>
      </c>
      <c r="R8" s="6" t="str">
        <f t="shared" si="4"/>
        <v>Medium</v>
      </c>
      <c r="S8" s="6">
        <v>0.14699999999999999</v>
      </c>
      <c r="T8" s="6">
        <v>4</v>
      </c>
      <c r="U8">
        <f t="shared" si="5"/>
        <v>2886.4496399999998</v>
      </c>
      <c r="V8">
        <f t="shared" si="10"/>
        <v>1540780.6687800002</v>
      </c>
      <c r="W8">
        <f t="shared" si="6"/>
        <v>2344.2800000000002</v>
      </c>
      <c r="X8" s="6">
        <f t="shared" si="7"/>
        <v>542.16963999999962</v>
      </c>
      <c r="Y8">
        <f t="shared" si="8"/>
        <v>0.18783270370862928</v>
      </c>
      <c r="Z8">
        <v>202412</v>
      </c>
      <c r="AA8" s="18">
        <v>202301</v>
      </c>
      <c r="AB8" t="str">
        <v>Dec-2023</v>
      </c>
      <c r="AC8">
        <f t="shared" si="9"/>
        <v>23</v>
      </c>
      <c r="AD8" t="str">
        <f t="shared" si="11"/>
        <v>Late</v>
      </c>
      <c r="AE8">
        <f t="shared" si="12"/>
        <v>0</v>
      </c>
      <c r="AF8">
        <f t="shared" si="13"/>
        <v>0</v>
      </c>
    </row>
    <row r="9" spans="1:32" x14ac:dyDescent="0.25">
      <c r="A9" s="3" t="s">
        <v>14</v>
      </c>
      <c r="B9" s="4">
        <v>44941</v>
      </c>
      <c r="C9" s="4" t="str">
        <f t="shared" si="0"/>
        <v>Jan-2023</v>
      </c>
      <c r="D9" s="4" t="str">
        <f t="shared" si="1"/>
        <v>Q1</v>
      </c>
      <c r="E9" s="4">
        <v>44943</v>
      </c>
      <c r="F9" s="10">
        <f t="shared" si="2"/>
        <v>2</v>
      </c>
      <c r="G9" s="3" t="s">
        <v>638</v>
      </c>
      <c r="H9" s="3" t="s">
        <v>643</v>
      </c>
      <c r="I9" s="3" t="s">
        <v>661</v>
      </c>
      <c r="J9" t="str">
        <f t="shared" si="3"/>
        <v>Africa &gt; Nigeria &gt; Abuja</v>
      </c>
      <c r="K9" s="3" t="s">
        <v>694</v>
      </c>
      <c r="L9" s="3" t="s">
        <v>700</v>
      </c>
      <c r="M9" s="3" t="s">
        <v>711</v>
      </c>
      <c r="N9" s="3" t="s">
        <v>720</v>
      </c>
      <c r="O9" s="3" t="s">
        <v>732</v>
      </c>
      <c r="P9" s="6">
        <v>28.38</v>
      </c>
      <c r="Q9" s="6">
        <v>47.22</v>
      </c>
      <c r="R9" s="6" t="str">
        <f t="shared" si="4"/>
        <v>Low</v>
      </c>
      <c r="S9" s="6">
        <v>0.19400000000000001</v>
      </c>
      <c r="T9" s="6">
        <v>18</v>
      </c>
      <c r="U9">
        <f t="shared" si="5"/>
        <v>685.06776000000002</v>
      </c>
      <c r="V9">
        <f t="shared" si="10"/>
        <v>1540780.6687800002</v>
      </c>
      <c r="W9">
        <f t="shared" si="6"/>
        <v>510.84</v>
      </c>
      <c r="X9" s="6">
        <f t="shared" si="7"/>
        <v>174.22776000000005</v>
      </c>
      <c r="Y9">
        <f t="shared" si="8"/>
        <v>0.25432193743871417</v>
      </c>
      <c r="Z9">
        <v>202301</v>
      </c>
      <c r="AA9" s="18">
        <v>202301</v>
      </c>
      <c r="AB9" t="str">
        <v>Jan-2023</v>
      </c>
      <c r="AC9">
        <f t="shared" si="9"/>
        <v>0</v>
      </c>
      <c r="AD9" t="str">
        <f t="shared" si="11"/>
        <v>On Time</v>
      </c>
      <c r="AE9">
        <f t="shared" si="12"/>
        <v>1</v>
      </c>
      <c r="AF9">
        <f t="shared" si="13"/>
        <v>0</v>
      </c>
    </row>
    <row r="10" spans="1:32" x14ac:dyDescent="0.25">
      <c r="A10" s="3" t="s">
        <v>15</v>
      </c>
      <c r="B10" s="4">
        <v>45416</v>
      </c>
      <c r="C10" s="4" t="str">
        <f t="shared" si="0"/>
        <v>May-2024</v>
      </c>
      <c r="D10" s="4" t="str">
        <f t="shared" si="1"/>
        <v>Q2</v>
      </c>
      <c r="E10" s="4">
        <v>45441</v>
      </c>
      <c r="F10" s="10">
        <f t="shared" si="2"/>
        <v>25</v>
      </c>
      <c r="G10" s="3" t="s">
        <v>638</v>
      </c>
      <c r="H10" s="3" t="s">
        <v>643</v>
      </c>
      <c r="I10" s="3" t="s">
        <v>661</v>
      </c>
      <c r="J10" t="str">
        <f t="shared" si="3"/>
        <v>Africa &gt; Nigeria &gt; Abuja</v>
      </c>
      <c r="K10" s="3" t="s">
        <v>695</v>
      </c>
      <c r="L10" s="3" t="s">
        <v>701</v>
      </c>
      <c r="M10" s="3" t="s">
        <v>711</v>
      </c>
      <c r="N10" s="3" t="s">
        <v>724</v>
      </c>
      <c r="O10" s="3" t="s">
        <v>733</v>
      </c>
      <c r="P10" s="6">
        <v>1295.3399999999999</v>
      </c>
      <c r="Q10" s="6">
        <v>2530.81</v>
      </c>
      <c r="R10" s="6" t="str">
        <f t="shared" si="4"/>
        <v>High</v>
      </c>
      <c r="S10" s="6">
        <v>3.1E-2</v>
      </c>
      <c r="T10" s="6">
        <v>6</v>
      </c>
      <c r="U10">
        <f t="shared" si="5"/>
        <v>14714.12934</v>
      </c>
      <c r="V10">
        <f t="shared" si="10"/>
        <v>1540780.6687800002</v>
      </c>
      <c r="W10">
        <f t="shared" si="6"/>
        <v>7772.0399999999991</v>
      </c>
      <c r="X10" s="6">
        <f t="shared" si="7"/>
        <v>6942.0893400000004</v>
      </c>
      <c r="Y10">
        <f t="shared" si="8"/>
        <v>0.4717974933880798</v>
      </c>
      <c r="Z10">
        <v>202405</v>
      </c>
      <c r="AA10" s="18">
        <v>202301</v>
      </c>
      <c r="AB10" t="str">
        <v>May-2023</v>
      </c>
      <c r="AC10">
        <f t="shared" si="9"/>
        <v>16</v>
      </c>
      <c r="AD10" t="str">
        <f t="shared" si="11"/>
        <v>Late</v>
      </c>
      <c r="AE10">
        <f t="shared" si="12"/>
        <v>0</v>
      </c>
      <c r="AF10">
        <f t="shared" si="13"/>
        <v>0</v>
      </c>
    </row>
    <row r="11" spans="1:32" x14ac:dyDescent="0.25">
      <c r="A11" s="3" t="s">
        <v>16</v>
      </c>
      <c r="B11" s="4">
        <v>45798</v>
      </c>
      <c r="C11" s="4" t="str">
        <f t="shared" si="0"/>
        <v>May-2025</v>
      </c>
      <c r="D11" s="4" t="str">
        <f t="shared" si="1"/>
        <v>Q2</v>
      </c>
      <c r="E11" s="4">
        <v>45817</v>
      </c>
      <c r="F11" s="10">
        <f t="shared" si="2"/>
        <v>19</v>
      </c>
      <c r="G11" s="3" t="s">
        <v>640</v>
      </c>
      <c r="H11" s="3" t="s">
        <v>647</v>
      </c>
      <c r="I11" s="3" t="s">
        <v>662</v>
      </c>
      <c r="J11" t="str">
        <f t="shared" si="3"/>
        <v>Americas &gt; Brazil &gt; São Paulo</v>
      </c>
      <c r="K11" s="3" t="s">
        <v>695</v>
      </c>
      <c r="L11" s="3" t="s">
        <v>700</v>
      </c>
      <c r="M11" s="3" t="s">
        <v>712</v>
      </c>
      <c r="N11" s="3" t="s">
        <v>719</v>
      </c>
      <c r="O11" s="3" t="s">
        <v>734</v>
      </c>
      <c r="P11" s="6">
        <v>1331.38</v>
      </c>
      <c r="Q11" s="6">
        <v>2309.56</v>
      </c>
      <c r="R11" s="6" t="str">
        <f t="shared" si="4"/>
        <v>High</v>
      </c>
      <c r="S11" s="6">
        <v>0.14899999999999999</v>
      </c>
      <c r="T11" s="6">
        <v>31</v>
      </c>
      <c r="U11">
        <f t="shared" si="5"/>
        <v>60928.502359999999</v>
      </c>
      <c r="V11">
        <f t="shared" si="10"/>
        <v>1540780.6687800002</v>
      </c>
      <c r="W11">
        <f t="shared" si="6"/>
        <v>41272.780000000006</v>
      </c>
      <c r="X11" s="6">
        <f t="shared" si="7"/>
        <v>19655.722359999992</v>
      </c>
      <c r="Y11">
        <f t="shared" si="8"/>
        <v>0.32260307735553528</v>
      </c>
      <c r="Z11">
        <v>202505</v>
      </c>
      <c r="AA11" s="18">
        <v>202301</v>
      </c>
      <c r="AB11" t="str">
        <v>May-2023</v>
      </c>
      <c r="AC11">
        <f t="shared" si="9"/>
        <v>28</v>
      </c>
      <c r="AD11" t="str">
        <f t="shared" si="11"/>
        <v>Late</v>
      </c>
      <c r="AE11">
        <f t="shared" si="12"/>
        <v>0</v>
      </c>
      <c r="AF11">
        <f t="shared" si="13"/>
        <v>0</v>
      </c>
    </row>
    <row r="12" spans="1:32" x14ac:dyDescent="0.25">
      <c r="A12" s="3" t="s">
        <v>17</v>
      </c>
      <c r="B12" s="4">
        <v>45319</v>
      </c>
      <c r="C12" s="4" t="str">
        <f t="shared" si="0"/>
        <v>Jan-2024</v>
      </c>
      <c r="D12" s="4" t="str">
        <f t="shared" si="1"/>
        <v>Q1</v>
      </c>
      <c r="E12" s="4">
        <v>45331</v>
      </c>
      <c r="F12" s="10">
        <f t="shared" si="2"/>
        <v>12</v>
      </c>
      <c r="G12" s="3" t="s">
        <v>641</v>
      </c>
      <c r="H12" s="3" t="s">
        <v>648</v>
      </c>
      <c r="I12" s="3" t="s">
        <v>663</v>
      </c>
      <c r="J12" t="str">
        <f t="shared" si="3"/>
        <v>Europe &gt; Germany &gt; Berlin</v>
      </c>
      <c r="K12" s="3" t="s">
        <v>693</v>
      </c>
      <c r="L12" s="3" t="s">
        <v>700</v>
      </c>
      <c r="M12" s="3" t="s">
        <v>707</v>
      </c>
      <c r="N12" s="3" t="s">
        <v>725</v>
      </c>
      <c r="O12" s="3" t="s">
        <v>735</v>
      </c>
      <c r="P12" s="6">
        <v>644.16999999999996</v>
      </c>
      <c r="Q12" s="6">
        <v>700.12</v>
      </c>
      <c r="R12" s="6" t="str">
        <f t="shared" si="4"/>
        <v>Medium</v>
      </c>
      <c r="S12" s="6">
        <v>6.0000000000000001E-3</v>
      </c>
      <c r="T12" s="6">
        <v>23</v>
      </c>
      <c r="U12">
        <f t="shared" si="5"/>
        <v>16006.14344</v>
      </c>
      <c r="V12">
        <f t="shared" si="10"/>
        <v>1479852.1664200001</v>
      </c>
      <c r="W12">
        <f t="shared" si="6"/>
        <v>14815.91</v>
      </c>
      <c r="X12" s="6">
        <f t="shared" si="7"/>
        <v>1190.23344</v>
      </c>
      <c r="Y12">
        <f t="shared" si="8"/>
        <v>7.436103796405813E-2</v>
      </c>
      <c r="Z12">
        <v>202401</v>
      </c>
      <c r="AA12" s="18">
        <v>202301</v>
      </c>
      <c r="AB12" t="str">
        <v>Jan-2023</v>
      </c>
      <c r="AC12">
        <f t="shared" si="9"/>
        <v>12</v>
      </c>
      <c r="AD12" t="str">
        <f t="shared" si="11"/>
        <v>Late</v>
      </c>
      <c r="AE12">
        <f t="shared" si="12"/>
        <v>0</v>
      </c>
      <c r="AF12">
        <f t="shared" si="13"/>
        <v>0</v>
      </c>
    </row>
    <row r="13" spans="1:32" x14ac:dyDescent="0.25">
      <c r="A13" s="3" t="s">
        <v>18</v>
      </c>
      <c r="B13" s="4">
        <v>45660</v>
      </c>
      <c r="C13" s="4" t="str">
        <f t="shared" si="0"/>
        <v>Jan-2025</v>
      </c>
      <c r="D13" s="4" t="str">
        <f t="shared" si="1"/>
        <v>Q1</v>
      </c>
      <c r="E13" s="4">
        <v>45680</v>
      </c>
      <c r="F13" s="10">
        <f t="shared" si="2"/>
        <v>20</v>
      </c>
      <c r="G13" s="3" t="s">
        <v>639</v>
      </c>
      <c r="H13" s="3" t="s">
        <v>644</v>
      </c>
      <c r="I13" s="3" t="s">
        <v>658</v>
      </c>
      <c r="J13" t="str">
        <f t="shared" si="3"/>
        <v>Asia &gt; Japan &gt; Osaka</v>
      </c>
      <c r="K13" s="3" t="s">
        <v>693</v>
      </c>
      <c r="L13" s="3" t="s">
        <v>702</v>
      </c>
      <c r="M13" s="3" t="s">
        <v>713</v>
      </c>
      <c r="N13" s="3" t="s">
        <v>722</v>
      </c>
      <c r="O13" s="3" t="s">
        <v>736</v>
      </c>
      <c r="P13" s="6">
        <v>908.6</v>
      </c>
      <c r="Q13" s="6">
        <v>691.37</v>
      </c>
      <c r="R13" s="6" t="str">
        <f t="shared" si="4"/>
        <v>Medium</v>
      </c>
      <c r="S13" s="6">
        <v>0.25</v>
      </c>
      <c r="T13" s="6">
        <v>20</v>
      </c>
      <c r="U13">
        <f t="shared" si="5"/>
        <v>10370.549999999999</v>
      </c>
      <c r="V13">
        <f t="shared" si="10"/>
        <v>1479852.1664200001</v>
      </c>
      <c r="W13">
        <f t="shared" si="6"/>
        <v>18172</v>
      </c>
      <c r="X13" s="6">
        <f t="shared" si="7"/>
        <v>-7801.4500000000007</v>
      </c>
      <c r="Y13">
        <f t="shared" si="8"/>
        <v>-0.75226964818645115</v>
      </c>
      <c r="Z13">
        <v>202501</v>
      </c>
      <c r="AA13" s="18">
        <v>202303</v>
      </c>
      <c r="AB13" t="str">
        <v>Jan-2023</v>
      </c>
      <c r="AC13">
        <f t="shared" si="9"/>
        <v>22</v>
      </c>
      <c r="AD13" t="str">
        <f t="shared" si="11"/>
        <v>Late</v>
      </c>
      <c r="AE13">
        <f t="shared" si="12"/>
        <v>0</v>
      </c>
      <c r="AF13">
        <f t="shared" si="13"/>
        <v>1</v>
      </c>
    </row>
    <row r="14" spans="1:32" x14ac:dyDescent="0.25">
      <c r="A14" s="3" t="s">
        <v>19</v>
      </c>
      <c r="B14" s="4">
        <v>45722</v>
      </c>
      <c r="C14" s="4" t="str">
        <f t="shared" si="0"/>
        <v>Mar-2025</v>
      </c>
      <c r="D14" s="4" t="str">
        <f t="shared" si="1"/>
        <v>Q1</v>
      </c>
      <c r="E14" s="4">
        <v>45747</v>
      </c>
      <c r="F14" s="10">
        <f t="shared" si="2"/>
        <v>25</v>
      </c>
      <c r="G14" s="3" t="s">
        <v>640</v>
      </c>
      <c r="H14" s="3" t="s">
        <v>647</v>
      </c>
      <c r="I14" s="3" t="s">
        <v>664</v>
      </c>
      <c r="J14" t="str">
        <f t="shared" si="3"/>
        <v>Americas &gt; Brazil &gt; Brasília</v>
      </c>
      <c r="K14" s="3" t="s">
        <v>695</v>
      </c>
      <c r="L14" s="3" t="s">
        <v>700</v>
      </c>
      <c r="M14" s="3" t="s">
        <v>705</v>
      </c>
      <c r="N14" s="3" t="s">
        <v>719</v>
      </c>
      <c r="O14" s="3" t="s">
        <v>737</v>
      </c>
      <c r="P14" s="6">
        <v>331.57</v>
      </c>
      <c r="Q14" s="6">
        <v>548.4</v>
      </c>
      <c r="R14" s="6" t="str">
        <f t="shared" si="4"/>
        <v>Low</v>
      </c>
      <c r="S14" s="6">
        <v>9.4E-2</v>
      </c>
      <c r="T14" s="6">
        <v>10</v>
      </c>
      <c r="U14">
        <f t="shared" si="5"/>
        <v>4968.5039999999999</v>
      </c>
      <c r="V14">
        <f t="shared" si="10"/>
        <v>1479852.1664200001</v>
      </c>
      <c r="W14">
        <f t="shared" si="6"/>
        <v>3315.7</v>
      </c>
      <c r="X14" s="6">
        <f t="shared" si="7"/>
        <v>1652.8040000000001</v>
      </c>
      <c r="Y14">
        <f t="shared" si="8"/>
        <v>0.33265626836568918</v>
      </c>
      <c r="Z14">
        <v>202503</v>
      </c>
      <c r="AA14" s="18">
        <v>202301</v>
      </c>
      <c r="AB14" t="str">
        <v>Mar-2023</v>
      </c>
      <c r="AC14">
        <f t="shared" si="9"/>
        <v>26</v>
      </c>
      <c r="AD14" t="str">
        <f t="shared" si="11"/>
        <v>Late</v>
      </c>
      <c r="AE14">
        <f t="shared" si="12"/>
        <v>0</v>
      </c>
      <c r="AF14">
        <f t="shared" si="13"/>
        <v>0</v>
      </c>
    </row>
    <row r="15" spans="1:32" x14ac:dyDescent="0.25">
      <c r="A15" s="3" t="s">
        <v>20</v>
      </c>
      <c r="B15" s="4">
        <v>45311</v>
      </c>
      <c r="C15" s="4" t="str">
        <f t="shared" si="0"/>
        <v>Jan-2024</v>
      </c>
      <c r="D15" s="4" t="str">
        <f t="shared" si="1"/>
        <v>Q1</v>
      </c>
      <c r="E15" s="4">
        <v>45335</v>
      </c>
      <c r="F15" s="10">
        <f t="shared" si="2"/>
        <v>24</v>
      </c>
      <c r="G15" s="3" t="s">
        <v>641</v>
      </c>
      <c r="H15" s="3" t="s">
        <v>649</v>
      </c>
      <c r="I15" s="3" t="s">
        <v>665</v>
      </c>
      <c r="J15" t="str">
        <f t="shared" si="3"/>
        <v>Europe &gt; France &gt; Marseille</v>
      </c>
      <c r="K15" s="3" t="s">
        <v>693</v>
      </c>
      <c r="L15" s="3" t="s">
        <v>699</v>
      </c>
      <c r="M15" s="3" t="s">
        <v>714</v>
      </c>
      <c r="N15" s="3" t="s">
        <v>720</v>
      </c>
      <c r="O15" s="3" t="s">
        <v>738</v>
      </c>
      <c r="P15" s="6">
        <v>643.53</v>
      </c>
      <c r="Q15" s="6">
        <v>1439.01</v>
      </c>
      <c r="R15" s="6" t="str">
        <f t="shared" si="4"/>
        <v>Medium</v>
      </c>
      <c r="S15" s="6">
        <v>0</v>
      </c>
      <c r="T15" s="6">
        <v>15</v>
      </c>
      <c r="U15">
        <f t="shared" si="5"/>
        <v>21585.15</v>
      </c>
      <c r="V15">
        <f t="shared" si="10"/>
        <v>1474883.6624200002</v>
      </c>
      <c r="W15">
        <f t="shared" si="6"/>
        <v>9652.9499999999989</v>
      </c>
      <c r="X15" s="6">
        <f t="shared" si="7"/>
        <v>11932.200000000003</v>
      </c>
      <c r="Y15">
        <f t="shared" si="8"/>
        <v>0.55279671440782208</v>
      </c>
      <c r="Z15">
        <v>202401</v>
      </c>
      <c r="AA15" s="18">
        <v>202301</v>
      </c>
      <c r="AB15" t="str">
        <v>Jan-2023</v>
      </c>
      <c r="AC15">
        <f t="shared" si="9"/>
        <v>12</v>
      </c>
      <c r="AD15" t="str">
        <f t="shared" si="11"/>
        <v>Late</v>
      </c>
      <c r="AE15">
        <f t="shared" si="12"/>
        <v>0</v>
      </c>
      <c r="AF15">
        <f t="shared" si="13"/>
        <v>0</v>
      </c>
    </row>
    <row r="16" spans="1:32" x14ac:dyDescent="0.25">
      <c r="A16" s="3" t="s">
        <v>21</v>
      </c>
      <c r="B16" s="4">
        <v>45901</v>
      </c>
      <c r="C16" s="4" t="str">
        <f t="shared" si="0"/>
        <v>Sept-2025</v>
      </c>
      <c r="D16" s="4" t="str">
        <f t="shared" si="1"/>
        <v>Q3</v>
      </c>
      <c r="E16" s="4">
        <v>45930</v>
      </c>
      <c r="F16" s="10">
        <f t="shared" si="2"/>
        <v>29</v>
      </c>
      <c r="G16" s="3" t="s">
        <v>640</v>
      </c>
      <c r="H16" s="3" t="s">
        <v>647</v>
      </c>
      <c r="I16" s="3" t="s">
        <v>664</v>
      </c>
      <c r="J16" t="str">
        <f t="shared" si="3"/>
        <v>Americas &gt; Brazil &gt; Brasília</v>
      </c>
      <c r="K16" s="3" t="s">
        <v>694</v>
      </c>
      <c r="L16" s="3" t="s">
        <v>699</v>
      </c>
      <c r="M16" s="3" t="s">
        <v>715</v>
      </c>
      <c r="N16" s="3" t="s">
        <v>725</v>
      </c>
      <c r="O16" s="3" t="s">
        <v>739</v>
      </c>
      <c r="P16" s="6">
        <v>780.59</v>
      </c>
      <c r="Q16" s="6">
        <v>631.57000000000005</v>
      </c>
      <c r="R16" s="6" t="str">
        <f t="shared" si="4"/>
        <v>Medium</v>
      </c>
      <c r="S16" s="6">
        <v>0</v>
      </c>
      <c r="T16" s="6">
        <v>12</v>
      </c>
      <c r="U16">
        <f t="shared" si="5"/>
        <v>7578.84</v>
      </c>
      <c r="V16">
        <f t="shared" si="10"/>
        <v>1474883.6624200002</v>
      </c>
      <c r="W16">
        <f t="shared" si="6"/>
        <v>9367.08</v>
      </c>
      <c r="X16" s="6">
        <f t="shared" si="7"/>
        <v>-1788.2399999999998</v>
      </c>
      <c r="Y16">
        <f t="shared" si="8"/>
        <v>-0.23595167598207639</v>
      </c>
      <c r="Z16">
        <v>202509</v>
      </c>
      <c r="AA16" s="18">
        <v>202301</v>
      </c>
      <c r="AB16" t="str">
        <v>Sept-2023</v>
      </c>
      <c r="AC16">
        <f t="shared" si="9"/>
        <v>32</v>
      </c>
      <c r="AD16" t="str">
        <f t="shared" si="11"/>
        <v>Late</v>
      </c>
      <c r="AE16">
        <f t="shared" si="12"/>
        <v>0</v>
      </c>
      <c r="AF16">
        <f t="shared" si="13"/>
        <v>0</v>
      </c>
    </row>
    <row r="17" spans="1:32" x14ac:dyDescent="0.25">
      <c r="A17" s="3" t="s">
        <v>22</v>
      </c>
      <c r="B17" s="4">
        <v>45039</v>
      </c>
      <c r="C17" s="4" t="str">
        <f t="shared" si="0"/>
        <v>Apr-2023</v>
      </c>
      <c r="D17" s="4" t="str">
        <f t="shared" si="1"/>
        <v>Q2</v>
      </c>
      <c r="E17" s="4">
        <v>45040</v>
      </c>
      <c r="F17" s="10">
        <f t="shared" si="2"/>
        <v>1</v>
      </c>
      <c r="G17" s="3" t="s">
        <v>638</v>
      </c>
      <c r="H17" s="3" t="s">
        <v>642</v>
      </c>
      <c r="I17" s="3" t="s">
        <v>656</v>
      </c>
      <c r="J17" t="str">
        <f t="shared" si="3"/>
        <v>Africa &gt; Kenya &gt; Nairobi</v>
      </c>
      <c r="K17" s="3" t="s">
        <v>697</v>
      </c>
      <c r="L17" s="3" t="s">
        <v>703</v>
      </c>
      <c r="M17" s="3" t="s">
        <v>710</v>
      </c>
      <c r="N17" s="3" t="s">
        <v>723</v>
      </c>
      <c r="O17" s="3" t="s">
        <v>740</v>
      </c>
      <c r="P17" s="6">
        <v>756.51</v>
      </c>
      <c r="Q17" s="6">
        <v>850.8</v>
      </c>
      <c r="R17" s="6" t="str">
        <f t="shared" si="4"/>
        <v>Medium</v>
      </c>
      <c r="S17" s="6">
        <v>7.3999999999999996E-2</v>
      </c>
      <c r="T17" s="6">
        <v>9</v>
      </c>
      <c r="U17">
        <f t="shared" si="5"/>
        <v>7090.5672000000004</v>
      </c>
      <c r="V17">
        <f t="shared" si="10"/>
        <v>1474883.6624200002</v>
      </c>
      <c r="W17">
        <f t="shared" si="6"/>
        <v>6808.59</v>
      </c>
      <c r="X17" s="6">
        <f t="shared" si="7"/>
        <v>281.97720000000027</v>
      </c>
      <c r="Y17">
        <f t="shared" si="8"/>
        <v>3.9767932810791252E-2</v>
      </c>
      <c r="Z17">
        <v>202304</v>
      </c>
      <c r="AA17" s="18">
        <v>202301</v>
      </c>
      <c r="AB17" t="str">
        <v>Apr-2023</v>
      </c>
      <c r="AC17">
        <f t="shared" si="9"/>
        <v>3</v>
      </c>
      <c r="AD17" t="str">
        <f t="shared" si="11"/>
        <v>On Time</v>
      </c>
      <c r="AE17">
        <f t="shared" si="12"/>
        <v>1</v>
      </c>
      <c r="AF17">
        <f t="shared" si="13"/>
        <v>0</v>
      </c>
    </row>
    <row r="18" spans="1:32" x14ac:dyDescent="0.25">
      <c r="A18" s="3" t="s">
        <v>23</v>
      </c>
      <c r="B18" s="4">
        <v>45636</v>
      </c>
      <c r="C18" s="4" t="str">
        <f t="shared" si="0"/>
        <v>Dec-2024</v>
      </c>
      <c r="D18" s="4" t="str">
        <f t="shared" si="1"/>
        <v>Q4</v>
      </c>
      <c r="E18" s="4">
        <v>45665</v>
      </c>
      <c r="F18" s="10">
        <f t="shared" si="2"/>
        <v>29</v>
      </c>
      <c r="G18" s="3" t="s">
        <v>641</v>
      </c>
      <c r="H18" s="3" t="s">
        <v>649</v>
      </c>
      <c r="I18" s="3" t="s">
        <v>665</v>
      </c>
      <c r="J18" t="str">
        <f t="shared" si="3"/>
        <v>Europe &gt; France &gt; Marseille</v>
      </c>
      <c r="K18" s="3" t="s">
        <v>697</v>
      </c>
      <c r="L18" s="3" t="s">
        <v>699</v>
      </c>
      <c r="M18" s="3" t="s">
        <v>715</v>
      </c>
      <c r="N18" s="3" t="s">
        <v>720</v>
      </c>
      <c r="O18" s="3" t="s">
        <v>741</v>
      </c>
      <c r="P18" s="6">
        <v>891.08</v>
      </c>
      <c r="Q18" s="6">
        <v>1040.0999999999999</v>
      </c>
      <c r="R18" s="6" t="str">
        <f t="shared" si="4"/>
        <v>Medium</v>
      </c>
      <c r="S18" s="6">
        <v>0.109</v>
      </c>
      <c r="T18" s="6">
        <v>28</v>
      </c>
      <c r="U18">
        <f t="shared" si="5"/>
        <v>25948.414799999995</v>
      </c>
      <c r="V18">
        <f t="shared" si="10"/>
        <v>1474883.6624200002</v>
      </c>
      <c r="W18">
        <f t="shared" si="6"/>
        <v>24950.240000000002</v>
      </c>
      <c r="X18" s="6">
        <f t="shared" si="7"/>
        <v>998.17479999999341</v>
      </c>
      <c r="Y18">
        <f t="shared" si="8"/>
        <v>3.8467660074556598E-2</v>
      </c>
      <c r="Z18">
        <v>202412</v>
      </c>
      <c r="AA18" s="18">
        <v>202301</v>
      </c>
      <c r="AB18" t="str">
        <v>Dec-2023</v>
      </c>
      <c r="AC18">
        <f t="shared" si="9"/>
        <v>23</v>
      </c>
      <c r="AD18" t="str">
        <f t="shared" si="11"/>
        <v>Late</v>
      </c>
      <c r="AE18">
        <f t="shared" si="12"/>
        <v>0</v>
      </c>
      <c r="AF18">
        <f t="shared" si="13"/>
        <v>0</v>
      </c>
    </row>
    <row r="19" spans="1:32" x14ac:dyDescent="0.25">
      <c r="A19" s="3" t="s">
        <v>24</v>
      </c>
      <c r="B19" s="4">
        <v>45908</v>
      </c>
      <c r="C19" s="4" t="str">
        <f t="shared" si="0"/>
        <v>Sept-2025</v>
      </c>
      <c r="D19" s="4" t="str">
        <f t="shared" si="1"/>
        <v>Q3</v>
      </c>
      <c r="E19" s="4">
        <v>45916</v>
      </c>
      <c r="F19" s="10">
        <f t="shared" si="2"/>
        <v>8</v>
      </c>
      <c r="G19" s="3" t="s">
        <v>639</v>
      </c>
      <c r="H19" s="3" t="s">
        <v>644</v>
      </c>
      <c r="I19" s="3" t="s">
        <v>658</v>
      </c>
      <c r="J19" t="str">
        <f t="shared" si="3"/>
        <v>Asia &gt; Japan &gt; Osaka</v>
      </c>
      <c r="K19" s="3" t="s">
        <v>693</v>
      </c>
      <c r="L19" s="3" t="s">
        <v>702</v>
      </c>
      <c r="M19" s="3" t="s">
        <v>704</v>
      </c>
      <c r="N19" s="3" t="s">
        <v>722</v>
      </c>
      <c r="O19" s="3" t="s">
        <v>742</v>
      </c>
      <c r="P19" s="6">
        <v>1225.57</v>
      </c>
      <c r="Q19" s="6">
        <v>2705.57</v>
      </c>
      <c r="R19" s="6" t="str">
        <f t="shared" si="4"/>
        <v>High</v>
      </c>
      <c r="S19" s="6">
        <v>0.183</v>
      </c>
      <c r="T19" s="6">
        <v>16</v>
      </c>
      <c r="U19">
        <f t="shared" si="5"/>
        <v>35367.211040000002</v>
      </c>
      <c r="V19">
        <f t="shared" si="10"/>
        <v>1474883.6624200002</v>
      </c>
      <c r="W19">
        <f t="shared" si="6"/>
        <v>19609.12</v>
      </c>
      <c r="X19" s="6">
        <f t="shared" si="7"/>
        <v>15758.091040000003</v>
      </c>
      <c r="Y19">
        <f t="shared" si="8"/>
        <v>0.44555650775453404</v>
      </c>
      <c r="Z19">
        <v>202509</v>
      </c>
      <c r="AA19" s="18">
        <v>202303</v>
      </c>
      <c r="AB19" t="str">
        <v>Sept-2023</v>
      </c>
      <c r="AC19">
        <f t="shared" si="9"/>
        <v>30</v>
      </c>
      <c r="AD19" t="str">
        <f t="shared" si="11"/>
        <v>Late</v>
      </c>
      <c r="AE19">
        <f t="shared" si="12"/>
        <v>0</v>
      </c>
      <c r="AF19">
        <f t="shared" si="13"/>
        <v>0</v>
      </c>
    </row>
    <row r="20" spans="1:32" x14ac:dyDescent="0.25">
      <c r="A20" s="3" t="s">
        <v>25</v>
      </c>
      <c r="B20" s="4">
        <v>45858</v>
      </c>
      <c r="C20" s="4" t="str">
        <f t="shared" si="0"/>
        <v>Jul-2025</v>
      </c>
      <c r="D20" s="4" t="str">
        <f t="shared" si="1"/>
        <v>Q3</v>
      </c>
      <c r="E20" s="4">
        <v>45874</v>
      </c>
      <c r="F20" s="10">
        <f t="shared" si="2"/>
        <v>16</v>
      </c>
      <c r="G20" s="3" t="s">
        <v>640</v>
      </c>
      <c r="H20" s="3" t="s">
        <v>647</v>
      </c>
      <c r="I20" s="3" t="s">
        <v>664</v>
      </c>
      <c r="J20" t="str">
        <f t="shared" si="3"/>
        <v>Americas &gt; Brazil &gt; Brasília</v>
      </c>
      <c r="K20" s="3" t="s">
        <v>698</v>
      </c>
      <c r="L20" s="3" t="s">
        <v>701</v>
      </c>
      <c r="M20" s="3" t="s">
        <v>707</v>
      </c>
      <c r="N20" s="3" t="s">
        <v>725</v>
      </c>
      <c r="O20" s="3" t="s">
        <v>743</v>
      </c>
      <c r="P20" s="6">
        <v>1068.17</v>
      </c>
      <c r="Q20" s="6">
        <v>2375.37</v>
      </c>
      <c r="R20" s="6" t="str">
        <f t="shared" si="4"/>
        <v>High</v>
      </c>
      <c r="S20" s="6">
        <v>0.109</v>
      </c>
      <c r="T20" s="6">
        <v>18</v>
      </c>
      <c r="U20">
        <f t="shared" si="5"/>
        <v>38096.18406</v>
      </c>
      <c r="V20">
        <f t="shared" si="10"/>
        <v>1474883.6624200002</v>
      </c>
      <c r="W20">
        <f t="shared" si="6"/>
        <v>19227.060000000001</v>
      </c>
      <c r="X20" s="6">
        <f t="shared" si="7"/>
        <v>18869.124059999998</v>
      </c>
      <c r="Y20">
        <f t="shared" si="8"/>
        <v>0.49530220744108822</v>
      </c>
      <c r="Z20">
        <v>202507</v>
      </c>
      <c r="AA20" s="18">
        <v>202301</v>
      </c>
      <c r="AB20" t="str">
        <v>Jul-2023</v>
      </c>
      <c r="AC20">
        <f t="shared" si="9"/>
        <v>30</v>
      </c>
      <c r="AD20" t="str">
        <f t="shared" si="11"/>
        <v>Late</v>
      </c>
      <c r="AE20">
        <f t="shared" si="12"/>
        <v>0</v>
      </c>
      <c r="AF20">
        <f t="shared" si="13"/>
        <v>0</v>
      </c>
    </row>
    <row r="21" spans="1:32" x14ac:dyDescent="0.25">
      <c r="A21" s="3" t="s">
        <v>26</v>
      </c>
      <c r="B21" s="4">
        <v>45798</v>
      </c>
      <c r="C21" s="4" t="str">
        <f t="shared" si="0"/>
        <v>May-2025</v>
      </c>
      <c r="D21" s="4" t="str">
        <f t="shared" si="1"/>
        <v>Q2</v>
      </c>
      <c r="E21" s="4">
        <v>45800</v>
      </c>
      <c r="F21" s="10">
        <f t="shared" si="2"/>
        <v>2</v>
      </c>
      <c r="G21" s="3" t="s">
        <v>641</v>
      </c>
      <c r="H21" s="3" t="s">
        <v>650</v>
      </c>
      <c r="I21" s="3" t="s">
        <v>666</v>
      </c>
      <c r="J21" t="str">
        <f t="shared" si="3"/>
        <v>Europe &gt; United Kingdom &gt; Birmingham</v>
      </c>
      <c r="K21" s="3" t="s">
        <v>698</v>
      </c>
      <c r="L21" s="3" t="s">
        <v>700</v>
      </c>
      <c r="M21" s="3" t="s">
        <v>716</v>
      </c>
      <c r="N21" s="3" t="s">
        <v>723</v>
      </c>
      <c r="O21" s="3" t="s">
        <v>744</v>
      </c>
      <c r="P21" s="6">
        <v>1015.16</v>
      </c>
      <c r="Q21" s="6">
        <v>2148.14</v>
      </c>
      <c r="R21" s="6" t="str">
        <f t="shared" si="4"/>
        <v>High</v>
      </c>
      <c r="S21" s="6">
        <v>3.7999999999999999E-2</v>
      </c>
      <c r="T21" s="6">
        <v>19</v>
      </c>
      <c r="U21">
        <f t="shared" si="5"/>
        <v>39263.702919999996</v>
      </c>
      <c r="V21">
        <f t="shared" si="10"/>
        <v>1474883.6624200002</v>
      </c>
      <c r="W21">
        <f t="shared" si="6"/>
        <v>19288.04</v>
      </c>
      <c r="X21" s="6">
        <f t="shared" si="7"/>
        <v>19975.662919999995</v>
      </c>
      <c r="Y21">
        <f t="shared" si="8"/>
        <v>0.50875647059322227</v>
      </c>
      <c r="Z21">
        <v>202505</v>
      </c>
      <c r="AA21" s="18">
        <v>202301</v>
      </c>
      <c r="AB21" t="str">
        <v>May-2023</v>
      </c>
      <c r="AC21">
        <f t="shared" si="9"/>
        <v>28</v>
      </c>
      <c r="AD21" t="str">
        <f t="shared" si="11"/>
        <v>On Time</v>
      </c>
      <c r="AE21">
        <f t="shared" si="12"/>
        <v>1</v>
      </c>
      <c r="AF21">
        <f t="shared" si="13"/>
        <v>0</v>
      </c>
    </row>
    <row r="22" spans="1:32" x14ac:dyDescent="0.25">
      <c r="A22" s="3" t="s">
        <v>27</v>
      </c>
      <c r="B22" s="4">
        <v>45498</v>
      </c>
      <c r="C22" s="4" t="str">
        <f t="shared" si="0"/>
        <v>Jul-2024</v>
      </c>
      <c r="D22" s="4" t="str">
        <f t="shared" si="1"/>
        <v>Q3</v>
      </c>
      <c r="E22" s="4">
        <v>45499</v>
      </c>
      <c r="F22" s="10">
        <f t="shared" si="2"/>
        <v>1</v>
      </c>
      <c r="G22" s="3" t="s">
        <v>638</v>
      </c>
      <c r="H22" s="3" t="s">
        <v>642</v>
      </c>
      <c r="I22" s="3" t="s">
        <v>667</v>
      </c>
      <c r="J22" t="str">
        <f t="shared" si="3"/>
        <v>Africa &gt; Kenya &gt; Mombasa</v>
      </c>
      <c r="K22" s="3" t="s">
        <v>695</v>
      </c>
      <c r="L22" s="3" t="s">
        <v>703</v>
      </c>
      <c r="M22" s="3" t="s">
        <v>705</v>
      </c>
      <c r="N22" s="3" t="s">
        <v>723</v>
      </c>
      <c r="O22" s="3" t="s">
        <v>745</v>
      </c>
      <c r="P22" s="6">
        <v>1494.4</v>
      </c>
      <c r="Q22" s="6">
        <v>3661.07</v>
      </c>
      <c r="R22" s="6" t="str">
        <f t="shared" si="4"/>
        <v>High</v>
      </c>
      <c r="S22" s="6">
        <v>7.1999999999999995E-2</v>
      </c>
      <c r="T22" s="6">
        <v>7</v>
      </c>
      <c r="U22">
        <f t="shared" si="5"/>
        <v>23782.310720000001</v>
      </c>
      <c r="V22">
        <f t="shared" si="10"/>
        <v>1474883.6624200002</v>
      </c>
      <c r="W22">
        <f t="shared" si="6"/>
        <v>10460.800000000001</v>
      </c>
      <c r="X22" s="6">
        <f t="shared" si="7"/>
        <v>13321.51072</v>
      </c>
      <c r="Y22">
        <f t="shared" si="8"/>
        <v>0.56014366630897339</v>
      </c>
      <c r="Z22">
        <v>202407</v>
      </c>
      <c r="AA22" s="18">
        <v>202301</v>
      </c>
      <c r="AB22" t="str">
        <v>Jul-2023</v>
      </c>
      <c r="AC22">
        <f t="shared" si="9"/>
        <v>18</v>
      </c>
      <c r="AD22" t="str">
        <f t="shared" si="11"/>
        <v>On Time</v>
      </c>
      <c r="AE22">
        <f t="shared" si="12"/>
        <v>1</v>
      </c>
      <c r="AF22">
        <f t="shared" si="13"/>
        <v>0</v>
      </c>
    </row>
    <row r="23" spans="1:32" x14ac:dyDescent="0.25">
      <c r="A23" s="3" t="s">
        <v>28</v>
      </c>
      <c r="B23" s="4">
        <v>45057</v>
      </c>
      <c r="C23" s="4" t="str">
        <f t="shared" si="0"/>
        <v>May-2023</v>
      </c>
      <c r="D23" s="4" t="str">
        <f t="shared" si="1"/>
        <v>Q2</v>
      </c>
      <c r="E23" s="4">
        <v>45074</v>
      </c>
      <c r="F23" s="10">
        <f t="shared" si="2"/>
        <v>17</v>
      </c>
      <c r="G23" s="3" t="s">
        <v>639</v>
      </c>
      <c r="H23" s="3" t="s">
        <v>651</v>
      </c>
      <c r="I23" s="3" t="s">
        <v>668</v>
      </c>
      <c r="J23" t="str">
        <f t="shared" si="3"/>
        <v>Asia &gt; China &gt; Shenzhen</v>
      </c>
      <c r="K23" s="4" t="s">
        <v>698</v>
      </c>
      <c r="L23" s="3" t="s">
        <v>701</v>
      </c>
      <c r="M23" s="3" t="s">
        <v>710</v>
      </c>
      <c r="N23" s="3" t="s">
        <v>721</v>
      </c>
      <c r="O23" s="3" t="s">
        <v>746</v>
      </c>
      <c r="P23" s="6">
        <v>1331.19</v>
      </c>
      <c r="Q23" s="6">
        <v>2903.09</v>
      </c>
      <c r="R23" s="6" t="str">
        <f t="shared" si="4"/>
        <v>High</v>
      </c>
      <c r="S23" s="6">
        <v>0.14299999999999999</v>
      </c>
      <c r="T23" s="6">
        <v>8</v>
      </c>
      <c r="U23">
        <f t="shared" si="5"/>
        <v>19903.585040000002</v>
      </c>
      <c r="V23">
        <f t="shared" si="10"/>
        <v>1474883.6624200002</v>
      </c>
      <c r="W23">
        <f t="shared" si="6"/>
        <v>10649.52</v>
      </c>
      <c r="X23" s="6">
        <f t="shared" si="7"/>
        <v>9254.0650400000013</v>
      </c>
      <c r="Y23">
        <f t="shared" si="8"/>
        <v>0.46494463290920784</v>
      </c>
      <c r="Z23">
        <v>202305</v>
      </c>
      <c r="AA23" s="18">
        <v>202301</v>
      </c>
      <c r="AB23" t="str">
        <v>May-2023</v>
      </c>
      <c r="AC23">
        <f t="shared" si="9"/>
        <v>4</v>
      </c>
      <c r="AD23" t="str">
        <f t="shared" si="11"/>
        <v>Late</v>
      </c>
      <c r="AE23">
        <f t="shared" si="12"/>
        <v>0</v>
      </c>
      <c r="AF23">
        <f t="shared" si="13"/>
        <v>0</v>
      </c>
    </row>
    <row r="24" spans="1:32" x14ac:dyDescent="0.25">
      <c r="A24" s="3" t="s">
        <v>29</v>
      </c>
      <c r="B24" s="4">
        <v>45822</v>
      </c>
      <c r="C24" s="4" t="str">
        <f t="shared" si="0"/>
        <v>Jun-2025</v>
      </c>
      <c r="D24" s="4" t="str">
        <f t="shared" si="1"/>
        <v>Q2</v>
      </c>
      <c r="E24" s="4">
        <v>45837</v>
      </c>
      <c r="F24" s="10">
        <f t="shared" si="2"/>
        <v>15</v>
      </c>
      <c r="G24" s="3" t="s">
        <v>638</v>
      </c>
      <c r="H24" s="3" t="s">
        <v>643</v>
      </c>
      <c r="I24" s="3" t="s">
        <v>655</v>
      </c>
      <c r="J24" t="str">
        <f t="shared" si="3"/>
        <v>Africa &gt; Nigeria &gt; Port Harcourt</v>
      </c>
      <c r="K24" s="3" t="s">
        <v>696</v>
      </c>
      <c r="L24" s="3" t="s">
        <v>701</v>
      </c>
      <c r="M24" s="3" t="s">
        <v>716</v>
      </c>
      <c r="N24" s="3" t="s">
        <v>725</v>
      </c>
      <c r="O24" s="3" t="s">
        <v>747</v>
      </c>
      <c r="P24" s="6">
        <v>730.99</v>
      </c>
      <c r="Q24" s="6">
        <v>1242.8399999999999</v>
      </c>
      <c r="R24" s="6" t="str">
        <f t="shared" si="4"/>
        <v>Medium</v>
      </c>
      <c r="S24" s="6">
        <v>0.12</v>
      </c>
      <c r="T24" s="6">
        <v>10</v>
      </c>
      <c r="U24">
        <f t="shared" si="5"/>
        <v>10936.992</v>
      </c>
      <c r="V24">
        <f t="shared" si="10"/>
        <v>1474883.6624200002</v>
      </c>
      <c r="W24">
        <f t="shared" si="6"/>
        <v>7309.9</v>
      </c>
      <c r="X24" s="6">
        <f t="shared" si="7"/>
        <v>3627.0920000000006</v>
      </c>
      <c r="Y24">
        <f t="shared" si="8"/>
        <v>0.33163524303574515</v>
      </c>
      <c r="Z24">
        <v>202506</v>
      </c>
      <c r="AA24" s="18">
        <v>202301</v>
      </c>
      <c r="AB24" t="str">
        <v>Jun-2023</v>
      </c>
      <c r="AC24">
        <f t="shared" si="9"/>
        <v>29</v>
      </c>
      <c r="AD24" t="str">
        <f t="shared" si="11"/>
        <v>Late</v>
      </c>
      <c r="AE24">
        <f t="shared" si="12"/>
        <v>0</v>
      </c>
      <c r="AF24">
        <f t="shared" si="13"/>
        <v>0</v>
      </c>
    </row>
    <row r="25" spans="1:32" x14ac:dyDescent="0.25">
      <c r="A25" s="3" t="s">
        <v>30</v>
      </c>
      <c r="B25" s="4">
        <v>45430</v>
      </c>
      <c r="C25" s="4" t="str">
        <f t="shared" si="0"/>
        <v>May-2024</v>
      </c>
      <c r="D25" s="4" t="str">
        <f t="shared" si="1"/>
        <v>Q2</v>
      </c>
      <c r="E25" s="4">
        <v>45435</v>
      </c>
      <c r="F25" s="10">
        <f t="shared" si="2"/>
        <v>5</v>
      </c>
      <c r="G25" s="3" t="s">
        <v>640</v>
      </c>
      <c r="H25" s="3" t="s">
        <v>652</v>
      </c>
      <c r="I25" s="3" t="s">
        <v>669</v>
      </c>
      <c r="J25" t="str">
        <f t="shared" si="3"/>
        <v>Americas &gt; USA &gt; Chicago</v>
      </c>
      <c r="K25" s="3" t="s">
        <v>698</v>
      </c>
      <c r="L25" s="3" t="s">
        <v>699</v>
      </c>
      <c r="M25" s="3" t="s">
        <v>714</v>
      </c>
      <c r="N25" s="3" t="s">
        <v>723</v>
      </c>
      <c r="O25" s="3" t="s">
        <v>748</v>
      </c>
      <c r="P25" s="6">
        <v>1274.5899999999999</v>
      </c>
      <c r="Q25" s="6">
        <v>2553.69</v>
      </c>
      <c r="R25" s="6" t="str">
        <f t="shared" si="4"/>
        <v>High</v>
      </c>
      <c r="S25" s="6">
        <v>0.01</v>
      </c>
      <c r="T25" s="6">
        <v>8</v>
      </c>
      <c r="U25">
        <f t="shared" si="5"/>
        <v>20225.2248</v>
      </c>
      <c r="V25">
        <f t="shared" si="10"/>
        <v>1474883.6624200002</v>
      </c>
      <c r="W25">
        <f t="shared" si="6"/>
        <v>10196.719999999999</v>
      </c>
      <c r="X25" s="6">
        <f t="shared" si="7"/>
        <v>10028.504800000001</v>
      </c>
      <c r="Y25">
        <f t="shared" si="8"/>
        <v>0.49584145042481803</v>
      </c>
      <c r="Z25">
        <v>202405</v>
      </c>
      <c r="AA25" s="18">
        <v>202301</v>
      </c>
      <c r="AB25" t="str">
        <v>May-2023</v>
      </c>
      <c r="AC25">
        <f t="shared" si="9"/>
        <v>16</v>
      </c>
      <c r="AD25" t="str">
        <f t="shared" si="11"/>
        <v>On Time</v>
      </c>
      <c r="AE25">
        <f t="shared" si="12"/>
        <v>1</v>
      </c>
      <c r="AF25">
        <f t="shared" si="13"/>
        <v>0</v>
      </c>
    </row>
    <row r="26" spans="1:32" x14ac:dyDescent="0.25">
      <c r="A26" s="3" t="s">
        <v>31</v>
      </c>
      <c r="B26" s="4">
        <v>44964</v>
      </c>
      <c r="C26" s="4" t="str">
        <f t="shared" si="0"/>
        <v>Feb-2023</v>
      </c>
      <c r="D26" s="4" t="str">
        <f t="shared" si="1"/>
        <v>Q1</v>
      </c>
      <c r="E26" s="4">
        <v>44969</v>
      </c>
      <c r="F26" s="10">
        <f t="shared" si="2"/>
        <v>5</v>
      </c>
      <c r="G26" s="3" t="s">
        <v>640</v>
      </c>
      <c r="H26" s="3" t="s">
        <v>647</v>
      </c>
      <c r="I26" s="3" t="s">
        <v>662</v>
      </c>
      <c r="J26" t="str">
        <f t="shared" si="3"/>
        <v>Americas &gt; Brazil &gt; São Paulo</v>
      </c>
      <c r="K26" s="3" t="s">
        <v>694</v>
      </c>
      <c r="L26" s="3" t="s">
        <v>700</v>
      </c>
      <c r="M26" s="3" t="s">
        <v>717</v>
      </c>
      <c r="N26" s="3" t="s">
        <v>719</v>
      </c>
      <c r="O26" s="3" t="s">
        <v>749</v>
      </c>
      <c r="P26" s="6">
        <v>948.55</v>
      </c>
      <c r="Q26" s="6">
        <v>2089.16</v>
      </c>
      <c r="R26" s="6" t="str">
        <f t="shared" si="4"/>
        <v>Medium</v>
      </c>
      <c r="S26" s="6">
        <v>7.0000000000000001E-3</v>
      </c>
      <c r="T26" s="6">
        <v>12</v>
      </c>
      <c r="U26">
        <f t="shared" si="5"/>
        <v>24894.430559999997</v>
      </c>
      <c r="V26">
        <f t="shared" si="10"/>
        <v>1474883.6624200002</v>
      </c>
      <c r="W26">
        <f t="shared" si="6"/>
        <v>11382.599999999999</v>
      </c>
      <c r="X26" s="6">
        <f t="shared" si="7"/>
        <v>13511.830559999999</v>
      </c>
      <c r="Y26">
        <f t="shared" si="8"/>
        <v>0.54276519912492427</v>
      </c>
      <c r="Z26">
        <v>202302</v>
      </c>
      <c r="AA26" s="18">
        <v>202301</v>
      </c>
      <c r="AB26" t="str">
        <v>Feb-2023</v>
      </c>
      <c r="AC26">
        <f t="shared" si="9"/>
        <v>1</v>
      </c>
      <c r="AD26" t="str">
        <f t="shared" si="11"/>
        <v>On Time</v>
      </c>
      <c r="AE26">
        <f t="shared" si="12"/>
        <v>1</v>
      </c>
      <c r="AF26">
        <f t="shared" si="13"/>
        <v>0</v>
      </c>
    </row>
    <row r="27" spans="1:32" x14ac:dyDescent="0.25">
      <c r="A27" s="3" t="s">
        <v>32</v>
      </c>
      <c r="B27" s="4">
        <v>45473</v>
      </c>
      <c r="C27" s="4" t="str">
        <f t="shared" si="0"/>
        <v>Jun-2024</v>
      </c>
      <c r="D27" s="4" t="str">
        <f t="shared" si="1"/>
        <v>Q2</v>
      </c>
      <c r="E27" s="4">
        <v>45487</v>
      </c>
      <c r="F27" s="10">
        <f t="shared" si="2"/>
        <v>14</v>
      </c>
      <c r="G27" s="3" t="s">
        <v>640</v>
      </c>
      <c r="H27" s="3" t="s">
        <v>647</v>
      </c>
      <c r="I27" s="3" t="s">
        <v>664</v>
      </c>
      <c r="J27" t="str">
        <f t="shared" si="3"/>
        <v>Americas &gt; Brazil &gt; Brasília</v>
      </c>
      <c r="K27" s="3" t="s">
        <v>694</v>
      </c>
      <c r="L27" s="3" t="s">
        <v>699</v>
      </c>
      <c r="M27" s="3" t="s">
        <v>704</v>
      </c>
      <c r="N27" s="3" t="s">
        <v>725</v>
      </c>
      <c r="O27" s="3" t="s">
        <v>750</v>
      </c>
      <c r="P27" s="6">
        <v>1491.85</v>
      </c>
      <c r="Q27" s="6">
        <v>2583.02</v>
      </c>
      <c r="R27" s="6" t="str">
        <f t="shared" si="4"/>
        <v>High</v>
      </c>
      <c r="S27" s="6">
        <v>0.16800000000000001</v>
      </c>
      <c r="T27" s="6">
        <v>4</v>
      </c>
      <c r="U27">
        <f t="shared" si="5"/>
        <v>8596.2905599999995</v>
      </c>
      <c r="V27">
        <f t="shared" si="10"/>
        <v>1449989.2318600002</v>
      </c>
      <c r="W27">
        <f t="shared" si="6"/>
        <v>5967.4</v>
      </c>
      <c r="X27" s="6">
        <f t="shared" si="7"/>
        <v>2628.8905599999998</v>
      </c>
      <c r="Y27">
        <f t="shared" si="8"/>
        <v>0.30581685689321325</v>
      </c>
      <c r="Z27">
        <v>202406</v>
      </c>
      <c r="AA27" s="18">
        <v>202301</v>
      </c>
      <c r="AB27" t="str">
        <v>Jun-2023</v>
      </c>
      <c r="AC27">
        <f t="shared" si="9"/>
        <v>17</v>
      </c>
      <c r="AD27" t="str">
        <f t="shared" si="11"/>
        <v>Late</v>
      </c>
      <c r="AE27">
        <f t="shared" si="12"/>
        <v>0</v>
      </c>
      <c r="AF27">
        <f t="shared" si="13"/>
        <v>0</v>
      </c>
    </row>
    <row r="28" spans="1:32" x14ac:dyDescent="0.25">
      <c r="A28" s="3" t="s">
        <v>33</v>
      </c>
      <c r="B28" s="4">
        <v>45626</v>
      </c>
      <c r="C28" s="4" t="str">
        <f t="shared" si="0"/>
        <v>Nov-2024</v>
      </c>
      <c r="D28" s="4" t="str">
        <f t="shared" si="1"/>
        <v>Q4</v>
      </c>
      <c r="E28" s="4">
        <v>45656</v>
      </c>
      <c r="F28" s="10">
        <f t="shared" si="2"/>
        <v>30</v>
      </c>
      <c r="G28" s="3" t="s">
        <v>641</v>
      </c>
      <c r="H28" s="3" t="s">
        <v>649</v>
      </c>
      <c r="I28" s="3" t="s">
        <v>665</v>
      </c>
      <c r="J28" t="str">
        <f t="shared" si="3"/>
        <v>Europe &gt; France &gt; Marseille</v>
      </c>
      <c r="K28" s="3" t="s">
        <v>696</v>
      </c>
      <c r="L28" s="3" t="s">
        <v>701</v>
      </c>
      <c r="M28" s="3" t="s">
        <v>713</v>
      </c>
      <c r="N28" s="3" t="s">
        <v>720</v>
      </c>
      <c r="O28" s="3" t="s">
        <v>751</v>
      </c>
      <c r="P28" s="6">
        <v>117.64</v>
      </c>
      <c r="Q28" s="6">
        <v>175.67</v>
      </c>
      <c r="R28" s="6" t="str">
        <f t="shared" si="4"/>
        <v>Low</v>
      </c>
      <c r="S28" s="6">
        <v>0</v>
      </c>
      <c r="T28" s="6">
        <v>10</v>
      </c>
      <c r="U28">
        <f t="shared" si="5"/>
        <v>1756.6999999999998</v>
      </c>
      <c r="V28">
        <f t="shared" si="10"/>
        <v>1449989.2318600002</v>
      </c>
      <c r="W28">
        <f t="shared" si="6"/>
        <v>1176.4000000000001</v>
      </c>
      <c r="X28" s="6">
        <f t="shared" si="7"/>
        <v>580.29999999999973</v>
      </c>
      <c r="Y28">
        <f t="shared" si="8"/>
        <v>0.33033528775545046</v>
      </c>
      <c r="Z28">
        <v>202411</v>
      </c>
      <c r="AA28" s="18">
        <v>202301</v>
      </c>
      <c r="AB28" t="str">
        <v>Nov-2023</v>
      </c>
      <c r="AC28">
        <f t="shared" si="9"/>
        <v>22</v>
      </c>
      <c r="AD28" t="str">
        <f t="shared" si="11"/>
        <v>Late</v>
      </c>
      <c r="AE28">
        <f t="shared" si="12"/>
        <v>0</v>
      </c>
      <c r="AF28">
        <f t="shared" si="13"/>
        <v>0</v>
      </c>
    </row>
    <row r="29" spans="1:32" x14ac:dyDescent="0.25">
      <c r="A29" s="3" t="s">
        <v>34</v>
      </c>
      <c r="B29" s="4">
        <v>45492</v>
      </c>
      <c r="C29" s="4" t="str">
        <f t="shared" si="0"/>
        <v>Jul-2024</v>
      </c>
      <c r="D29" s="4" t="str">
        <f t="shared" si="1"/>
        <v>Q3</v>
      </c>
      <c r="E29" s="4">
        <v>45492</v>
      </c>
      <c r="F29" s="10">
        <f t="shared" si="2"/>
        <v>0</v>
      </c>
      <c r="G29" s="3" t="s">
        <v>638</v>
      </c>
      <c r="H29" s="3" t="s">
        <v>642</v>
      </c>
      <c r="I29" s="3" t="s">
        <v>654</v>
      </c>
      <c r="J29" t="str">
        <f t="shared" si="3"/>
        <v>Africa &gt; Kenya &gt; Kisumu</v>
      </c>
      <c r="K29" s="3" t="s">
        <v>697</v>
      </c>
      <c r="L29" s="3" t="s">
        <v>699</v>
      </c>
      <c r="M29" s="3" t="s">
        <v>712</v>
      </c>
      <c r="N29" s="3" t="s">
        <v>722</v>
      </c>
      <c r="O29" s="3" t="s">
        <v>752</v>
      </c>
      <c r="P29" s="6">
        <v>857.24</v>
      </c>
      <c r="Q29" s="6">
        <v>758.23</v>
      </c>
      <c r="R29" s="6" t="str">
        <f t="shared" si="4"/>
        <v>Medium</v>
      </c>
      <c r="S29" s="6">
        <v>0.125</v>
      </c>
      <c r="T29" s="6">
        <v>6</v>
      </c>
      <c r="U29">
        <f t="shared" si="5"/>
        <v>3980.7075</v>
      </c>
      <c r="V29">
        <f t="shared" si="10"/>
        <v>1449989.2318600002</v>
      </c>
      <c r="W29">
        <f t="shared" si="6"/>
        <v>5143.4400000000005</v>
      </c>
      <c r="X29" s="6">
        <f t="shared" si="7"/>
        <v>-1162.7325000000005</v>
      </c>
      <c r="Y29">
        <f t="shared" si="8"/>
        <v>-0.29209192084572921</v>
      </c>
      <c r="Z29">
        <v>202407</v>
      </c>
      <c r="AA29" s="18">
        <v>202301</v>
      </c>
      <c r="AB29" t="str">
        <v>Jul-2023</v>
      </c>
      <c r="AC29">
        <f t="shared" si="9"/>
        <v>18</v>
      </c>
      <c r="AD29" t="str">
        <f t="shared" si="11"/>
        <v>On Time</v>
      </c>
      <c r="AE29">
        <f t="shared" si="12"/>
        <v>1</v>
      </c>
      <c r="AF29">
        <f t="shared" si="13"/>
        <v>0</v>
      </c>
    </row>
    <row r="30" spans="1:32" x14ac:dyDescent="0.25">
      <c r="A30" s="3" t="s">
        <v>35</v>
      </c>
      <c r="B30" s="4">
        <v>45030</v>
      </c>
      <c r="C30" s="4" t="str">
        <f t="shared" si="0"/>
        <v>Apr-2023</v>
      </c>
      <c r="D30" s="4" t="str">
        <f t="shared" si="1"/>
        <v>Q2</v>
      </c>
      <c r="E30" s="4">
        <v>45060</v>
      </c>
      <c r="F30" s="10">
        <f t="shared" si="2"/>
        <v>30</v>
      </c>
      <c r="G30" s="3" t="s">
        <v>638</v>
      </c>
      <c r="H30" s="3" t="s">
        <v>642</v>
      </c>
      <c r="I30" s="3" t="s">
        <v>670</v>
      </c>
      <c r="J30" t="str">
        <f t="shared" si="3"/>
        <v>Africa &gt; Kenya &gt; Nakuru</v>
      </c>
      <c r="K30" s="3" t="s">
        <v>696</v>
      </c>
      <c r="L30" s="3" t="s">
        <v>701</v>
      </c>
      <c r="M30" s="3" t="s">
        <v>716</v>
      </c>
      <c r="N30" s="3" t="s">
        <v>722</v>
      </c>
      <c r="O30" s="3" t="s">
        <v>753</v>
      </c>
      <c r="P30" s="6">
        <v>209.25</v>
      </c>
      <c r="Q30" s="6">
        <v>434.8</v>
      </c>
      <c r="R30" s="6" t="str">
        <f t="shared" si="4"/>
        <v>Low</v>
      </c>
      <c r="S30" s="6">
        <v>0</v>
      </c>
      <c r="T30" s="6">
        <v>9</v>
      </c>
      <c r="U30">
        <f t="shared" si="5"/>
        <v>3913.2000000000003</v>
      </c>
      <c r="V30">
        <f t="shared" si="10"/>
        <v>1449989.2318600002</v>
      </c>
      <c r="W30">
        <f t="shared" si="6"/>
        <v>1883.25</v>
      </c>
      <c r="X30" s="6">
        <f t="shared" si="7"/>
        <v>2029.9500000000003</v>
      </c>
      <c r="Y30">
        <f t="shared" si="8"/>
        <v>0.51874425022999082</v>
      </c>
      <c r="Z30">
        <v>202304</v>
      </c>
      <c r="AA30" s="18">
        <v>202301</v>
      </c>
      <c r="AB30" t="str">
        <v>Apr-2023</v>
      </c>
      <c r="AC30">
        <f t="shared" si="9"/>
        <v>3</v>
      </c>
      <c r="AD30" t="str">
        <f t="shared" si="11"/>
        <v>Late</v>
      </c>
      <c r="AE30">
        <f t="shared" si="12"/>
        <v>0</v>
      </c>
      <c r="AF30">
        <f t="shared" si="13"/>
        <v>0</v>
      </c>
    </row>
    <row r="31" spans="1:32" x14ac:dyDescent="0.25">
      <c r="A31" s="3" t="s">
        <v>36</v>
      </c>
      <c r="B31" s="4">
        <v>45754</v>
      </c>
      <c r="C31" s="4" t="str">
        <f t="shared" si="0"/>
        <v>Apr-2025</v>
      </c>
      <c r="D31" s="4" t="str">
        <f t="shared" si="1"/>
        <v>Q2</v>
      </c>
      <c r="E31" s="4">
        <v>45758</v>
      </c>
      <c r="F31" s="10">
        <f t="shared" si="2"/>
        <v>4</v>
      </c>
      <c r="G31" s="3" t="s">
        <v>641</v>
      </c>
      <c r="H31" s="3" t="s">
        <v>649</v>
      </c>
      <c r="I31" s="3" t="s">
        <v>671</v>
      </c>
      <c r="J31" t="str">
        <f t="shared" si="3"/>
        <v>Europe &gt; France &gt; Lyon</v>
      </c>
      <c r="K31" s="3" t="s">
        <v>694</v>
      </c>
      <c r="L31" s="3" t="s">
        <v>699</v>
      </c>
      <c r="M31" s="3" t="s">
        <v>710</v>
      </c>
      <c r="N31" s="3" t="s">
        <v>721</v>
      </c>
      <c r="O31" s="3" t="s">
        <v>754</v>
      </c>
      <c r="P31" s="6">
        <v>754.77</v>
      </c>
      <c r="Q31" s="6">
        <v>1666.18</v>
      </c>
      <c r="R31" s="6" t="str">
        <f t="shared" si="4"/>
        <v>Medium</v>
      </c>
      <c r="S31" s="6">
        <v>0.13900000000000001</v>
      </c>
      <c r="T31" s="6">
        <v>14</v>
      </c>
      <c r="U31">
        <f t="shared" si="5"/>
        <v>20084.133720000002</v>
      </c>
      <c r="V31">
        <f t="shared" si="10"/>
        <v>1449989.2318600002</v>
      </c>
      <c r="W31">
        <f t="shared" si="6"/>
        <v>10566.779999999999</v>
      </c>
      <c r="X31" s="6">
        <f t="shared" si="7"/>
        <v>9517.3537200000028</v>
      </c>
      <c r="Y31">
        <f t="shared" si="8"/>
        <v>0.47387424584424653</v>
      </c>
      <c r="Z31">
        <v>202504</v>
      </c>
      <c r="AA31" s="18">
        <v>202301</v>
      </c>
      <c r="AB31" t="str">
        <v>Apr-2023</v>
      </c>
      <c r="AC31">
        <f t="shared" si="9"/>
        <v>27</v>
      </c>
      <c r="AD31" t="str">
        <f t="shared" si="11"/>
        <v>On Time</v>
      </c>
      <c r="AE31">
        <f t="shared" si="12"/>
        <v>1</v>
      </c>
      <c r="AF31">
        <f t="shared" si="13"/>
        <v>0</v>
      </c>
    </row>
    <row r="32" spans="1:32" x14ac:dyDescent="0.25">
      <c r="A32" s="3" t="s">
        <v>37</v>
      </c>
      <c r="B32" s="4">
        <v>45653</v>
      </c>
      <c r="C32" s="4" t="str">
        <f t="shared" si="0"/>
        <v>Dec-2024</v>
      </c>
      <c r="D32" s="4" t="str">
        <f t="shared" si="1"/>
        <v>Q4</v>
      </c>
      <c r="E32" s="4">
        <v>45672</v>
      </c>
      <c r="F32" s="10">
        <f t="shared" si="2"/>
        <v>19</v>
      </c>
      <c r="G32" s="3" t="s">
        <v>639</v>
      </c>
      <c r="H32" s="3" t="s">
        <v>646</v>
      </c>
      <c r="I32" s="3" t="s">
        <v>672</v>
      </c>
      <c r="J32" t="str">
        <f t="shared" si="3"/>
        <v>Asia &gt; India &gt; Delhi</v>
      </c>
      <c r="K32" s="3" t="s">
        <v>695</v>
      </c>
      <c r="L32" s="3" t="s">
        <v>702</v>
      </c>
      <c r="M32" s="3" t="s">
        <v>707</v>
      </c>
      <c r="N32" s="3" t="s">
        <v>719</v>
      </c>
      <c r="O32" s="3" t="s">
        <v>755</v>
      </c>
      <c r="P32" s="6">
        <v>495.59</v>
      </c>
      <c r="Q32" s="6">
        <v>631.78</v>
      </c>
      <c r="R32" s="6" t="str">
        <f t="shared" si="4"/>
        <v>Low</v>
      </c>
      <c r="S32" s="6">
        <v>8.6999999999999994E-2</v>
      </c>
      <c r="T32" s="6">
        <v>17</v>
      </c>
      <c r="U32">
        <f t="shared" si="5"/>
        <v>9805.8573800000013</v>
      </c>
      <c r="V32">
        <f t="shared" si="10"/>
        <v>1449989.2318600002</v>
      </c>
      <c r="W32">
        <f t="shared" si="6"/>
        <v>8425.0299999999988</v>
      </c>
      <c r="X32" s="6">
        <f t="shared" si="7"/>
        <v>1380.8273800000024</v>
      </c>
      <c r="Y32">
        <f t="shared" si="8"/>
        <v>0.14081658813601899</v>
      </c>
      <c r="Z32">
        <v>202412</v>
      </c>
      <c r="AA32" s="18">
        <v>202301</v>
      </c>
      <c r="AB32" t="str">
        <v>Dec-2023</v>
      </c>
      <c r="AC32">
        <f t="shared" si="9"/>
        <v>23</v>
      </c>
      <c r="AD32" t="str">
        <f t="shared" si="11"/>
        <v>Late</v>
      </c>
      <c r="AE32">
        <f t="shared" si="12"/>
        <v>0</v>
      </c>
      <c r="AF32">
        <f t="shared" si="13"/>
        <v>0</v>
      </c>
    </row>
    <row r="33" spans="1:32" x14ac:dyDescent="0.25">
      <c r="A33" s="3" t="s">
        <v>38</v>
      </c>
      <c r="B33" s="4">
        <v>44980</v>
      </c>
      <c r="C33" s="4" t="str">
        <f t="shared" si="0"/>
        <v>Feb-2023</v>
      </c>
      <c r="D33" s="4" t="str">
        <f t="shared" si="1"/>
        <v>Q1</v>
      </c>
      <c r="E33" s="4">
        <v>45010</v>
      </c>
      <c r="F33" s="10">
        <f t="shared" si="2"/>
        <v>30</v>
      </c>
      <c r="G33" s="3" t="s">
        <v>640</v>
      </c>
      <c r="H33" s="3" t="s">
        <v>645</v>
      </c>
      <c r="I33" s="3" t="s">
        <v>673</v>
      </c>
      <c r="J33" t="str">
        <f t="shared" si="3"/>
        <v>Americas &gt; Canada &gt; Montreal</v>
      </c>
      <c r="K33" s="3" t="s">
        <v>698</v>
      </c>
      <c r="L33" s="3" t="s">
        <v>700</v>
      </c>
      <c r="M33" s="3" t="s">
        <v>718</v>
      </c>
      <c r="N33" s="3" t="s">
        <v>722</v>
      </c>
      <c r="O33" s="3" t="s">
        <v>756</v>
      </c>
      <c r="P33" s="6">
        <v>1242.6600000000001</v>
      </c>
      <c r="Q33" s="6">
        <v>1794.07</v>
      </c>
      <c r="R33" s="6" t="str">
        <f t="shared" si="4"/>
        <v>High</v>
      </c>
      <c r="S33" s="6">
        <v>8.8999999999999996E-2</v>
      </c>
      <c r="T33" s="6">
        <v>16</v>
      </c>
      <c r="U33">
        <f t="shared" si="5"/>
        <v>26150.364320000001</v>
      </c>
      <c r="V33">
        <f t="shared" si="10"/>
        <v>1440183.3744800002</v>
      </c>
      <c r="W33">
        <f t="shared" si="6"/>
        <v>19882.560000000001</v>
      </c>
      <c r="X33" s="6">
        <f t="shared" si="7"/>
        <v>6267.8043199999993</v>
      </c>
      <c r="Y33">
        <f t="shared" si="8"/>
        <v>0.23968325042440553</v>
      </c>
      <c r="Z33">
        <v>202302</v>
      </c>
      <c r="AA33" s="18">
        <v>202301</v>
      </c>
      <c r="AB33" t="str">
        <v>Feb-2023</v>
      </c>
      <c r="AC33">
        <f t="shared" si="9"/>
        <v>1</v>
      </c>
      <c r="AD33" t="str">
        <f t="shared" si="11"/>
        <v>Late</v>
      </c>
      <c r="AE33">
        <f t="shared" si="12"/>
        <v>0</v>
      </c>
      <c r="AF33">
        <f t="shared" si="13"/>
        <v>0</v>
      </c>
    </row>
    <row r="34" spans="1:32" x14ac:dyDescent="0.25">
      <c r="A34" s="3" t="s">
        <v>39</v>
      </c>
      <c r="B34" s="4">
        <v>45862</v>
      </c>
      <c r="C34" s="4" t="str">
        <f t="shared" si="0"/>
        <v>Jul-2025</v>
      </c>
      <c r="D34" s="4" t="str">
        <f t="shared" si="1"/>
        <v>Q3</v>
      </c>
      <c r="E34" s="4">
        <v>45875</v>
      </c>
      <c r="F34" s="10">
        <f t="shared" si="2"/>
        <v>13</v>
      </c>
      <c r="G34" s="3" t="s">
        <v>638</v>
      </c>
      <c r="H34" s="3" t="s">
        <v>653</v>
      </c>
      <c r="I34" s="3" t="s">
        <v>674</v>
      </c>
      <c r="J34" t="str">
        <f t="shared" si="3"/>
        <v>Africa &gt; South Africa &gt; Johannesburg</v>
      </c>
      <c r="K34" s="3" t="s">
        <v>694</v>
      </c>
      <c r="L34" s="3" t="s">
        <v>701</v>
      </c>
      <c r="M34" s="3" t="s">
        <v>718</v>
      </c>
      <c r="N34" s="3" t="s">
        <v>721</v>
      </c>
      <c r="O34" s="3" t="s">
        <v>757</v>
      </c>
      <c r="P34" s="6">
        <v>1463.9</v>
      </c>
      <c r="Q34" s="6">
        <v>2633.02</v>
      </c>
      <c r="R34" s="6" t="str">
        <f t="shared" si="4"/>
        <v>High</v>
      </c>
      <c r="S34" s="6">
        <v>8.4000000000000005E-2</v>
      </c>
      <c r="T34" s="6">
        <v>4</v>
      </c>
      <c r="U34">
        <f t="shared" si="5"/>
        <v>9647.3852800000004</v>
      </c>
      <c r="V34">
        <f t="shared" si="10"/>
        <v>1440183.3744800002</v>
      </c>
      <c r="W34">
        <f t="shared" si="6"/>
        <v>5855.6</v>
      </c>
      <c r="X34" s="6">
        <f t="shared" si="7"/>
        <v>3791.7852800000001</v>
      </c>
      <c r="Y34">
        <f t="shared" si="8"/>
        <v>0.39303761277791527</v>
      </c>
      <c r="Z34">
        <v>202507</v>
      </c>
      <c r="AA34" s="18">
        <v>202301</v>
      </c>
      <c r="AB34" t="str">
        <v>Jul-2023</v>
      </c>
      <c r="AC34">
        <f t="shared" si="9"/>
        <v>30</v>
      </c>
      <c r="AD34" t="str">
        <f t="shared" si="11"/>
        <v>Late</v>
      </c>
      <c r="AE34">
        <f t="shared" si="12"/>
        <v>0</v>
      </c>
      <c r="AF34">
        <f t="shared" si="13"/>
        <v>0</v>
      </c>
    </row>
    <row r="35" spans="1:32" x14ac:dyDescent="0.25">
      <c r="A35" s="3" t="s">
        <v>40</v>
      </c>
      <c r="B35" s="4">
        <v>45400</v>
      </c>
      <c r="C35" s="4" t="str">
        <f t="shared" si="0"/>
        <v>Apr-2024</v>
      </c>
      <c r="D35" s="4" t="str">
        <f t="shared" si="1"/>
        <v>Q2</v>
      </c>
      <c r="E35" s="4">
        <v>45420</v>
      </c>
      <c r="F35" s="10">
        <f t="shared" si="2"/>
        <v>20</v>
      </c>
      <c r="G35" s="3" t="s">
        <v>641</v>
      </c>
      <c r="H35" s="3" t="s">
        <v>650</v>
      </c>
      <c r="I35" s="3" t="s">
        <v>675</v>
      </c>
      <c r="J35" t="str">
        <f t="shared" si="3"/>
        <v>Europe &gt; United Kingdom &gt; London</v>
      </c>
      <c r="K35" s="3" t="s">
        <v>695</v>
      </c>
      <c r="L35" s="3" t="s">
        <v>1413</v>
      </c>
      <c r="M35" s="3" t="s">
        <v>718</v>
      </c>
      <c r="N35" s="3" t="s">
        <v>723</v>
      </c>
      <c r="O35" s="3" t="s">
        <v>758</v>
      </c>
      <c r="P35" s="6">
        <v>645.33000000000004</v>
      </c>
      <c r="Q35" s="6">
        <v>1321.85</v>
      </c>
      <c r="R35" s="6" t="str">
        <f t="shared" si="4"/>
        <v>Medium</v>
      </c>
      <c r="S35" s="6">
        <v>0</v>
      </c>
      <c r="T35" s="6">
        <v>10</v>
      </c>
      <c r="U35">
        <f t="shared" si="5"/>
        <v>13218.5</v>
      </c>
      <c r="V35">
        <f t="shared" si="10"/>
        <v>1440183.3744800002</v>
      </c>
      <c r="W35">
        <f t="shared" si="6"/>
        <v>6453.3</v>
      </c>
      <c r="X35" s="6">
        <f t="shared" si="7"/>
        <v>6765.2</v>
      </c>
      <c r="Y35">
        <f t="shared" si="8"/>
        <v>0.51179785906116426</v>
      </c>
      <c r="Z35">
        <v>202404</v>
      </c>
      <c r="AA35" s="18">
        <v>202301</v>
      </c>
      <c r="AB35" t="str">
        <v>Apr-2023</v>
      </c>
      <c r="AC35">
        <f t="shared" si="9"/>
        <v>15</v>
      </c>
      <c r="AD35" t="str">
        <f t="shared" si="11"/>
        <v>Late</v>
      </c>
      <c r="AE35">
        <f t="shared" si="12"/>
        <v>0</v>
      </c>
      <c r="AF35">
        <f t="shared" si="13"/>
        <v>0</v>
      </c>
    </row>
    <row r="36" spans="1:32" x14ac:dyDescent="0.25">
      <c r="A36" s="3" t="s">
        <v>41</v>
      </c>
      <c r="B36" s="4">
        <v>45527</v>
      </c>
      <c r="C36" s="4" t="str">
        <f t="shared" si="0"/>
        <v>Aug-2024</v>
      </c>
      <c r="D36" s="4" t="str">
        <f t="shared" si="1"/>
        <v>Q3</v>
      </c>
      <c r="E36" s="4">
        <v>45529</v>
      </c>
      <c r="F36" s="10">
        <f t="shared" si="2"/>
        <v>2</v>
      </c>
      <c r="G36" s="3" t="s">
        <v>638</v>
      </c>
      <c r="H36" s="3" t="s">
        <v>653</v>
      </c>
      <c r="I36" s="3" t="s">
        <v>674</v>
      </c>
      <c r="J36" t="str">
        <f t="shared" si="3"/>
        <v>Africa &gt; South Africa &gt; Johannesburg</v>
      </c>
      <c r="K36" s="3" t="s">
        <v>694</v>
      </c>
      <c r="L36" s="3" t="s">
        <v>699</v>
      </c>
      <c r="M36" s="3" t="s">
        <v>710</v>
      </c>
      <c r="N36" s="3" t="s">
        <v>719</v>
      </c>
      <c r="O36" s="3" t="s">
        <v>759</v>
      </c>
      <c r="P36" s="6">
        <v>1432.52</v>
      </c>
      <c r="Q36" s="6">
        <v>3036.87</v>
      </c>
      <c r="R36" s="6" t="str">
        <f t="shared" si="4"/>
        <v>High</v>
      </c>
      <c r="S36" s="6">
        <v>0</v>
      </c>
      <c r="T36" s="6">
        <v>9</v>
      </c>
      <c r="U36">
        <f t="shared" si="5"/>
        <v>27331.829999999998</v>
      </c>
      <c r="V36">
        <f t="shared" si="10"/>
        <v>1440183.3744800002</v>
      </c>
      <c r="W36">
        <f t="shared" si="6"/>
        <v>12892.68</v>
      </c>
      <c r="X36" s="6">
        <f t="shared" si="7"/>
        <v>14439.149999999998</v>
      </c>
      <c r="Y36">
        <f t="shared" si="8"/>
        <v>0.52829064135112791</v>
      </c>
      <c r="Z36">
        <v>202408</v>
      </c>
      <c r="AA36" s="18">
        <v>202301</v>
      </c>
      <c r="AB36" t="str">
        <v>Aug-2023</v>
      </c>
      <c r="AC36">
        <f t="shared" si="9"/>
        <v>19</v>
      </c>
      <c r="AD36" t="str">
        <f t="shared" si="11"/>
        <v>On Time</v>
      </c>
      <c r="AE36">
        <f t="shared" si="12"/>
        <v>1</v>
      </c>
      <c r="AF36">
        <f t="shared" si="13"/>
        <v>0</v>
      </c>
    </row>
    <row r="37" spans="1:32" x14ac:dyDescent="0.25">
      <c r="A37" s="3" t="s">
        <v>42</v>
      </c>
      <c r="B37" s="4">
        <v>45012</v>
      </c>
      <c r="C37" s="4" t="str">
        <f t="shared" si="0"/>
        <v>Mar-2023</v>
      </c>
      <c r="D37" s="4" t="str">
        <f t="shared" si="1"/>
        <v>Q1</v>
      </c>
      <c r="E37" s="4">
        <v>45038</v>
      </c>
      <c r="F37" s="10">
        <f t="shared" si="2"/>
        <v>26</v>
      </c>
      <c r="G37" s="3" t="s">
        <v>639</v>
      </c>
      <c r="H37" s="3" t="s">
        <v>646</v>
      </c>
      <c r="I37" s="3" t="s">
        <v>672</v>
      </c>
      <c r="J37" t="str">
        <f t="shared" si="3"/>
        <v>Asia &gt; India &gt; Delhi</v>
      </c>
      <c r="K37" s="3" t="s">
        <v>695</v>
      </c>
      <c r="L37" s="3" t="s">
        <v>701</v>
      </c>
      <c r="M37" s="3" t="s">
        <v>705</v>
      </c>
      <c r="N37" s="3" t="s">
        <v>720</v>
      </c>
      <c r="O37" s="3" t="s">
        <v>760</v>
      </c>
      <c r="P37" s="6">
        <v>178.53</v>
      </c>
      <c r="Q37" s="6">
        <v>199.37</v>
      </c>
      <c r="R37" s="6" t="str">
        <f t="shared" si="4"/>
        <v>Low</v>
      </c>
      <c r="S37" s="6">
        <v>0.10100000000000001</v>
      </c>
      <c r="T37" s="6">
        <v>37</v>
      </c>
      <c r="U37">
        <f t="shared" si="5"/>
        <v>6631.6443100000006</v>
      </c>
      <c r="V37">
        <f t="shared" si="10"/>
        <v>1412851.5444800002</v>
      </c>
      <c r="W37">
        <f t="shared" si="6"/>
        <v>6605.61</v>
      </c>
      <c r="X37" s="6">
        <f t="shared" si="7"/>
        <v>26.034310000000914</v>
      </c>
      <c r="Y37">
        <f t="shared" si="8"/>
        <v>3.9257699573457538E-3</v>
      </c>
      <c r="Z37">
        <v>202303</v>
      </c>
      <c r="AA37" s="18">
        <v>202301</v>
      </c>
      <c r="AB37" t="str">
        <v>Mar-2023</v>
      </c>
      <c r="AC37">
        <f t="shared" si="9"/>
        <v>2</v>
      </c>
      <c r="AD37" t="str">
        <f t="shared" si="11"/>
        <v>Late</v>
      </c>
      <c r="AE37">
        <f t="shared" si="12"/>
        <v>0</v>
      </c>
      <c r="AF37">
        <f t="shared" si="13"/>
        <v>0</v>
      </c>
    </row>
    <row r="38" spans="1:32" x14ac:dyDescent="0.25">
      <c r="A38" s="3" t="s">
        <v>43</v>
      </c>
      <c r="B38" s="4">
        <v>45358</v>
      </c>
      <c r="C38" s="4" t="str">
        <f t="shared" si="0"/>
        <v>Mar-2024</v>
      </c>
      <c r="D38" s="4" t="str">
        <f t="shared" si="1"/>
        <v>Q1</v>
      </c>
      <c r="E38" s="4">
        <v>45376</v>
      </c>
      <c r="F38" s="10">
        <f t="shared" si="2"/>
        <v>18</v>
      </c>
      <c r="G38" s="3" t="s">
        <v>641</v>
      </c>
      <c r="H38" s="3" t="s">
        <v>648</v>
      </c>
      <c r="I38" s="3" t="s">
        <v>676</v>
      </c>
      <c r="J38" t="str">
        <f t="shared" si="3"/>
        <v>Europe &gt; Germany &gt; Munich</v>
      </c>
      <c r="K38" s="3" t="s">
        <v>693</v>
      </c>
      <c r="L38" s="3" t="s">
        <v>700</v>
      </c>
      <c r="M38" s="3" t="s">
        <v>709</v>
      </c>
      <c r="N38" s="3" t="s">
        <v>719</v>
      </c>
      <c r="O38" s="3" t="s">
        <v>761</v>
      </c>
      <c r="P38" s="6">
        <v>712.84</v>
      </c>
      <c r="Q38" s="6">
        <v>927.51</v>
      </c>
      <c r="R38" s="6" t="str">
        <f t="shared" si="4"/>
        <v>Medium</v>
      </c>
      <c r="S38" s="6">
        <v>0.24299999999999999</v>
      </c>
      <c r="T38" s="6">
        <v>27</v>
      </c>
      <c r="U38">
        <f t="shared" si="5"/>
        <v>18957.37689</v>
      </c>
      <c r="V38">
        <f t="shared" si="10"/>
        <v>1412851.5444800002</v>
      </c>
      <c r="W38">
        <f t="shared" si="6"/>
        <v>19246.68</v>
      </c>
      <c r="X38" s="6">
        <f t="shared" si="7"/>
        <v>-289.30311000000074</v>
      </c>
      <c r="Y38">
        <f t="shared" si="8"/>
        <v>-1.5260714163076427E-2</v>
      </c>
      <c r="Z38">
        <v>202403</v>
      </c>
      <c r="AA38" s="18">
        <v>202301</v>
      </c>
      <c r="AB38" t="str">
        <v>Mar-2023</v>
      </c>
      <c r="AC38">
        <f t="shared" si="9"/>
        <v>14</v>
      </c>
      <c r="AD38" t="str">
        <f t="shared" si="11"/>
        <v>Late</v>
      </c>
      <c r="AE38">
        <f t="shared" si="12"/>
        <v>0</v>
      </c>
      <c r="AF38">
        <f t="shared" si="13"/>
        <v>1</v>
      </c>
    </row>
    <row r="39" spans="1:32" x14ac:dyDescent="0.25">
      <c r="A39" s="3" t="s">
        <v>44</v>
      </c>
      <c r="B39" s="4">
        <v>45832</v>
      </c>
      <c r="C39" s="4" t="str">
        <f t="shared" si="0"/>
        <v>Jun-2025</v>
      </c>
      <c r="D39" s="4" t="str">
        <f t="shared" si="1"/>
        <v>Q2</v>
      </c>
      <c r="E39" s="4">
        <v>45848</v>
      </c>
      <c r="F39" s="10">
        <f t="shared" si="2"/>
        <v>16</v>
      </c>
      <c r="G39" s="3" t="s">
        <v>639</v>
      </c>
      <c r="H39" s="3" t="s">
        <v>651</v>
      </c>
      <c r="I39" s="3" t="s">
        <v>677</v>
      </c>
      <c r="J39" t="str">
        <f t="shared" si="3"/>
        <v>Asia &gt; China &gt; Shanghai</v>
      </c>
      <c r="K39" s="3" t="s">
        <v>698</v>
      </c>
      <c r="L39" s="3" t="s">
        <v>703</v>
      </c>
      <c r="M39" s="3" t="s">
        <v>717</v>
      </c>
      <c r="N39" s="3" t="s">
        <v>719</v>
      </c>
      <c r="O39" s="3" t="s">
        <v>762</v>
      </c>
      <c r="P39" s="6">
        <v>757.19</v>
      </c>
      <c r="Q39" s="6">
        <v>1735.41</v>
      </c>
      <c r="R39" s="6" t="str">
        <f t="shared" si="4"/>
        <v>Medium</v>
      </c>
      <c r="S39" s="6">
        <v>0.13600000000000001</v>
      </c>
      <c r="T39" s="6">
        <v>8</v>
      </c>
      <c r="U39">
        <f t="shared" si="5"/>
        <v>11995.153920000001</v>
      </c>
      <c r="V39">
        <f t="shared" si="10"/>
        <v>1393894.1675900002</v>
      </c>
      <c r="W39">
        <f t="shared" si="6"/>
        <v>6057.52</v>
      </c>
      <c r="X39" s="6">
        <f t="shared" si="7"/>
        <v>5937.6339200000002</v>
      </c>
      <c r="Y39">
        <f t="shared" si="8"/>
        <v>0.4950027285685718</v>
      </c>
      <c r="Z39">
        <v>202506</v>
      </c>
      <c r="AA39" s="18">
        <v>202301</v>
      </c>
      <c r="AB39" t="str">
        <v>Jun-2023</v>
      </c>
      <c r="AC39">
        <f t="shared" si="9"/>
        <v>29</v>
      </c>
      <c r="AD39" t="str">
        <f t="shared" si="11"/>
        <v>Late</v>
      </c>
      <c r="AE39">
        <f t="shared" si="12"/>
        <v>0</v>
      </c>
      <c r="AF39">
        <f t="shared" si="13"/>
        <v>0</v>
      </c>
    </row>
    <row r="40" spans="1:32" x14ac:dyDescent="0.25">
      <c r="A40" s="3" t="s">
        <v>45</v>
      </c>
      <c r="B40" s="4">
        <v>45401</v>
      </c>
      <c r="C40" s="4" t="str">
        <f t="shared" si="0"/>
        <v>Apr-2024</v>
      </c>
      <c r="D40" s="4" t="str">
        <f t="shared" si="1"/>
        <v>Q2</v>
      </c>
      <c r="E40" s="4">
        <v>45418</v>
      </c>
      <c r="F40" s="10">
        <f t="shared" si="2"/>
        <v>17</v>
      </c>
      <c r="G40" s="3" t="s">
        <v>638</v>
      </c>
      <c r="H40" s="3" t="s">
        <v>643</v>
      </c>
      <c r="I40" s="3" t="s">
        <v>655</v>
      </c>
      <c r="J40" t="str">
        <f t="shared" si="3"/>
        <v>Africa &gt; Nigeria &gt; Port Harcourt</v>
      </c>
      <c r="K40" s="3" t="s">
        <v>695</v>
      </c>
      <c r="L40" s="3" t="s">
        <v>700</v>
      </c>
      <c r="M40" s="3" t="s">
        <v>712</v>
      </c>
      <c r="N40" s="3" t="s">
        <v>720</v>
      </c>
      <c r="O40" s="3" t="s">
        <v>763</v>
      </c>
      <c r="P40" s="6">
        <v>865.33</v>
      </c>
      <c r="Q40" s="6">
        <v>1395.64</v>
      </c>
      <c r="R40" s="6" t="str">
        <f t="shared" si="4"/>
        <v>Medium</v>
      </c>
      <c r="S40" s="6">
        <v>0.17499999999999999</v>
      </c>
      <c r="T40" s="6">
        <v>13</v>
      </c>
      <c r="U40">
        <f t="shared" si="5"/>
        <v>14968.239</v>
      </c>
      <c r="V40">
        <f t="shared" si="10"/>
        <v>1381899.01367</v>
      </c>
      <c r="W40">
        <f t="shared" si="6"/>
        <v>11249.29</v>
      </c>
      <c r="X40" s="6">
        <f t="shared" si="7"/>
        <v>3718.9489999999987</v>
      </c>
      <c r="Y40">
        <f t="shared" si="8"/>
        <v>0.24845601409758347</v>
      </c>
      <c r="Z40">
        <v>202404</v>
      </c>
      <c r="AA40" s="18">
        <v>202301</v>
      </c>
      <c r="AB40" t="str">
        <v>Apr-2023</v>
      </c>
      <c r="AC40">
        <f t="shared" si="9"/>
        <v>15</v>
      </c>
      <c r="AD40" t="str">
        <f t="shared" si="11"/>
        <v>Late</v>
      </c>
      <c r="AE40">
        <f t="shared" si="12"/>
        <v>0</v>
      </c>
      <c r="AF40">
        <f t="shared" si="13"/>
        <v>0</v>
      </c>
    </row>
    <row r="41" spans="1:32" x14ac:dyDescent="0.25">
      <c r="A41" s="3" t="s">
        <v>46</v>
      </c>
      <c r="B41" s="4">
        <v>45094</v>
      </c>
      <c r="C41" s="4" t="str">
        <f t="shared" si="0"/>
        <v>Jun-2023</v>
      </c>
      <c r="D41" s="4" t="str">
        <f t="shared" si="1"/>
        <v>Q2</v>
      </c>
      <c r="E41" s="4">
        <v>45101</v>
      </c>
      <c r="F41" s="10">
        <f t="shared" si="2"/>
        <v>7</v>
      </c>
      <c r="G41" s="3" t="s">
        <v>640</v>
      </c>
      <c r="H41" s="3" t="s">
        <v>652</v>
      </c>
      <c r="I41" s="3" t="s">
        <v>678</v>
      </c>
      <c r="J41" t="str">
        <f t="shared" si="3"/>
        <v>Americas &gt; USA &gt; San Francisco</v>
      </c>
      <c r="K41" s="3" t="s">
        <v>693</v>
      </c>
      <c r="L41" s="3" t="s">
        <v>699</v>
      </c>
      <c r="M41" s="3" t="s">
        <v>706</v>
      </c>
      <c r="N41" s="3" t="s">
        <v>720</v>
      </c>
      <c r="O41" s="3" t="s">
        <v>764</v>
      </c>
      <c r="P41" s="6">
        <v>313.99</v>
      </c>
      <c r="Q41" s="6">
        <v>454.42</v>
      </c>
      <c r="R41" s="6" t="str">
        <f t="shared" si="4"/>
        <v>Low</v>
      </c>
      <c r="S41" s="6">
        <v>0.129</v>
      </c>
      <c r="T41" s="6">
        <v>9</v>
      </c>
      <c r="U41">
        <f t="shared" si="5"/>
        <v>3562.1983800000003</v>
      </c>
      <c r="V41">
        <f t="shared" si="10"/>
        <v>1381899.01367</v>
      </c>
      <c r="W41">
        <f t="shared" si="6"/>
        <v>2825.91</v>
      </c>
      <c r="X41" s="6">
        <f t="shared" si="7"/>
        <v>736.28838000000042</v>
      </c>
      <c r="Y41">
        <f t="shared" si="8"/>
        <v>0.20669493988147858</v>
      </c>
      <c r="Z41">
        <v>202306</v>
      </c>
      <c r="AA41" s="18">
        <v>202301</v>
      </c>
      <c r="AB41" t="str">
        <v>Jun-2023</v>
      </c>
      <c r="AC41">
        <f t="shared" si="9"/>
        <v>5</v>
      </c>
      <c r="AD41" t="str">
        <f t="shared" si="11"/>
        <v>On Time</v>
      </c>
      <c r="AE41">
        <f t="shared" si="12"/>
        <v>1</v>
      </c>
      <c r="AF41">
        <f t="shared" si="13"/>
        <v>0</v>
      </c>
    </row>
    <row r="42" spans="1:32" x14ac:dyDescent="0.25">
      <c r="A42" s="3" t="s">
        <v>47</v>
      </c>
      <c r="B42" s="4">
        <v>45531</v>
      </c>
      <c r="C42" s="4" t="str">
        <f t="shared" si="0"/>
        <v>Aug-2024</v>
      </c>
      <c r="D42" s="4" t="str">
        <f t="shared" si="1"/>
        <v>Q3</v>
      </c>
      <c r="E42" s="4">
        <v>45554</v>
      </c>
      <c r="F42" s="10">
        <f t="shared" si="2"/>
        <v>23</v>
      </c>
      <c r="G42" s="3" t="s">
        <v>641</v>
      </c>
      <c r="H42" s="3" t="s">
        <v>648</v>
      </c>
      <c r="I42" s="3" t="s">
        <v>663</v>
      </c>
      <c r="J42" t="str">
        <f t="shared" si="3"/>
        <v>Europe &gt; Germany &gt; Berlin</v>
      </c>
      <c r="K42" s="3" t="s">
        <v>697</v>
      </c>
      <c r="L42" s="3" t="s">
        <v>703</v>
      </c>
      <c r="M42" s="3" t="s">
        <v>718</v>
      </c>
      <c r="N42" s="3" t="s">
        <v>724</v>
      </c>
      <c r="O42" s="3" t="s">
        <v>765</v>
      </c>
      <c r="P42" s="6">
        <v>1024.01</v>
      </c>
      <c r="Q42" s="6">
        <v>1580.97</v>
      </c>
      <c r="R42" s="6" t="str">
        <f t="shared" si="4"/>
        <v>High</v>
      </c>
      <c r="S42" s="6">
        <v>3.6999999999999998E-2</v>
      </c>
      <c r="T42" s="6">
        <v>27</v>
      </c>
      <c r="U42">
        <f t="shared" si="5"/>
        <v>41106.800970000004</v>
      </c>
      <c r="V42">
        <f t="shared" si="10"/>
        <v>1381899.01367</v>
      </c>
      <c r="W42">
        <f t="shared" si="6"/>
        <v>27648.27</v>
      </c>
      <c r="X42" s="6">
        <f t="shared" si="7"/>
        <v>13458.530970000003</v>
      </c>
      <c r="Y42">
        <f t="shared" si="8"/>
        <v>0.3274039976942531</v>
      </c>
      <c r="Z42">
        <v>202408</v>
      </c>
      <c r="AA42" s="18">
        <v>202301</v>
      </c>
      <c r="AB42" t="str">
        <v>Aug-2023</v>
      </c>
      <c r="AC42">
        <f t="shared" si="9"/>
        <v>19</v>
      </c>
      <c r="AD42" t="str">
        <f t="shared" si="11"/>
        <v>Late</v>
      </c>
      <c r="AE42">
        <f t="shared" si="12"/>
        <v>0</v>
      </c>
      <c r="AF42">
        <f t="shared" si="13"/>
        <v>0</v>
      </c>
    </row>
    <row r="43" spans="1:32" x14ac:dyDescent="0.25">
      <c r="A43" s="3" t="s">
        <v>48</v>
      </c>
      <c r="B43" s="4">
        <v>45302</v>
      </c>
      <c r="C43" s="4" t="str">
        <f t="shared" si="0"/>
        <v>Jan-2024</v>
      </c>
      <c r="D43" s="4" t="str">
        <f t="shared" si="1"/>
        <v>Q1</v>
      </c>
      <c r="E43" s="4">
        <v>45324</v>
      </c>
      <c r="F43" s="10">
        <f t="shared" si="2"/>
        <v>22</v>
      </c>
      <c r="G43" s="3" t="s">
        <v>638</v>
      </c>
      <c r="H43" s="3" t="s">
        <v>653</v>
      </c>
      <c r="I43" s="3" t="s">
        <v>679</v>
      </c>
      <c r="J43" t="str">
        <f t="shared" si="3"/>
        <v>Africa &gt; South Africa &gt; Durban</v>
      </c>
      <c r="K43" s="3" t="s">
        <v>696</v>
      </c>
      <c r="L43" s="3" t="s">
        <v>700</v>
      </c>
      <c r="M43" s="3" t="s">
        <v>715</v>
      </c>
      <c r="N43" s="3" t="s">
        <v>721</v>
      </c>
      <c r="O43" s="3" t="s">
        <v>766</v>
      </c>
      <c r="P43" s="6">
        <v>1206.2</v>
      </c>
      <c r="Q43" s="6">
        <v>1759.79</v>
      </c>
      <c r="R43" s="6" t="str">
        <f t="shared" si="4"/>
        <v>High</v>
      </c>
      <c r="S43" s="6">
        <v>0</v>
      </c>
      <c r="T43" s="6">
        <v>6</v>
      </c>
      <c r="U43">
        <f t="shared" si="5"/>
        <v>10558.74</v>
      </c>
      <c r="V43">
        <f t="shared" si="10"/>
        <v>1381899.01367</v>
      </c>
      <c r="W43">
        <f t="shared" si="6"/>
        <v>7237.2000000000007</v>
      </c>
      <c r="X43" s="6">
        <f t="shared" si="7"/>
        <v>3321.5399999999991</v>
      </c>
      <c r="Y43">
        <f t="shared" si="8"/>
        <v>0.31457730751964713</v>
      </c>
      <c r="Z43">
        <v>202401</v>
      </c>
      <c r="AA43" s="18">
        <v>202301</v>
      </c>
      <c r="AB43" t="str">
        <v>Jan-2023</v>
      </c>
      <c r="AC43">
        <f t="shared" si="9"/>
        <v>12</v>
      </c>
      <c r="AD43" t="str">
        <f t="shared" si="11"/>
        <v>Late</v>
      </c>
      <c r="AE43">
        <f t="shared" si="12"/>
        <v>0</v>
      </c>
      <c r="AF43">
        <f t="shared" si="13"/>
        <v>0</v>
      </c>
    </row>
    <row r="44" spans="1:32" x14ac:dyDescent="0.25">
      <c r="A44" s="3" t="s">
        <v>49</v>
      </c>
      <c r="B44" s="4">
        <v>45590</v>
      </c>
      <c r="C44" s="4" t="str">
        <f t="shared" si="0"/>
        <v>Oct-2024</v>
      </c>
      <c r="D44" s="4" t="str">
        <f t="shared" si="1"/>
        <v>Q4</v>
      </c>
      <c r="E44" s="4">
        <v>45610</v>
      </c>
      <c r="F44" s="10">
        <f t="shared" si="2"/>
        <v>20</v>
      </c>
      <c r="G44" s="3" t="s">
        <v>638</v>
      </c>
      <c r="H44" s="3" t="s">
        <v>642</v>
      </c>
      <c r="I44" s="3" t="s">
        <v>667</v>
      </c>
      <c r="J44" t="str">
        <f t="shared" si="3"/>
        <v>Africa &gt; Kenya &gt; Mombasa</v>
      </c>
      <c r="K44" s="3" t="s">
        <v>693</v>
      </c>
      <c r="L44" s="3" t="s">
        <v>703</v>
      </c>
      <c r="M44" s="3" t="s">
        <v>714</v>
      </c>
      <c r="N44" s="3" t="s">
        <v>720</v>
      </c>
      <c r="O44" s="3" t="s">
        <v>767</v>
      </c>
      <c r="P44" s="6">
        <v>1396.48</v>
      </c>
      <c r="Q44" s="6">
        <v>3204.5</v>
      </c>
      <c r="R44" s="6" t="str">
        <f t="shared" si="4"/>
        <v>High</v>
      </c>
      <c r="S44" s="6">
        <v>0.318</v>
      </c>
      <c r="T44" s="6">
        <v>14</v>
      </c>
      <c r="U44">
        <f t="shared" si="5"/>
        <v>30596.565999999999</v>
      </c>
      <c r="V44">
        <f t="shared" si="10"/>
        <v>1381899.01367</v>
      </c>
      <c r="W44">
        <f t="shared" si="6"/>
        <v>19550.72</v>
      </c>
      <c r="X44" s="6">
        <f t="shared" si="7"/>
        <v>11045.845999999998</v>
      </c>
      <c r="Y44">
        <f t="shared" si="8"/>
        <v>0.36101587348070363</v>
      </c>
      <c r="Z44">
        <v>202410</v>
      </c>
      <c r="AA44" s="18">
        <v>202301</v>
      </c>
      <c r="AB44" t="str">
        <v>Oct-2023</v>
      </c>
      <c r="AC44">
        <f t="shared" si="9"/>
        <v>21</v>
      </c>
      <c r="AD44" t="str">
        <f t="shared" si="11"/>
        <v>Late</v>
      </c>
      <c r="AE44">
        <f t="shared" si="12"/>
        <v>0</v>
      </c>
      <c r="AF44">
        <f t="shared" si="13"/>
        <v>1</v>
      </c>
    </row>
    <row r="45" spans="1:32" x14ac:dyDescent="0.25">
      <c r="A45" s="3" t="s">
        <v>50</v>
      </c>
      <c r="B45" s="4">
        <v>45806</v>
      </c>
      <c r="C45" s="4" t="str">
        <f t="shared" si="0"/>
        <v>May-2025</v>
      </c>
      <c r="D45" s="4" t="str">
        <f t="shared" si="1"/>
        <v>Q2</v>
      </c>
      <c r="E45" s="4">
        <v>45828</v>
      </c>
      <c r="F45" s="10">
        <f t="shared" si="2"/>
        <v>22</v>
      </c>
      <c r="G45" s="3" t="s">
        <v>641</v>
      </c>
      <c r="H45" s="3" t="s">
        <v>648</v>
      </c>
      <c r="I45" s="3" t="s">
        <v>663</v>
      </c>
      <c r="J45" t="str">
        <f t="shared" si="3"/>
        <v>Europe &gt; Germany &gt; Berlin</v>
      </c>
      <c r="K45" s="3" t="s">
        <v>693</v>
      </c>
      <c r="L45" s="3" t="s">
        <v>703</v>
      </c>
      <c r="M45" s="3" t="s">
        <v>712</v>
      </c>
      <c r="N45" s="3" t="s">
        <v>720</v>
      </c>
      <c r="O45" s="3" t="s">
        <v>768</v>
      </c>
      <c r="P45" s="6">
        <v>483.47</v>
      </c>
      <c r="Q45" s="6">
        <v>1135.43</v>
      </c>
      <c r="R45" s="6" t="str">
        <f t="shared" si="4"/>
        <v>Low</v>
      </c>
      <c r="S45" s="6">
        <v>0.14599999999999999</v>
      </c>
      <c r="T45" s="6">
        <v>11</v>
      </c>
      <c r="U45">
        <f t="shared" si="5"/>
        <v>10666.229420000001</v>
      </c>
      <c r="V45">
        <f t="shared" si="10"/>
        <v>1381899.01367</v>
      </c>
      <c r="W45">
        <f t="shared" si="6"/>
        <v>5318.17</v>
      </c>
      <c r="X45" s="6">
        <f t="shared" si="7"/>
        <v>5348.0594200000014</v>
      </c>
      <c r="Y45">
        <f t="shared" si="8"/>
        <v>0.50140112399719983</v>
      </c>
      <c r="Z45">
        <v>202505</v>
      </c>
      <c r="AA45" s="18">
        <v>202301</v>
      </c>
      <c r="AB45" t="str">
        <v>May-2023</v>
      </c>
      <c r="AC45">
        <f t="shared" si="9"/>
        <v>28</v>
      </c>
      <c r="AD45" t="str">
        <f t="shared" si="11"/>
        <v>Late</v>
      </c>
      <c r="AE45">
        <f t="shared" si="12"/>
        <v>0</v>
      </c>
      <c r="AF45">
        <f t="shared" si="13"/>
        <v>0</v>
      </c>
    </row>
    <row r="46" spans="1:32" x14ac:dyDescent="0.25">
      <c r="A46" s="3" t="s">
        <v>51</v>
      </c>
      <c r="B46" s="4">
        <v>45432</v>
      </c>
      <c r="C46" s="4" t="str">
        <f t="shared" si="0"/>
        <v>May-2024</v>
      </c>
      <c r="D46" s="4" t="str">
        <f t="shared" si="1"/>
        <v>Q2</v>
      </c>
      <c r="E46" s="4">
        <v>45445</v>
      </c>
      <c r="F46" s="10">
        <f t="shared" si="2"/>
        <v>13</v>
      </c>
      <c r="G46" s="3" t="s">
        <v>640</v>
      </c>
      <c r="H46" s="3" t="s">
        <v>645</v>
      </c>
      <c r="I46" s="3" t="s">
        <v>680</v>
      </c>
      <c r="J46" t="str">
        <f t="shared" si="3"/>
        <v>Americas &gt; Canada &gt; Vancouver</v>
      </c>
      <c r="K46" s="3" t="s">
        <v>698</v>
      </c>
      <c r="L46" s="3" t="s">
        <v>701</v>
      </c>
      <c r="M46" s="3" t="s">
        <v>715</v>
      </c>
      <c r="N46" s="3" t="s">
        <v>719</v>
      </c>
      <c r="O46" s="3" t="s">
        <v>769</v>
      </c>
      <c r="P46" s="6">
        <v>675.43</v>
      </c>
      <c r="Q46" s="6">
        <v>996.36</v>
      </c>
      <c r="R46" s="6" t="str">
        <f t="shared" si="4"/>
        <v>Medium</v>
      </c>
      <c r="S46" s="6">
        <v>0.182</v>
      </c>
      <c r="T46" s="6">
        <v>22</v>
      </c>
      <c r="U46">
        <f t="shared" si="5"/>
        <v>17930.494560000003</v>
      </c>
      <c r="V46">
        <f t="shared" si="10"/>
        <v>1381899.01367</v>
      </c>
      <c r="W46">
        <f t="shared" si="6"/>
        <v>14859.46</v>
      </c>
      <c r="X46" s="6">
        <f t="shared" si="7"/>
        <v>3071.0345600000037</v>
      </c>
      <c r="Y46">
        <f t="shared" si="8"/>
        <v>0.17127439233332575</v>
      </c>
      <c r="Z46">
        <v>202405</v>
      </c>
      <c r="AA46" s="18">
        <v>202301</v>
      </c>
      <c r="AB46" t="str">
        <v>May-2023</v>
      </c>
      <c r="AC46">
        <f t="shared" si="9"/>
        <v>16</v>
      </c>
      <c r="AD46" t="str">
        <f t="shared" si="11"/>
        <v>Late</v>
      </c>
      <c r="AE46">
        <f t="shared" si="12"/>
        <v>0</v>
      </c>
      <c r="AF46">
        <f t="shared" si="13"/>
        <v>0</v>
      </c>
    </row>
    <row r="47" spans="1:32" x14ac:dyDescent="0.25">
      <c r="A47" s="3" t="s">
        <v>52</v>
      </c>
      <c r="B47" s="4">
        <v>45035</v>
      </c>
      <c r="C47" s="4" t="str">
        <f t="shared" si="0"/>
        <v>Apr-2023</v>
      </c>
      <c r="D47" s="4" t="str">
        <f t="shared" si="1"/>
        <v>Q2</v>
      </c>
      <c r="E47" s="4">
        <v>45046</v>
      </c>
      <c r="F47" s="10">
        <f t="shared" si="2"/>
        <v>11</v>
      </c>
      <c r="G47" s="3" t="s">
        <v>639</v>
      </c>
      <c r="H47" s="3" t="s">
        <v>646</v>
      </c>
      <c r="I47" s="3" t="s">
        <v>672</v>
      </c>
      <c r="J47" t="str">
        <f t="shared" si="3"/>
        <v>Asia &gt; India &gt; Delhi</v>
      </c>
      <c r="K47" s="3" t="s">
        <v>697</v>
      </c>
      <c r="L47" s="3" t="s">
        <v>699</v>
      </c>
      <c r="M47" s="3" t="s">
        <v>712</v>
      </c>
      <c r="N47" s="3" t="s">
        <v>721</v>
      </c>
      <c r="O47" s="3" t="s">
        <v>770</v>
      </c>
      <c r="P47" s="6">
        <v>826.55</v>
      </c>
      <c r="Q47" s="6">
        <v>1397.05</v>
      </c>
      <c r="R47" s="6" t="str">
        <f t="shared" si="4"/>
        <v>Medium</v>
      </c>
      <c r="S47" s="6">
        <v>0.16900000000000001</v>
      </c>
      <c r="T47" s="6">
        <v>28</v>
      </c>
      <c r="U47">
        <f t="shared" si="5"/>
        <v>32506.559399999998</v>
      </c>
      <c r="V47">
        <f t="shared" si="10"/>
        <v>1363968.51911</v>
      </c>
      <c r="W47">
        <f t="shared" si="6"/>
        <v>23143.399999999998</v>
      </c>
      <c r="X47" s="6">
        <f t="shared" si="7"/>
        <v>9363.1594000000005</v>
      </c>
      <c r="Y47">
        <f t="shared" si="8"/>
        <v>0.28803907804527601</v>
      </c>
      <c r="Z47">
        <v>202304</v>
      </c>
      <c r="AA47" s="18">
        <v>202301</v>
      </c>
      <c r="AB47" t="str">
        <v>Apr-2023</v>
      </c>
      <c r="AC47">
        <f t="shared" si="9"/>
        <v>3</v>
      </c>
      <c r="AD47" t="str">
        <f t="shared" si="11"/>
        <v>Late</v>
      </c>
      <c r="AE47">
        <f t="shared" si="12"/>
        <v>0</v>
      </c>
      <c r="AF47">
        <f t="shared" si="13"/>
        <v>0</v>
      </c>
    </row>
    <row r="48" spans="1:32" x14ac:dyDescent="0.25">
      <c r="A48" s="3" t="s">
        <v>53</v>
      </c>
      <c r="B48" s="4">
        <v>45100</v>
      </c>
      <c r="C48" s="4" t="str">
        <f t="shared" si="0"/>
        <v>Jun-2023</v>
      </c>
      <c r="D48" s="4" t="str">
        <f t="shared" si="1"/>
        <v>Q2</v>
      </c>
      <c r="E48" s="4">
        <v>45110</v>
      </c>
      <c r="F48" s="10">
        <f t="shared" si="2"/>
        <v>10</v>
      </c>
      <c r="G48" s="3" t="s">
        <v>638</v>
      </c>
      <c r="H48" s="3" t="s">
        <v>643</v>
      </c>
      <c r="I48" s="3" t="s">
        <v>661</v>
      </c>
      <c r="J48" t="str">
        <f t="shared" si="3"/>
        <v>Africa &gt; Nigeria &gt; Abuja</v>
      </c>
      <c r="K48" s="3" t="s">
        <v>696</v>
      </c>
      <c r="L48" s="3" t="s">
        <v>700</v>
      </c>
      <c r="M48" s="3" t="s">
        <v>705</v>
      </c>
      <c r="N48" s="3" t="s">
        <v>720</v>
      </c>
      <c r="O48" s="3" t="s">
        <v>771</v>
      </c>
      <c r="P48" s="6">
        <v>337.75</v>
      </c>
      <c r="Q48" s="6">
        <v>548.89</v>
      </c>
      <c r="R48" s="6" t="str">
        <f t="shared" si="4"/>
        <v>Low</v>
      </c>
      <c r="S48" s="6">
        <v>0</v>
      </c>
      <c r="T48" s="6">
        <v>13</v>
      </c>
      <c r="U48">
        <f t="shared" si="5"/>
        <v>7135.57</v>
      </c>
      <c r="V48">
        <f t="shared" si="10"/>
        <v>1363968.51911</v>
      </c>
      <c r="W48">
        <f t="shared" si="6"/>
        <v>4390.75</v>
      </c>
      <c r="X48" s="6">
        <f t="shared" si="7"/>
        <v>2744.8199999999997</v>
      </c>
      <c r="Y48">
        <f t="shared" si="8"/>
        <v>0.38466723751571352</v>
      </c>
      <c r="Z48">
        <v>202306</v>
      </c>
      <c r="AA48" s="18">
        <v>202301</v>
      </c>
      <c r="AB48" t="str">
        <v>Jun-2023</v>
      </c>
      <c r="AC48">
        <f t="shared" si="9"/>
        <v>5</v>
      </c>
      <c r="AD48" t="str">
        <f t="shared" si="11"/>
        <v>Late</v>
      </c>
      <c r="AE48">
        <f t="shared" si="12"/>
        <v>0</v>
      </c>
      <c r="AF48">
        <f t="shared" si="13"/>
        <v>0</v>
      </c>
    </row>
    <row r="49" spans="1:32" x14ac:dyDescent="0.25">
      <c r="A49" s="3" t="s">
        <v>54</v>
      </c>
      <c r="B49" s="4">
        <v>45426</v>
      </c>
      <c r="C49" s="4" t="str">
        <f t="shared" si="0"/>
        <v>May-2024</v>
      </c>
      <c r="D49" s="4" t="str">
        <f t="shared" si="1"/>
        <v>Q2</v>
      </c>
      <c r="E49" s="4">
        <v>45440</v>
      </c>
      <c r="F49" s="10">
        <f t="shared" si="2"/>
        <v>14</v>
      </c>
      <c r="G49" s="3" t="s">
        <v>641</v>
      </c>
      <c r="H49" s="3" t="s">
        <v>650</v>
      </c>
      <c r="I49" s="3" t="s">
        <v>666</v>
      </c>
      <c r="J49" t="str">
        <f t="shared" si="3"/>
        <v>Europe &gt; United Kingdom &gt; Birmingham</v>
      </c>
      <c r="K49" s="3" t="s">
        <v>696</v>
      </c>
      <c r="L49" s="3" t="s">
        <v>699</v>
      </c>
      <c r="M49" s="3" t="s">
        <v>709</v>
      </c>
      <c r="N49" s="3" t="s">
        <v>721</v>
      </c>
      <c r="O49" s="3" t="s">
        <v>772</v>
      </c>
      <c r="P49" s="6">
        <v>1421.14</v>
      </c>
      <c r="Q49" s="6">
        <v>3524</v>
      </c>
      <c r="R49" s="6" t="str">
        <f t="shared" si="4"/>
        <v>High</v>
      </c>
      <c r="S49" s="6">
        <v>0</v>
      </c>
      <c r="T49" s="6">
        <v>31</v>
      </c>
      <c r="U49">
        <f t="shared" si="5"/>
        <v>109244</v>
      </c>
      <c r="V49">
        <f t="shared" si="10"/>
        <v>1363968.51911</v>
      </c>
      <c r="W49">
        <f t="shared" si="6"/>
        <v>44055.340000000004</v>
      </c>
      <c r="X49" s="6">
        <f t="shared" si="7"/>
        <v>65188.659999999996</v>
      </c>
      <c r="Y49">
        <f t="shared" si="8"/>
        <v>0.59672531214528945</v>
      </c>
      <c r="Z49">
        <v>202405</v>
      </c>
      <c r="AA49" s="18">
        <v>202301</v>
      </c>
      <c r="AB49" t="str">
        <v>May-2023</v>
      </c>
      <c r="AC49">
        <f t="shared" si="9"/>
        <v>16</v>
      </c>
      <c r="AD49" t="str">
        <f t="shared" si="11"/>
        <v>Late</v>
      </c>
      <c r="AE49">
        <f t="shared" si="12"/>
        <v>0</v>
      </c>
      <c r="AF49">
        <f t="shared" si="13"/>
        <v>0</v>
      </c>
    </row>
    <row r="50" spans="1:32" x14ac:dyDescent="0.25">
      <c r="A50" s="3" t="s">
        <v>55</v>
      </c>
      <c r="B50" s="4">
        <v>45579</v>
      </c>
      <c r="C50" s="4" t="str">
        <f t="shared" si="0"/>
        <v>Oct-2024</v>
      </c>
      <c r="D50" s="4" t="str">
        <f t="shared" si="1"/>
        <v>Q4</v>
      </c>
      <c r="E50" s="4">
        <v>45604</v>
      </c>
      <c r="F50" s="10">
        <f t="shared" si="2"/>
        <v>25</v>
      </c>
      <c r="G50" s="3" t="s">
        <v>638</v>
      </c>
      <c r="H50" s="3" t="s">
        <v>643</v>
      </c>
      <c r="I50" s="3" t="s">
        <v>657</v>
      </c>
      <c r="J50" t="str">
        <f t="shared" si="3"/>
        <v>Africa &gt; Nigeria &gt; Lagos</v>
      </c>
      <c r="K50" s="3" t="s">
        <v>698</v>
      </c>
      <c r="L50" s="3" t="s">
        <v>700</v>
      </c>
      <c r="M50" s="3" t="s">
        <v>711</v>
      </c>
      <c r="N50" s="3" t="s">
        <v>721</v>
      </c>
      <c r="O50" s="3" t="s">
        <v>773</v>
      </c>
      <c r="P50" s="6">
        <v>859.35</v>
      </c>
      <c r="Q50" s="6">
        <v>1825.61</v>
      </c>
      <c r="R50" s="6" t="str">
        <f t="shared" si="4"/>
        <v>Medium</v>
      </c>
      <c r="S50" s="6">
        <v>0.187</v>
      </c>
      <c r="T50" s="6">
        <v>24</v>
      </c>
      <c r="U50">
        <f t="shared" si="5"/>
        <v>35621.302319999995</v>
      </c>
      <c r="V50">
        <f t="shared" si="10"/>
        <v>1363968.51911</v>
      </c>
      <c r="W50">
        <f t="shared" si="6"/>
        <v>20624.400000000001</v>
      </c>
      <c r="X50" s="6">
        <f t="shared" si="7"/>
        <v>14996.902319999994</v>
      </c>
      <c r="Y50">
        <f t="shared" si="8"/>
        <v>0.42100937762681989</v>
      </c>
      <c r="Z50">
        <v>202410</v>
      </c>
      <c r="AA50" s="18">
        <v>202301</v>
      </c>
      <c r="AB50" t="str">
        <v>Oct-2023</v>
      </c>
      <c r="AC50">
        <f t="shared" si="9"/>
        <v>21</v>
      </c>
      <c r="AD50" t="str">
        <f t="shared" si="11"/>
        <v>Late</v>
      </c>
      <c r="AE50">
        <f t="shared" si="12"/>
        <v>0</v>
      </c>
      <c r="AF50">
        <f t="shared" si="13"/>
        <v>0</v>
      </c>
    </row>
    <row r="51" spans="1:32" x14ac:dyDescent="0.25">
      <c r="A51" s="3" t="s">
        <v>56</v>
      </c>
      <c r="B51" s="4">
        <v>45117</v>
      </c>
      <c r="C51" s="4" t="str">
        <f t="shared" si="0"/>
        <v>Jul-2023</v>
      </c>
      <c r="D51" s="4" t="str">
        <f t="shared" si="1"/>
        <v>Q3</v>
      </c>
      <c r="E51" s="4">
        <v>45139</v>
      </c>
      <c r="F51" s="10">
        <f t="shared" si="2"/>
        <v>22</v>
      </c>
      <c r="G51" s="3" t="s">
        <v>641</v>
      </c>
      <c r="H51" s="3" t="s">
        <v>649</v>
      </c>
      <c r="I51" s="3" t="s">
        <v>665</v>
      </c>
      <c r="J51" t="str">
        <f t="shared" si="3"/>
        <v>Europe &gt; France &gt; Marseille</v>
      </c>
      <c r="K51" s="3" t="s">
        <v>696</v>
      </c>
      <c r="L51" s="3" t="s">
        <v>701</v>
      </c>
      <c r="M51" s="3" t="s">
        <v>709</v>
      </c>
      <c r="N51" s="3" t="s">
        <v>720</v>
      </c>
      <c r="O51" s="3" t="s">
        <v>774</v>
      </c>
      <c r="P51" s="6">
        <v>1303.56</v>
      </c>
      <c r="Q51" s="6">
        <v>1791.37</v>
      </c>
      <c r="R51" s="6" t="str">
        <f t="shared" si="4"/>
        <v>High</v>
      </c>
      <c r="S51" s="6">
        <v>0.126</v>
      </c>
      <c r="T51" s="6">
        <v>22</v>
      </c>
      <c r="U51">
        <f t="shared" si="5"/>
        <v>34444.462359999998</v>
      </c>
      <c r="V51">
        <f t="shared" si="10"/>
        <v>1363968.51911</v>
      </c>
      <c r="W51">
        <f t="shared" si="6"/>
        <v>28678.32</v>
      </c>
      <c r="X51" s="6">
        <f t="shared" si="7"/>
        <v>5766.142359999998</v>
      </c>
      <c r="Y51">
        <f t="shared" si="8"/>
        <v>0.16740404596055358</v>
      </c>
      <c r="Z51">
        <v>202307</v>
      </c>
      <c r="AA51" s="18">
        <v>202301</v>
      </c>
      <c r="AB51" t="str">
        <v>Jul-2023</v>
      </c>
      <c r="AC51">
        <f t="shared" si="9"/>
        <v>6</v>
      </c>
      <c r="AD51" t="str">
        <f t="shared" si="11"/>
        <v>Late</v>
      </c>
      <c r="AE51">
        <f t="shared" si="12"/>
        <v>0</v>
      </c>
      <c r="AF51">
        <f t="shared" si="13"/>
        <v>0</v>
      </c>
    </row>
    <row r="52" spans="1:32" x14ac:dyDescent="0.25">
      <c r="A52" s="3" t="s">
        <v>57</v>
      </c>
      <c r="B52" s="4">
        <v>45602</v>
      </c>
      <c r="C52" s="4" t="str">
        <f t="shared" si="0"/>
        <v>Nov-2024</v>
      </c>
      <c r="D52" s="4" t="str">
        <f t="shared" si="1"/>
        <v>Q4</v>
      </c>
      <c r="E52" s="4">
        <v>45618</v>
      </c>
      <c r="F52" s="10">
        <f t="shared" si="2"/>
        <v>16</v>
      </c>
      <c r="G52" s="3" t="s">
        <v>640</v>
      </c>
      <c r="H52" s="3" t="s">
        <v>645</v>
      </c>
      <c r="I52" s="3" t="s">
        <v>659</v>
      </c>
      <c r="J52" t="str">
        <f t="shared" si="3"/>
        <v>Americas &gt; Canada &gt; Toronto</v>
      </c>
      <c r="K52" s="3" t="s">
        <v>695</v>
      </c>
      <c r="L52" s="3" t="s">
        <v>702</v>
      </c>
      <c r="M52" s="3" t="s">
        <v>718</v>
      </c>
      <c r="N52" s="3" t="s">
        <v>725</v>
      </c>
      <c r="O52" s="3" t="s">
        <v>775</v>
      </c>
      <c r="P52" s="6">
        <v>1454.11</v>
      </c>
      <c r="Q52" s="6">
        <v>2629.75</v>
      </c>
      <c r="R52" s="6" t="str">
        <f t="shared" si="4"/>
        <v>High</v>
      </c>
      <c r="S52" s="6">
        <v>0.29199999999999998</v>
      </c>
      <c r="T52" s="6">
        <v>8</v>
      </c>
      <c r="U52">
        <f t="shared" si="5"/>
        <v>14894.903999999999</v>
      </c>
      <c r="V52">
        <f t="shared" si="10"/>
        <v>1363968.51911</v>
      </c>
      <c r="W52">
        <f t="shared" si="6"/>
        <v>11632.88</v>
      </c>
      <c r="X52" s="6">
        <f t="shared" si="7"/>
        <v>3262.0239999999994</v>
      </c>
      <c r="Y52">
        <f t="shared" si="8"/>
        <v>0.21900268709351867</v>
      </c>
      <c r="Z52">
        <v>202411</v>
      </c>
      <c r="AA52" s="18">
        <v>202301</v>
      </c>
      <c r="AB52" t="str">
        <v>Nov-2023</v>
      </c>
      <c r="AC52">
        <f t="shared" si="9"/>
        <v>22</v>
      </c>
      <c r="AD52" t="str">
        <f t="shared" si="11"/>
        <v>Late</v>
      </c>
      <c r="AE52">
        <f t="shared" si="12"/>
        <v>0</v>
      </c>
      <c r="AF52">
        <f t="shared" si="13"/>
        <v>1</v>
      </c>
    </row>
    <row r="53" spans="1:32" x14ac:dyDescent="0.25">
      <c r="A53" s="3" t="s">
        <v>58</v>
      </c>
      <c r="B53" s="4">
        <v>45582</v>
      </c>
      <c r="C53" s="4" t="str">
        <f t="shared" si="0"/>
        <v>Oct-2024</v>
      </c>
      <c r="D53" s="4" t="str">
        <f t="shared" si="1"/>
        <v>Q4</v>
      </c>
      <c r="E53" s="4">
        <v>45602</v>
      </c>
      <c r="F53" s="10">
        <f t="shared" si="2"/>
        <v>20</v>
      </c>
      <c r="G53" s="3" t="s">
        <v>639</v>
      </c>
      <c r="H53" s="3" t="s">
        <v>646</v>
      </c>
      <c r="I53" s="3" t="s">
        <v>660</v>
      </c>
      <c r="J53" t="str">
        <f t="shared" si="3"/>
        <v>Asia &gt; India &gt; Bengaluru</v>
      </c>
      <c r="K53" s="3" t="s">
        <v>698</v>
      </c>
      <c r="L53" s="3" t="s">
        <v>702</v>
      </c>
      <c r="M53" s="3" t="s">
        <v>711</v>
      </c>
      <c r="N53" s="3" t="s">
        <v>724</v>
      </c>
      <c r="O53" s="3" t="s">
        <v>776</v>
      </c>
      <c r="P53" s="6">
        <v>72.94</v>
      </c>
      <c r="Q53" s="6">
        <v>106.3</v>
      </c>
      <c r="R53" s="6" t="str">
        <f t="shared" si="4"/>
        <v>Low</v>
      </c>
      <c r="S53" s="6">
        <v>0.29499999999999998</v>
      </c>
      <c r="T53" s="6">
        <v>8</v>
      </c>
      <c r="U53">
        <f t="shared" si="5"/>
        <v>599.53200000000004</v>
      </c>
      <c r="V53">
        <f t="shared" si="10"/>
        <v>1363968.51911</v>
      </c>
      <c r="W53">
        <f t="shared" si="6"/>
        <v>583.52</v>
      </c>
      <c r="X53" s="6">
        <f t="shared" si="7"/>
        <v>16.012000000000057</v>
      </c>
      <c r="Y53">
        <f t="shared" si="8"/>
        <v>2.6707498515508857E-2</v>
      </c>
      <c r="Z53">
        <v>202410</v>
      </c>
      <c r="AA53" s="18">
        <v>202301</v>
      </c>
      <c r="AB53" t="str">
        <v>Oct-2023</v>
      </c>
      <c r="AC53">
        <f t="shared" si="9"/>
        <v>21</v>
      </c>
      <c r="AD53" t="str">
        <f t="shared" si="11"/>
        <v>Late</v>
      </c>
      <c r="AE53">
        <f t="shared" si="12"/>
        <v>0</v>
      </c>
      <c r="AF53">
        <f t="shared" si="13"/>
        <v>1</v>
      </c>
    </row>
    <row r="54" spans="1:32" x14ac:dyDescent="0.25">
      <c r="A54" s="3" t="s">
        <v>59</v>
      </c>
      <c r="B54" s="4">
        <v>45016</v>
      </c>
      <c r="C54" s="4" t="str">
        <f t="shared" si="0"/>
        <v>Mar-2023</v>
      </c>
      <c r="D54" s="4" t="str">
        <f t="shared" si="1"/>
        <v>Q1</v>
      </c>
      <c r="E54" s="4">
        <v>45021</v>
      </c>
      <c r="F54" s="10">
        <f t="shared" si="2"/>
        <v>5</v>
      </c>
      <c r="G54" s="3" t="s">
        <v>638</v>
      </c>
      <c r="H54" s="3" t="s">
        <v>642</v>
      </c>
      <c r="I54" s="3" t="s">
        <v>670</v>
      </c>
      <c r="J54" t="str">
        <f t="shared" si="3"/>
        <v>Africa &gt; Kenya &gt; Nakuru</v>
      </c>
      <c r="K54" s="3" t="s">
        <v>694</v>
      </c>
      <c r="L54" s="3" t="s">
        <v>701</v>
      </c>
      <c r="M54" s="3" t="s">
        <v>709</v>
      </c>
      <c r="N54" s="3" t="s">
        <v>723</v>
      </c>
      <c r="O54" s="3" t="s">
        <v>777</v>
      </c>
      <c r="P54" s="6">
        <v>533.26</v>
      </c>
      <c r="Q54" s="6">
        <v>385.72</v>
      </c>
      <c r="R54" s="6" t="str">
        <f t="shared" si="4"/>
        <v>Medium</v>
      </c>
      <c r="S54" s="6">
        <v>0</v>
      </c>
      <c r="T54" s="6">
        <v>15</v>
      </c>
      <c r="U54">
        <f t="shared" si="5"/>
        <v>5785.8</v>
      </c>
      <c r="V54">
        <f t="shared" si="10"/>
        <v>1363968.51911</v>
      </c>
      <c r="W54">
        <f t="shared" si="6"/>
        <v>7998.9</v>
      </c>
      <c r="X54" s="6">
        <f t="shared" si="7"/>
        <v>-2213.0999999999995</v>
      </c>
      <c r="Y54">
        <f t="shared" si="8"/>
        <v>-0.38250544436378708</v>
      </c>
      <c r="Z54">
        <v>202303</v>
      </c>
      <c r="AA54" s="18">
        <v>202301</v>
      </c>
      <c r="AB54" t="str">
        <v>Mar-2023</v>
      </c>
      <c r="AC54">
        <f t="shared" si="9"/>
        <v>2</v>
      </c>
      <c r="AD54" t="str">
        <f t="shared" si="11"/>
        <v>On Time</v>
      </c>
      <c r="AE54">
        <f t="shared" si="12"/>
        <v>1</v>
      </c>
      <c r="AF54">
        <f t="shared" si="13"/>
        <v>0</v>
      </c>
    </row>
    <row r="55" spans="1:32" x14ac:dyDescent="0.25">
      <c r="A55" s="3" t="s">
        <v>60</v>
      </c>
      <c r="B55" s="4">
        <v>45678</v>
      </c>
      <c r="C55" s="4" t="str">
        <f t="shared" si="0"/>
        <v>Jan-2025</v>
      </c>
      <c r="D55" s="4" t="str">
        <f t="shared" si="1"/>
        <v>Q1</v>
      </c>
      <c r="E55" s="4">
        <v>45704</v>
      </c>
      <c r="F55" s="10">
        <f t="shared" si="2"/>
        <v>26</v>
      </c>
      <c r="G55" s="3" t="s">
        <v>641</v>
      </c>
      <c r="H55" s="3" t="s">
        <v>649</v>
      </c>
      <c r="I55" s="3" t="s">
        <v>671</v>
      </c>
      <c r="J55" t="str">
        <f t="shared" si="3"/>
        <v>Europe &gt; France &gt; Lyon</v>
      </c>
      <c r="K55" s="3" t="s">
        <v>693</v>
      </c>
      <c r="L55" s="3" t="s">
        <v>702</v>
      </c>
      <c r="M55" s="3" t="s">
        <v>711</v>
      </c>
      <c r="N55" s="3" t="s">
        <v>723</v>
      </c>
      <c r="O55" s="3" t="s">
        <v>778</v>
      </c>
      <c r="P55" s="6">
        <v>204.11</v>
      </c>
      <c r="Q55" s="6">
        <v>236.87</v>
      </c>
      <c r="R55" s="6" t="str">
        <f t="shared" si="4"/>
        <v>Low</v>
      </c>
      <c r="S55" s="6">
        <v>0.182</v>
      </c>
      <c r="T55" s="6">
        <v>13</v>
      </c>
      <c r="U55">
        <f t="shared" si="5"/>
        <v>2518.8755800000004</v>
      </c>
      <c r="V55">
        <f t="shared" si="10"/>
        <v>1363968.51911</v>
      </c>
      <c r="W55">
        <f t="shared" si="6"/>
        <v>2653.4300000000003</v>
      </c>
      <c r="X55" s="6">
        <f t="shared" si="7"/>
        <v>-134.55441999999994</v>
      </c>
      <c r="Y55">
        <f t="shared" si="8"/>
        <v>-5.3418446337075494E-2</v>
      </c>
      <c r="Z55">
        <v>202501</v>
      </c>
      <c r="AA55" s="18">
        <v>202301</v>
      </c>
      <c r="AB55" t="str">
        <v>Jan-2023</v>
      </c>
      <c r="AC55">
        <f t="shared" si="9"/>
        <v>24</v>
      </c>
      <c r="AD55" t="str">
        <f t="shared" si="11"/>
        <v>Late</v>
      </c>
      <c r="AE55">
        <f t="shared" si="12"/>
        <v>0</v>
      </c>
      <c r="AF55">
        <f t="shared" si="13"/>
        <v>0</v>
      </c>
    </row>
    <row r="56" spans="1:32" x14ac:dyDescent="0.25">
      <c r="A56" s="3" t="s">
        <v>61</v>
      </c>
      <c r="B56" s="4">
        <v>45168</v>
      </c>
      <c r="C56" s="4" t="str">
        <f t="shared" si="0"/>
        <v>Aug-2023</v>
      </c>
      <c r="D56" s="4" t="str">
        <f t="shared" si="1"/>
        <v>Q3</v>
      </c>
      <c r="E56" s="4">
        <v>45170</v>
      </c>
      <c r="F56" s="10">
        <f t="shared" si="2"/>
        <v>2</v>
      </c>
      <c r="G56" s="3" t="s">
        <v>641</v>
      </c>
      <c r="H56" s="3" t="s">
        <v>648</v>
      </c>
      <c r="I56" s="3" t="s">
        <v>676</v>
      </c>
      <c r="J56" t="str">
        <f t="shared" si="3"/>
        <v>Europe &gt; Germany &gt; Munich</v>
      </c>
      <c r="K56" s="3" t="s">
        <v>693</v>
      </c>
      <c r="L56" s="3" t="s">
        <v>703</v>
      </c>
      <c r="M56" s="3" t="s">
        <v>717</v>
      </c>
      <c r="N56" s="3" t="s">
        <v>721</v>
      </c>
      <c r="O56" s="3" t="s">
        <v>779</v>
      </c>
      <c r="P56" s="6">
        <v>44.42</v>
      </c>
      <c r="Q56" s="6">
        <v>41.9</v>
      </c>
      <c r="R56" s="6" t="str">
        <f t="shared" si="4"/>
        <v>Low</v>
      </c>
      <c r="S56" s="6">
        <v>0.14399999999999999</v>
      </c>
      <c r="T56" s="6">
        <v>6</v>
      </c>
      <c r="U56">
        <f t="shared" si="5"/>
        <v>215.19839999999996</v>
      </c>
      <c r="V56">
        <f t="shared" si="10"/>
        <v>1363968.51911</v>
      </c>
      <c r="W56">
        <f t="shared" si="6"/>
        <v>266.52</v>
      </c>
      <c r="X56" s="6">
        <f t="shared" si="7"/>
        <v>-51.321600000000018</v>
      </c>
      <c r="Y56">
        <f t="shared" si="8"/>
        <v>-0.23848504449847224</v>
      </c>
      <c r="Z56">
        <v>202308</v>
      </c>
      <c r="AA56" s="18">
        <v>202301</v>
      </c>
      <c r="AB56" t="str">
        <v>Aug-2023</v>
      </c>
      <c r="AC56">
        <f t="shared" si="9"/>
        <v>7</v>
      </c>
      <c r="AD56" t="str">
        <f t="shared" si="11"/>
        <v>On Time</v>
      </c>
      <c r="AE56">
        <f t="shared" si="12"/>
        <v>1</v>
      </c>
      <c r="AF56">
        <f t="shared" si="13"/>
        <v>0</v>
      </c>
    </row>
    <row r="57" spans="1:32" x14ac:dyDescent="0.25">
      <c r="A57" s="3" t="s">
        <v>62</v>
      </c>
      <c r="B57" s="4">
        <v>45753</v>
      </c>
      <c r="C57" s="4" t="str">
        <f t="shared" si="0"/>
        <v>Apr-2025</v>
      </c>
      <c r="D57" s="4" t="str">
        <f t="shared" si="1"/>
        <v>Q2</v>
      </c>
      <c r="E57" s="4">
        <v>45777</v>
      </c>
      <c r="F57" s="10">
        <f t="shared" si="2"/>
        <v>24</v>
      </c>
      <c r="G57" s="3" t="s">
        <v>640</v>
      </c>
      <c r="H57" s="3" t="s">
        <v>647</v>
      </c>
      <c r="I57" s="3" t="s">
        <v>664</v>
      </c>
      <c r="J57" t="str">
        <f t="shared" si="3"/>
        <v>Americas &gt; Brazil &gt; Brasília</v>
      </c>
      <c r="K57" s="3" t="s">
        <v>694</v>
      </c>
      <c r="L57" s="3" t="s">
        <v>700</v>
      </c>
      <c r="M57" s="3" t="s">
        <v>715</v>
      </c>
      <c r="N57" s="3" t="s">
        <v>724</v>
      </c>
      <c r="O57" s="3" t="s">
        <v>780</v>
      </c>
      <c r="P57" s="6">
        <v>855.78</v>
      </c>
      <c r="Q57" s="6">
        <v>977.38</v>
      </c>
      <c r="R57" s="6" t="str">
        <f t="shared" si="4"/>
        <v>Medium</v>
      </c>
      <c r="S57" s="6">
        <v>0.14699999999999999</v>
      </c>
      <c r="T57" s="6">
        <v>38</v>
      </c>
      <c r="U57">
        <f t="shared" si="5"/>
        <v>31680.795320000001</v>
      </c>
      <c r="V57">
        <f t="shared" si="10"/>
        <v>1363968.51911</v>
      </c>
      <c r="W57">
        <f t="shared" si="6"/>
        <v>32519.64</v>
      </c>
      <c r="X57" s="6">
        <f t="shared" si="7"/>
        <v>-838.84467999999833</v>
      </c>
      <c r="Y57">
        <f t="shared" si="8"/>
        <v>-2.6478018355506307E-2</v>
      </c>
      <c r="Z57">
        <v>202504</v>
      </c>
      <c r="AA57" s="18">
        <v>202301</v>
      </c>
      <c r="AB57" t="str">
        <v>Apr-2023</v>
      </c>
      <c r="AC57">
        <f t="shared" si="9"/>
        <v>27</v>
      </c>
      <c r="AD57" t="str">
        <f t="shared" si="11"/>
        <v>Late</v>
      </c>
      <c r="AE57">
        <f t="shared" si="12"/>
        <v>0</v>
      </c>
      <c r="AF57">
        <f t="shared" si="13"/>
        <v>0</v>
      </c>
    </row>
    <row r="58" spans="1:32" x14ac:dyDescent="0.25">
      <c r="A58" s="3" t="s">
        <v>63</v>
      </c>
      <c r="B58" s="4">
        <v>45697</v>
      </c>
      <c r="C58" s="4" t="str">
        <f t="shared" si="0"/>
        <v>Feb-2025</v>
      </c>
      <c r="D58" s="4" t="str">
        <f t="shared" si="1"/>
        <v>Q1</v>
      </c>
      <c r="E58" s="4">
        <v>45717</v>
      </c>
      <c r="F58" s="10">
        <f t="shared" si="2"/>
        <v>20</v>
      </c>
      <c r="G58" s="3" t="s">
        <v>640</v>
      </c>
      <c r="H58" s="3" t="s">
        <v>647</v>
      </c>
      <c r="I58" s="3" t="s">
        <v>662</v>
      </c>
      <c r="J58" t="str">
        <f t="shared" si="3"/>
        <v>Americas &gt; Brazil &gt; São Paulo</v>
      </c>
      <c r="K58" s="3" t="s">
        <v>693</v>
      </c>
      <c r="L58" s="3" t="s">
        <v>702</v>
      </c>
      <c r="M58" s="3" t="s">
        <v>709</v>
      </c>
      <c r="N58" s="3" t="s">
        <v>723</v>
      </c>
      <c r="O58" s="3" t="s">
        <v>781</v>
      </c>
      <c r="P58" s="6">
        <v>1154.6400000000001</v>
      </c>
      <c r="Q58" s="6">
        <v>2794.13</v>
      </c>
      <c r="R58" s="6" t="str">
        <f t="shared" si="4"/>
        <v>High</v>
      </c>
      <c r="S58" s="6">
        <v>3.5000000000000003E-2</v>
      </c>
      <c r="T58" s="6">
        <v>11</v>
      </c>
      <c r="U58">
        <f t="shared" si="5"/>
        <v>29659.68995</v>
      </c>
      <c r="V58">
        <f t="shared" si="10"/>
        <v>1363968.51911</v>
      </c>
      <c r="W58">
        <f t="shared" si="6"/>
        <v>12701.04</v>
      </c>
      <c r="X58" s="6">
        <f t="shared" si="7"/>
        <v>16958.649949999999</v>
      </c>
      <c r="Y58">
        <f t="shared" si="8"/>
        <v>0.57177435025749479</v>
      </c>
      <c r="Z58">
        <v>202502</v>
      </c>
      <c r="AA58" s="18">
        <v>202301</v>
      </c>
      <c r="AB58" t="str">
        <v>Feb-2023</v>
      </c>
      <c r="AC58">
        <f t="shared" si="9"/>
        <v>25</v>
      </c>
      <c r="AD58" t="str">
        <f t="shared" si="11"/>
        <v>Late</v>
      </c>
      <c r="AE58">
        <f t="shared" si="12"/>
        <v>0</v>
      </c>
      <c r="AF58">
        <f t="shared" si="13"/>
        <v>0</v>
      </c>
    </row>
    <row r="59" spans="1:32" x14ac:dyDescent="0.25">
      <c r="A59" s="3" t="s">
        <v>64</v>
      </c>
      <c r="B59" s="4">
        <v>45643</v>
      </c>
      <c r="C59" s="4" t="str">
        <f t="shared" si="0"/>
        <v>Dec-2024</v>
      </c>
      <c r="D59" s="4" t="str">
        <f t="shared" si="1"/>
        <v>Q4</v>
      </c>
      <c r="E59" s="4">
        <v>45644</v>
      </c>
      <c r="F59" s="10">
        <f t="shared" si="2"/>
        <v>1</v>
      </c>
      <c r="G59" s="3" t="s">
        <v>641</v>
      </c>
      <c r="H59" s="3" t="s">
        <v>648</v>
      </c>
      <c r="I59" s="3" t="s">
        <v>676</v>
      </c>
      <c r="J59" t="str">
        <f t="shared" si="3"/>
        <v>Europe &gt; Germany &gt; Munich</v>
      </c>
      <c r="K59" s="3" t="s">
        <v>694</v>
      </c>
      <c r="L59" s="3" t="s">
        <v>699</v>
      </c>
      <c r="M59" s="3" t="s">
        <v>708</v>
      </c>
      <c r="N59" s="3" t="s">
        <v>725</v>
      </c>
      <c r="O59" s="3" t="s">
        <v>782</v>
      </c>
      <c r="P59" s="6">
        <v>346.82</v>
      </c>
      <c r="Q59" s="6">
        <v>701.95</v>
      </c>
      <c r="R59" s="6" t="str">
        <f t="shared" si="4"/>
        <v>Low</v>
      </c>
      <c r="S59" s="6">
        <v>0.14699999999999999</v>
      </c>
      <c r="T59" s="6">
        <v>8</v>
      </c>
      <c r="U59">
        <f t="shared" si="5"/>
        <v>4790.1068000000005</v>
      </c>
      <c r="V59">
        <f t="shared" si="10"/>
        <v>1363968.51911</v>
      </c>
      <c r="W59">
        <f t="shared" si="6"/>
        <v>2774.56</v>
      </c>
      <c r="X59" s="6">
        <f t="shared" si="7"/>
        <v>2015.5468000000005</v>
      </c>
      <c r="Y59">
        <f t="shared" si="8"/>
        <v>0.42077283120284509</v>
      </c>
      <c r="Z59">
        <v>202412</v>
      </c>
      <c r="AA59" s="18">
        <v>202301</v>
      </c>
      <c r="AB59" t="str">
        <v>Dec-2023</v>
      </c>
      <c r="AC59">
        <f t="shared" si="9"/>
        <v>23</v>
      </c>
      <c r="AD59" t="str">
        <f t="shared" si="11"/>
        <v>On Time</v>
      </c>
      <c r="AE59">
        <f t="shared" si="12"/>
        <v>1</v>
      </c>
      <c r="AF59">
        <f t="shared" si="13"/>
        <v>0</v>
      </c>
    </row>
    <row r="60" spans="1:32" x14ac:dyDescent="0.25">
      <c r="A60" s="3" t="s">
        <v>65</v>
      </c>
      <c r="B60" s="4">
        <v>45817</v>
      </c>
      <c r="C60" s="4" t="str">
        <f t="shared" si="0"/>
        <v>Jun-2025</v>
      </c>
      <c r="D60" s="4" t="str">
        <f t="shared" si="1"/>
        <v>Q2</v>
      </c>
      <c r="E60" s="4">
        <v>45826</v>
      </c>
      <c r="F60" s="10">
        <f t="shared" si="2"/>
        <v>9</v>
      </c>
      <c r="G60" s="3" t="s">
        <v>641</v>
      </c>
      <c r="H60" s="3" t="s">
        <v>649</v>
      </c>
      <c r="I60" s="3" t="s">
        <v>665</v>
      </c>
      <c r="J60" t="str">
        <f t="shared" si="3"/>
        <v>Europe &gt; France &gt; Marseille</v>
      </c>
      <c r="K60" s="3" t="s">
        <v>697</v>
      </c>
      <c r="L60" s="3" t="s">
        <v>701</v>
      </c>
      <c r="M60" s="3" t="s">
        <v>714</v>
      </c>
      <c r="N60" s="3" t="s">
        <v>725</v>
      </c>
      <c r="O60" s="3" t="s">
        <v>783</v>
      </c>
      <c r="P60" s="6">
        <v>1225.5</v>
      </c>
      <c r="Q60" s="6">
        <v>5.27</v>
      </c>
      <c r="R60" s="6" t="str">
        <f t="shared" si="4"/>
        <v>High</v>
      </c>
      <c r="S60" s="6">
        <v>7.4999999999999997E-2</v>
      </c>
      <c r="T60" s="6">
        <v>56</v>
      </c>
      <c r="U60">
        <f t="shared" si="5"/>
        <v>272.98599999999999</v>
      </c>
      <c r="V60">
        <f t="shared" si="10"/>
        <v>1363968.51911</v>
      </c>
      <c r="W60">
        <f t="shared" si="6"/>
        <v>68628</v>
      </c>
      <c r="X60" s="6">
        <f t="shared" si="7"/>
        <v>-68355.013999999996</v>
      </c>
      <c r="Y60">
        <f t="shared" si="8"/>
        <v>-250.39750756449047</v>
      </c>
      <c r="Z60">
        <v>202506</v>
      </c>
      <c r="AA60" s="18">
        <v>202301</v>
      </c>
      <c r="AB60" t="str">
        <v>Jun-2023</v>
      </c>
      <c r="AC60">
        <f t="shared" si="9"/>
        <v>29</v>
      </c>
      <c r="AD60" t="str">
        <f t="shared" si="11"/>
        <v>Late</v>
      </c>
      <c r="AE60">
        <f t="shared" si="12"/>
        <v>0</v>
      </c>
      <c r="AF60">
        <f t="shared" si="13"/>
        <v>0</v>
      </c>
    </row>
    <row r="61" spans="1:32" x14ac:dyDescent="0.25">
      <c r="A61" s="3" t="s">
        <v>66</v>
      </c>
      <c r="B61" s="4">
        <v>45779</v>
      </c>
      <c r="C61" s="4" t="str">
        <f t="shared" si="0"/>
        <v>May-2025</v>
      </c>
      <c r="D61" s="4" t="str">
        <f t="shared" si="1"/>
        <v>Q2</v>
      </c>
      <c r="E61" s="4">
        <v>45790</v>
      </c>
      <c r="F61" s="10">
        <f t="shared" si="2"/>
        <v>11</v>
      </c>
      <c r="G61" s="3" t="s">
        <v>638</v>
      </c>
      <c r="H61" s="3" t="s">
        <v>642</v>
      </c>
      <c r="I61" s="3" t="s">
        <v>670</v>
      </c>
      <c r="J61" t="str">
        <f t="shared" si="3"/>
        <v>Africa &gt; Kenya &gt; Nakuru</v>
      </c>
      <c r="K61" s="3" t="s">
        <v>697</v>
      </c>
      <c r="L61" s="3" t="s">
        <v>700</v>
      </c>
      <c r="M61" s="3" t="s">
        <v>712</v>
      </c>
      <c r="N61" s="3" t="s">
        <v>725</v>
      </c>
      <c r="O61" s="3" t="s">
        <v>784</v>
      </c>
      <c r="P61" s="6">
        <v>1057.5999999999999</v>
      </c>
      <c r="Q61" s="6">
        <v>1437.06</v>
      </c>
      <c r="R61" s="6" t="str">
        <f t="shared" si="4"/>
        <v>High</v>
      </c>
      <c r="S61" s="6">
        <v>0.20499999999999999</v>
      </c>
      <c r="T61" s="6">
        <v>4</v>
      </c>
      <c r="U61">
        <f t="shared" si="5"/>
        <v>4569.8508000000002</v>
      </c>
      <c r="V61">
        <f t="shared" si="10"/>
        <v>1363968.51911</v>
      </c>
      <c r="W61">
        <f t="shared" si="6"/>
        <v>4230.3999999999996</v>
      </c>
      <c r="X61" s="6">
        <f t="shared" si="7"/>
        <v>339.45080000000053</v>
      </c>
      <c r="Y61">
        <f t="shared" si="8"/>
        <v>7.4280499485891424E-2</v>
      </c>
      <c r="Z61">
        <v>202505</v>
      </c>
      <c r="AA61" s="18">
        <v>202301</v>
      </c>
      <c r="AB61" t="str">
        <v>May-2023</v>
      </c>
      <c r="AC61">
        <f t="shared" si="9"/>
        <v>28</v>
      </c>
      <c r="AD61" t="str">
        <f t="shared" si="11"/>
        <v>Late</v>
      </c>
      <c r="AE61">
        <f t="shared" si="12"/>
        <v>0</v>
      </c>
      <c r="AF61">
        <f t="shared" si="13"/>
        <v>1</v>
      </c>
    </row>
    <row r="62" spans="1:32" x14ac:dyDescent="0.25">
      <c r="A62" s="3" t="s">
        <v>67</v>
      </c>
      <c r="B62" s="4">
        <v>45361</v>
      </c>
      <c r="C62" s="4" t="str">
        <f t="shared" si="0"/>
        <v>Mar-2024</v>
      </c>
      <c r="D62" s="4" t="str">
        <f t="shared" si="1"/>
        <v>Q1</v>
      </c>
      <c r="E62" s="4">
        <v>45391</v>
      </c>
      <c r="F62" s="10">
        <f t="shared" si="2"/>
        <v>30</v>
      </c>
      <c r="G62" s="3" t="s">
        <v>641</v>
      </c>
      <c r="H62" s="3" t="s">
        <v>649</v>
      </c>
      <c r="I62" s="3" t="s">
        <v>671</v>
      </c>
      <c r="J62" t="str">
        <f t="shared" si="3"/>
        <v>Europe &gt; France &gt; Lyon</v>
      </c>
      <c r="K62" s="3" t="s">
        <v>693</v>
      </c>
      <c r="L62" s="3" t="s">
        <v>703</v>
      </c>
      <c r="M62" s="3" t="s">
        <v>706</v>
      </c>
      <c r="N62" s="3" t="s">
        <v>719</v>
      </c>
      <c r="O62" s="3" t="s">
        <v>785</v>
      </c>
      <c r="P62" s="6">
        <v>1176.56</v>
      </c>
      <c r="Q62" s="6">
        <v>1911.89</v>
      </c>
      <c r="R62" s="6" t="str">
        <f t="shared" si="4"/>
        <v>High</v>
      </c>
      <c r="S62" s="6">
        <v>0.11899999999999999</v>
      </c>
      <c r="T62" s="6">
        <v>20</v>
      </c>
      <c r="U62">
        <f t="shared" si="5"/>
        <v>33687.501800000005</v>
      </c>
      <c r="V62">
        <f t="shared" si="10"/>
        <v>1363968.51911</v>
      </c>
      <c r="W62">
        <f t="shared" si="6"/>
        <v>23531.199999999997</v>
      </c>
      <c r="X62" s="6">
        <f t="shared" si="7"/>
        <v>10156.301800000008</v>
      </c>
      <c r="Y62">
        <f t="shared" si="8"/>
        <v>0.30148575160892477</v>
      </c>
      <c r="Z62">
        <v>202403</v>
      </c>
      <c r="AA62" s="18">
        <v>202301</v>
      </c>
      <c r="AB62" t="str">
        <v>Mar-2023</v>
      </c>
      <c r="AC62">
        <f t="shared" si="9"/>
        <v>14</v>
      </c>
      <c r="AD62" t="str">
        <f t="shared" si="11"/>
        <v>Late</v>
      </c>
      <c r="AE62">
        <f t="shared" si="12"/>
        <v>0</v>
      </c>
      <c r="AF62">
        <f t="shared" si="13"/>
        <v>0</v>
      </c>
    </row>
    <row r="63" spans="1:32" x14ac:dyDescent="0.25">
      <c r="A63" s="3" t="s">
        <v>68</v>
      </c>
      <c r="B63" s="4">
        <v>45910</v>
      </c>
      <c r="C63" s="4" t="str">
        <f t="shared" si="0"/>
        <v>Sept-2025</v>
      </c>
      <c r="D63" s="4" t="str">
        <f t="shared" si="1"/>
        <v>Q3</v>
      </c>
      <c r="E63" s="4">
        <v>45912</v>
      </c>
      <c r="F63" s="10">
        <f t="shared" si="2"/>
        <v>2</v>
      </c>
      <c r="G63" s="3" t="s">
        <v>639</v>
      </c>
      <c r="H63" s="3" t="s">
        <v>644</v>
      </c>
      <c r="I63" s="3" t="s">
        <v>681</v>
      </c>
      <c r="J63" t="str">
        <f t="shared" si="3"/>
        <v>Asia &gt; Japan &gt; Tokyo</v>
      </c>
      <c r="K63" s="3" t="s">
        <v>696</v>
      </c>
      <c r="L63" s="3" t="s">
        <v>700</v>
      </c>
      <c r="M63" s="3" t="s">
        <v>711</v>
      </c>
      <c r="N63" s="3" t="s">
        <v>719</v>
      </c>
      <c r="O63" s="3" t="s">
        <v>786</v>
      </c>
      <c r="P63" s="6">
        <v>1470.15</v>
      </c>
      <c r="Q63" s="6">
        <v>2593.7800000000002</v>
      </c>
      <c r="R63" s="6" t="str">
        <f t="shared" si="4"/>
        <v>High</v>
      </c>
      <c r="S63" s="6">
        <v>0.11</v>
      </c>
      <c r="T63" s="6">
        <v>12</v>
      </c>
      <c r="U63">
        <f t="shared" si="5"/>
        <v>27701.570400000001</v>
      </c>
      <c r="V63">
        <f t="shared" si="10"/>
        <v>1330281.0173099998</v>
      </c>
      <c r="W63">
        <f t="shared" si="6"/>
        <v>17641.800000000003</v>
      </c>
      <c r="X63" s="6">
        <f t="shared" si="7"/>
        <v>10059.770399999998</v>
      </c>
      <c r="Y63">
        <f t="shared" si="8"/>
        <v>0.36314801849645306</v>
      </c>
      <c r="Z63">
        <v>202509</v>
      </c>
      <c r="AA63" s="18">
        <v>202303</v>
      </c>
      <c r="AB63" t="str">
        <v>Sept-2023</v>
      </c>
      <c r="AC63">
        <f t="shared" si="9"/>
        <v>30</v>
      </c>
      <c r="AD63" t="str">
        <f t="shared" si="11"/>
        <v>On Time</v>
      </c>
      <c r="AE63">
        <f t="shared" si="12"/>
        <v>1</v>
      </c>
      <c r="AF63">
        <f t="shared" si="13"/>
        <v>0</v>
      </c>
    </row>
    <row r="64" spans="1:32" x14ac:dyDescent="0.25">
      <c r="A64" s="3" t="s">
        <v>69</v>
      </c>
      <c r="B64" s="4">
        <v>45774</v>
      </c>
      <c r="C64" s="4" t="str">
        <f t="shared" si="0"/>
        <v>Apr-2025</v>
      </c>
      <c r="D64" s="4" t="str">
        <f t="shared" si="1"/>
        <v>Q2</v>
      </c>
      <c r="E64" s="4">
        <v>45802</v>
      </c>
      <c r="F64" s="10">
        <f t="shared" si="2"/>
        <v>28</v>
      </c>
      <c r="G64" s="3" t="s">
        <v>641</v>
      </c>
      <c r="H64" s="3" t="s">
        <v>649</v>
      </c>
      <c r="I64" s="3" t="s">
        <v>682</v>
      </c>
      <c r="J64" t="str">
        <f t="shared" si="3"/>
        <v>Europe &gt; France &gt; Paris</v>
      </c>
      <c r="K64" s="3" t="s">
        <v>697</v>
      </c>
      <c r="L64" s="3" t="s">
        <v>701</v>
      </c>
      <c r="M64" s="3" t="s">
        <v>706</v>
      </c>
      <c r="N64" s="3" t="s">
        <v>722</v>
      </c>
      <c r="O64" s="3" t="s">
        <v>787</v>
      </c>
      <c r="P64" s="6">
        <v>603.45000000000005</v>
      </c>
      <c r="Q64" s="6">
        <v>1244.08</v>
      </c>
      <c r="R64" s="6" t="str">
        <f t="shared" si="4"/>
        <v>Medium</v>
      </c>
      <c r="S64" s="6">
        <v>0.2</v>
      </c>
      <c r="T64" s="6">
        <v>11</v>
      </c>
      <c r="U64">
        <f t="shared" si="5"/>
        <v>10947.904</v>
      </c>
      <c r="V64">
        <f t="shared" si="10"/>
        <v>1302579.4469099999</v>
      </c>
      <c r="W64">
        <f t="shared" si="6"/>
        <v>6637.9500000000007</v>
      </c>
      <c r="X64" s="6">
        <f t="shared" si="7"/>
        <v>4309.9539999999997</v>
      </c>
      <c r="Y64">
        <f t="shared" si="8"/>
        <v>0.39367846119220623</v>
      </c>
      <c r="Z64">
        <v>202504</v>
      </c>
      <c r="AA64" s="18">
        <v>202301</v>
      </c>
      <c r="AB64" t="str">
        <v>Apr-2023</v>
      </c>
      <c r="AC64">
        <f t="shared" si="9"/>
        <v>27</v>
      </c>
      <c r="AD64" t="str">
        <f t="shared" si="11"/>
        <v>Late</v>
      </c>
      <c r="AE64">
        <f t="shared" si="12"/>
        <v>0</v>
      </c>
      <c r="AF64">
        <f t="shared" si="13"/>
        <v>0</v>
      </c>
    </row>
    <row r="65" spans="1:32" x14ac:dyDescent="0.25">
      <c r="A65" s="3" t="s">
        <v>70</v>
      </c>
      <c r="B65" s="4">
        <v>45598</v>
      </c>
      <c r="C65" s="4" t="str">
        <f t="shared" si="0"/>
        <v>Nov-2024</v>
      </c>
      <c r="D65" s="4" t="str">
        <f t="shared" si="1"/>
        <v>Q4</v>
      </c>
      <c r="E65" s="4">
        <v>45614</v>
      </c>
      <c r="F65" s="10">
        <f t="shared" si="2"/>
        <v>16</v>
      </c>
      <c r="G65" s="3" t="s">
        <v>639</v>
      </c>
      <c r="H65" s="3" t="s">
        <v>646</v>
      </c>
      <c r="I65" s="3" t="s">
        <v>683</v>
      </c>
      <c r="J65" t="str">
        <f t="shared" si="3"/>
        <v>Asia &gt; India &gt; Mumbai</v>
      </c>
      <c r="K65" s="3" t="s">
        <v>697</v>
      </c>
      <c r="L65" s="3" t="s">
        <v>702</v>
      </c>
      <c r="M65" s="3" t="s">
        <v>711</v>
      </c>
      <c r="N65" s="3" t="s">
        <v>724</v>
      </c>
      <c r="O65" s="3" t="s">
        <v>788</v>
      </c>
      <c r="P65" s="6">
        <v>1233.58</v>
      </c>
      <c r="Q65" s="6">
        <v>1912.51</v>
      </c>
      <c r="R65" s="6" t="str">
        <f t="shared" si="4"/>
        <v>High</v>
      </c>
      <c r="S65" s="6">
        <v>0.255</v>
      </c>
      <c r="T65" s="6">
        <v>51</v>
      </c>
      <c r="U65">
        <f t="shared" si="5"/>
        <v>72665.817450000002</v>
      </c>
      <c r="V65">
        <f t="shared" si="10"/>
        <v>1302579.4469099999</v>
      </c>
      <c r="W65">
        <f t="shared" si="6"/>
        <v>62912.579999999994</v>
      </c>
      <c r="X65" s="6">
        <f t="shared" si="7"/>
        <v>9753.2374500000078</v>
      </c>
      <c r="Y65">
        <f t="shared" si="8"/>
        <v>0.134220432553601</v>
      </c>
      <c r="Z65">
        <v>202411</v>
      </c>
      <c r="AA65" s="18">
        <v>202301</v>
      </c>
      <c r="AB65" t="str">
        <v>Nov-2023</v>
      </c>
      <c r="AC65">
        <f t="shared" si="9"/>
        <v>22</v>
      </c>
      <c r="AD65" t="str">
        <f t="shared" si="11"/>
        <v>Late</v>
      </c>
      <c r="AE65">
        <f t="shared" si="12"/>
        <v>0</v>
      </c>
      <c r="AF65">
        <f t="shared" si="13"/>
        <v>1</v>
      </c>
    </row>
    <row r="66" spans="1:32" x14ac:dyDescent="0.25">
      <c r="A66" s="3" t="s">
        <v>71</v>
      </c>
      <c r="B66" s="4">
        <v>44972</v>
      </c>
      <c r="C66" s="4" t="str">
        <f t="shared" ref="C66:C129" si="14">TEXT(B66,"MMM-YYYY")</f>
        <v>Feb-2023</v>
      </c>
      <c r="D66" s="4" t="str">
        <f t="shared" ref="D66:D129" si="15">IF(MONTH(B66)&lt;=3,"Q1",IF(MONTH(B66)&lt;=6,"Q2",IF(MONTH(B66)&lt;=9,"Q3","Q4")))</f>
        <v>Q1</v>
      </c>
      <c r="E66" s="4">
        <v>44983</v>
      </c>
      <c r="F66" s="10">
        <f t="shared" ref="F66:F129" si="16">ABS(E66-B66)</f>
        <v>11</v>
      </c>
      <c r="G66" s="3" t="s">
        <v>638</v>
      </c>
      <c r="H66" s="3" t="s">
        <v>653</v>
      </c>
      <c r="I66" s="3" t="s">
        <v>674</v>
      </c>
      <c r="J66" t="str">
        <f t="shared" ref="J66:J129" si="17">G66 &amp; " &gt; " &amp; H66 &amp; " &gt; " &amp; I66</f>
        <v>Africa &gt; South Africa &gt; Johannesburg</v>
      </c>
      <c r="K66" s="3" t="s">
        <v>695</v>
      </c>
      <c r="L66" s="3" t="s">
        <v>699</v>
      </c>
      <c r="M66" s="3" t="s">
        <v>715</v>
      </c>
      <c r="N66" s="3" t="s">
        <v>723</v>
      </c>
      <c r="O66" s="3" t="s">
        <v>789</v>
      </c>
      <c r="P66" s="6">
        <v>498.5</v>
      </c>
      <c r="Q66" s="6">
        <v>755.87</v>
      </c>
      <c r="R66" s="6" t="str">
        <f t="shared" ref="R66:R129" si="18">IF(P66&lt;=500,"Low",IF(P66&lt;=1000,"Medium","High"))</f>
        <v>Low</v>
      </c>
      <c r="S66" s="6">
        <v>0.13</v>
      </c>
      <c r="T66" s="6">
        <v>40</v>
      </c>
      <c r="U66">
        <f t="shared" ref="U66:U129" si="19">(Q66*T66*(1-S66))</f>
        <v>26304.275999999998</v>
      </c>
      <c r="V66">
        <f t="shared" si="10"/>
        <v>1302579.4469099999</v>
      </c>
      <c r="W66">
        <f t="shared" ref="W66:W129" si="20">(P66*T66)</f>
        <v>19940</v>
      </c>
      <c r="X66" s="6">
        <f t="shared" ref="X66:X129" si="21">(U66-W66)</f>
        <v>6364.275999999998</v>
      </c>
      <c r="Y66">
        <f t="shared" ref="Y66:Y129" si="22">IF(U66=0,0,X66/U66)</f>
        <v>0.24194834330357537</v>
      </c>
      <c r="Z66">
        <v>202302</v>
      </c>
      <c r="AA66" s="18">
        <v>202301</v>
      </c>
      <c r="AB66" t="str">
        <v>Feb-2023</v>
      </c>
      <c r="AC66">
        <f t="shared" ref="AC66:AC129" si="23">DATEDIF(DATE(LEFT(AA66,4),RIGHT(AA66,2),1),B66,"M")</f>
        <v>1</v>
      </c>
      <c r="AD66" t="str">
        <f t="shared" si="11"/>
        <v>Late</v>
      </c>
      <c r="AE66">
        <f t="shared" si="12"/>
        <v>0</v>
      </c>
      <c r="AF66">
        <f t="shared" si="13"/>
        <v>0</v>
      </c>
    </row>
    <row r="67" spans="1:32" x14ac:dyDescent="0.25">
      <c r="A67" s="3" t="s">
        <v>72</v>
      </c>
      <c r="B67" s="4">
        <v>45263</v>
      </c>
      <c r="C67" s="4" t="str">
        <f t="shared" si="14"/>
        <v>Dec-2023</v>
      </c>
      <c r="D67" s="4" t="str">
        <f t="shared" si="15"/>
        <v>Q4</v>
      </c>
      <c r="E67" s="4">
        <v>45286</v>
      </c>
      <c r="F67" s="10">
        <f t="shared" si="16"/>
        <v>23</v>
      </c>
      <c r="G67" s="3" t="s">
        <v>640</v>
      </c>
      <c r="H67" s="3" t="s">
        <v>647</v>
      </c>
      <c r="I67" s="3" t="s">
        <v>684</v>
      </c>
      <c r="J67" t="str">
        <f t="shared" si="17"/>
        <v>Americas &gt; Brazil &gt; Rio de Janeiro</v>
      </c>
      <c r="K67" s="3" t="s">
        <v>694</v>
      </c>
      <c r="L67" s="3" t="s">
        <v>699</v>
      </c>
      <c r="M67" s="3" t="s">
        <v>711</v>
      </c>
      <c r="N67" s="3" t="s">
        <v>722</v>
      </c>
      <c r="O67" s="3" t="s">
        <v>790</v>
      </c>
      <c r="P67" s="6">
        <v>1303.1099999999999</v>
      </c>
      <c r="Q67" s="6">
        <v>1145.67</v>
      </c>
      <c r="R67" s="6" t="str">
        <f t="shared" si="18"/>
        <v>High</v>
      </c>
      <c r="S67" s="6">
        <v>0.184</v>
      </c>
      <c r="T67" s="6">
        <v>13</v>
      </c>
      <c r="U67">
        <f t="shared" si="19"/>
        <v>12153.267360000002</v>
      </c>
      <c r="V67">
        <f t="shared" ref="V67:V130" si="24">SUMIFS(U67:U698,N67:N698,"Components")</f>
        <v>1302579.4469099999</v>
      </c>
      <c r="W67">
        <f t="shared" si="20"/>
        <v>16940.43</v>
      </c>
      <c r="X67" s="6">
        <f t="shared" si="21"/>
        <v>-4787.1626399999986</v>
      </c>
      <c r="Y67">
        <f t="shared" si="22"/>
        <v>-0.39389922875851208</v>
      </c>
      <c r="Z67">
        <v>202312</v>
      </c>
      <c r="AA67" s="18">
        <v>202301</v>
      </c>
      <c r="AB67" t="str">
        <v>Dec-2023</v>
      </c>
      <c r="AC67">
        <f t="shared" si="23"/>
        <v>11</v>
      </c>
      <c r="AD67" t="str">
        <f t="shared" ref="AD67:AD130" si="25">IF(F67&lt;=7,"On Time","Late")</f>
        <v>Late</v>
      </c>
      <c r="AE67">
        <f t="shared" ref="AE67:AE130" si="26">IF(F67&lt;=7,1,0)</f>
        <v>0</v>
      </c>
      <c r="AF67">
        <f t="shared" ref="AF67:AF130" si="27">IF(S67&gt;0.2,1,0)</f>
        <v>0</v>
      </c>
    </row>
    <row r="68" spans="1:32" x14ac:dyDescent="0.25">
      <c r="A68" s="3" t="s">
        <v>73</v>
      </c>
      <c r="B68" s="4">
        <v>45004</v>
      </c>
      <c r="C68" s="4" t="str">
        <f t="shared" si="14"/>
        <v>Mar-2023</v>
      </c>
      <c r="D68" s="4" t="str">
        <f t="shared" si="15"/>
        <v>Q1</v>
      </c>
      <c r="E68" s="4">
        <v>45025</v>
      </c>
      <c r="F68" s="10">
        <f t="shared" si="16"/>
        <v>21</v>
      </c>
      <c r="G68" s="3" t="s">
        <v>641</v>
      </c>
      <c r="H68" s="3" t="s">
        <v>650</v>
      </c>
      <c r="I68" s="3" t="s">
        <v>685</v>
      </c>
      <c r="J68" t="str">
        <f t="shared" si="17"/>
        <v>Europe &gt; United Kingdom &gt; Manchester</v>
      </c>
      <c r="K68" s="3" t="s">
        <v>696</v>
      </c>
      <c r="L68" s="3" t="s">
        <v>699</v>
      </c>
      <c r="M68" s="3" t="s">
        <v>708</v>
      </c>
      <c r="N68" s="3" t="s">
        <v>725</v>
      </c>
      <c r="O68" s="3" t="s">
        <v>791</v>
      </c>
      <c r="P68" s="6">
        <v>1082.17</v>
      </c>
      <c r="Q68" s="6">
        <v>1234.0999999999999</v>
      </c>
      <c r="R68" s="6" t="str">
        <f t="shared" si="18"/>
        <v>High</v>
      </c>
      <c r="S68" s="6">
        <v>0.189</v>
      </c>
      <c r="T68" s="6">
        <v>16</v>
      </c>
      <c r="U68">
        <f t="shared" si="19"/>
        <v>16013.681599999998</v>
      </c>
      <c r="V68">
        <f t="shared" si="24"/>
        <v>1302579.4469099999</v>
      </c>
      <c r="W68">
        <f t="shared" si="20"/>
        <v>17314.72</v>
      </c>
      <c r="X68" s="6">
        <f t="shared" si="21"/>
        <v>-1301.0384000000031</v>
      </c>
      <c r="Y68">
        <f t="shared" si="22"/>
        <v>-8.124542703534228E-2</v>
      </c>
      <c r="Z68">
        <v>202303</v>
      </c>
      <c r="AA68" s="18">
        <v>202301</v>
      </c>
      <c r="AB68" t="str">
        <v>Mar-2023</v>
      </c>
      <c r="AC68">
        <f t="shared" si="23"/>
        <v>2</v>
      </c>
      <c r="AD68" t="str">
        <f t="shared" si="25"/>
        <v>Late</v>
      </c>
      <c r="AE68">
        <f t="shared" si="26"/>
        <v>0</v>
      </c>
      <c r="AF68">
        <f t="shared" si="27"/>
        <v>0</v>
      </c>
    </row>
    <row r="69" spans="1:32" x14ac:dyDescent="0.25">
      <c r="A69" s="3" t="s">
        <v>74</v>
      </c>
      <c r="B69" s="4">
        <v>45434</v>
      </c>
      <c r="C69" s="4" t="str">
        <f t="shared" si="14"/>
        <v>May-2024</v>
      </c>
      <c r="D69" s="4" t="str">
        <f t="shared" si="15"/>
        <v>Q2</v>
      </c>
      <c r="E69" s="4">
        <v>45449</v>
      </c>
      <c r="F69" s="10">
        <f t="shared" si="16"/>
        <v>15</v>
      </c>
      <c r="G69" s="3" t="s">
        <v>639</v>
      </c>
      <c r="H69" s="3" t="s">
        <v>644</v>
      </c>
      <c r="I69" s="3" t="s">
        <v>686</v>
      </c>
      <c r="J69" t="str">
        <f t="shared" si="17"/>
        <v>Asia &gt; Japan &gt; Nagoya</v>
      </c>
      <c r="K69" s="3" t="s">
        <v>693</v>
      </c>
      <c r="L69" s="3" t="s">
        <v>702</v>
      </c>
      <c r="M69" s="3" t="s">
        <v>704</v>
      </c>
      <c r="N69" s="3" t="s">
        <v>724</v>
      </c>
      <c r="O69" s="3" t="s">
        <v>792</v>
      </c>
      <c r="P69" s="6">
        <v>673.88</v>
      </c>
      <c r="Q69" s="6">
        <v>1228.01</v>
      </c>
      <c r="R69" s="6" t="str">
        <f t="shared" si="18"/>
        <v>Medium</v>
      </c>
      <c r="S69" s="6">
        <v>0.105</v>
      </c>
      <c r="T69" s="6">
        <v>13</v>
      </c>
      <c r="U69">
        <f t="shared" si="19"/>
        <v>14287.896349999999</v>
      </c>
      <c r="V69">
        <f t="shared" si="24"/>
        <v>1302579.4469099999</v>
      </c>
      <c r="W69">
        <f t="shared" si="20"/>
        <v>8760.44</v>
      </c>
      <c r="X69" s="6">
        <f t="shared" si="21"/>
        <v>5527.4563499999986</v>
      </c>
      <c r="Y69">
        <f t="shared" si="22"/>
        <v>0.38686285332689996</v>
      </c>
      <c r="Z69">
        <v>202405</v>
      </c>
      <c r="AA69" s="18">
        <v>202303</v>
      </c>
      <c r="AB69" t="str">
        <v>May-2023</v>
      </c>
      <c r="AC69">
        <f t="shared" si="23"/>
        <v>14</v>
      </c>
      <c r="AD69" t="str">
        <f t="shared" si="25"/>
        <v>Late</v>
      </c>
      <c r="AE69">
        <f t="shared" si="26"/>
        <v>0</v>
      </c>
      <c r="AF69">
        <f t="shared" si="27"/>
        <v>0</v>
      </c>
    </row>
    <row r="70" spans="1:32" x14ac:dyDescent="0.25">
      <c r="A70" s="3" t="s">
        <v>75</v>
      </c>
      <c r="B70" s="4">
        <v>45157</v>
      </c>
      <c r="C70" s="4" t="str">
        <f t="shared" si="14"/>
        <v>Aug-2023</v>
      </c>
      <c r="D70" s="4" t="str">
        <f t="shared" si="15"/>
        <v>Q3</v>
      </c>
      <c r="E70" s="4">
        <v>45176</v>
      </c>
      <c r="F70" s="10">
        <f t="shared" si="16"/>
        <v>19</v>
      </c>
      <c r="G70" s="3" t="s">
        <v>638</v>
      </c>
      <c r="H70" s="3" t="s">
        <v>653</v>
      </c>
      <c r="I70" s="3" t="s">
        <v>674</v>
      </c>
      <c r="J70" t="str">
        <f t="shared" si="17"/>
        <v>Africa &gt; South Africa &gt; Johannesburg</v>
      </c>
      <c r="K70" s="3" t="s">
        <v>698</v>
      </c>
      <c r="L70" s="3" t="s">
        <v>699</v>
      </c>
      <c r="M70" s="3" t="s">
        <v>718</v>
      </c>
      <c r="N70" s="3" t="s">
        <v>724</v>
      </c>
      <c r="O70" s="3" t="s">
        <v>793</v>
      </c>
      <c r="P70" s="6">
        <v>494.61</v>
      </c>
      <c r="Q70" s="6">
        <v>605.23</v>
      </c>
      <c r="R70" s="6" t="str">
        <f t="shared" si="18"/>
        <v>Low</v>
      </c>
      <c r="S70" s="6">
        <v>0.20399999999999999</v>
      </c>
      <c r="T70" s="6">
        <v>18</v>
      </c>
      <c r="U70">
        <f t="shared" si="19"/>
        <v>8671.7354400000004</v>
      </c>
      <c r="V70">
        <f t="shared" si="24"/>
        <v>1302579.4469099999</v>
      </c>
      <c r="W70">
        <f t="shared" si="20"/>
        <v>8902.98</v>
      </c>
      <c r="X70" s="6">
        <f t="shared" si="21"/>
        <v>-231.24455999999918</v>
      </c>
      <c r="Y70">
        <f t="shared" si="22"/>
        <v>-2.6666468505639647E-2</v>
      </c>
      <c r="Z70">
        <v>202308</v>
      </c>
      <c r="AA70" s="18">
        <v>202301</v>
      </c>
      <c r="AB70" t="str">
        <v>Aug-2023</v>
      </c>
      <c r="AC70">
        <f t="shared" si="23"/>
        <v>7</v>
      </c>
      <c r="AD70" t="str">
        <f t="shared" si="25"/>
        <v>Late</v>
      </c>
      <c r="AE70">
        <f t="shared" si="26"/>
        <v>0</v>
      </c>
      <c r="AF70">
        <f t="shared" si="27"/>
        <v>1</v>
      </c>
    </row>
    <row r="71" spans="1:32" x14ac:dyDescent="0.25">
      <c r="A71" s="3" t="s">
        <v>76</v>
      </c>
      <c r="B71" s="4">
        <v>45037</v>
      </c>
      <c r="C71" s="4" t="str">
        <f t="shared" si="14"/>
        <v>Apr-2023</v>
      </c>
      <c r="D71" s="4" t="str">
        <f t="shared" si="15"/>
        <v>Q2</v>
      </c>
      <c r="E71" s="4">
        <v>45056</v>
      </c>
      <c r="F71" s="10">
        <f t="shared" si="16"/>
        <v>19</v>
      </c>
      <c r="G71" s="3" t="s">
        <v>639</v>
      </c>
      <c r="H71" s="3" t="s">
        <v>651</v>
      </c>
      <c r="I71" s="3" t="s">
        <v>677</v>
      </c>
      <c r="J71" t="str">
        <f t="shared" si="17"/>
        <v>Asia &gt; China &gt; Shanghai</v>
      </c>
      <c r="K71" s="3" t="s">
        <v>693</v>
      </c>
      <c r="L71" s="3" t="s">
        <v>699</v>
      </c>
      <c r="M71" s="3" t="s">
        <v>712</v>
      </c>
      <c r="N71" s="3" t="s">
        <v>719</v>
      </c>
      <c r="O71" s="3" t="s">
        <v>794</v>
      </c>
      <c r="P71" s="6">
        <v>882.33</v>
      </c>
      <c r="Q71" s="6">
        <v>1880.15</v>
      </c>
      <c r="R71" s="6" t="str">
        <f t="shared" si="18"/>
        <v>Medium</v>
      </c>
      <c r="S71" s="6">
        <v>0.05</v>
      </c>
      <c r="T71" s="6">
        <v>5</v>
      </c>
      <c r="U71">
        <f t="shared" si="19"/>
        <v>8930.7124999999996</v>
      </c>
      <c r="V71">
        <f t="shared" si="24"/>
        <v>1302579.4469099999</v>
      </c>
      <c r="W71">
        <f t="shared" si="20"/>
        <v>4411.6500000000005</v>
      </c>
      <c r="X71" s="6">
        <f t="shared" si="21"/>
        <v>4519.0624999999991</v>
      </c>
      <c r="Y71">
        <f t="shared" si="22"/>
        <v>0.50601365792482955</v>
      </c>
      <c r="Z71">
        <v>202304</v>
      </c>
      <c r="AA71" s="18">
        <v>202301</v>
      </c>
      <c r="AB71" t="str">
        <v>Apr-2023</v>
      </c>
      <c r="AC71">
        <f t="shared" si="23"/>
        <v>3</v>
      </c>
      <c r="AD71" t="str">
        <f t="shared" si="25"/>
        <v>Late</v>
      </c>
      <c r="AE71">
        <f t="shared" si="26"/>
        <v>0</v>
      </c>
      <c r="AF71">
        <f t="shared" si="27"/>
        <v>0</v>
      </c>
    </row>
    <row r="72" spans="1:32" x14ac:dyDescent="0.25">
      <c r="A72" s="3" t="s">
        <v>77</v>
      </c>
      <c r="B72" s="4">
        <v>45369</v>
      </c>
      <c r="C72" s="4" t="str">
        <f t="shared" si="14"/>
        <v>Mar-2024</v>
      </c>
      <c r="D72" s="4" t="str">
        <f t="shared" si="15"/>
        <v>Q1</v>
      </c>
      <c r="E72" s="4">
        <v>45372</v>
      </c>
      <c r="F72" s="10">
        <f t="shared" si="16"/>
        <v>3</v>
      </c>
      <c r="G72" s="3" t="s">
        <v>641</v>
      </c>
      <c r="H72" s="3" t="s">
        <v>648</v>
      </c>
      <c r="I72" s="3" t="s">
        <v>676</v>
      </c>
      <c r="J72" t="str">
        <f t="shared" si="17"/>
        <v>Europe &gt; Germany &gt; Munich</v>
      </c>
      <c r="K72" s="3" t="s">
        <v>697</v>
      </c>
      <c r="L72" s="3" t="s">
        <v>700</v>
      </c>
      <c r="M72" s="3" t="s">
        <v>716</v>
      </c>
      <c r="N72" s="3" t="s">
        <v>725</v>
      </c>
      <c r="O72" s="3" t="s">
        <v>795</v>
      </c>
      <c r="P72" s="6">
        <v>910.63</v>
      </c>
      <c r="Q72" s="6">
        <v>1269.4000000000001</v>
      </c>
      <c r="R72" s="6" t="str">
        <f t="shared" si="18"/>
        <v>Medium</v>
      </c>
      <c r="S72" s="6">
        <v>6.8000000000000005E-2</v>
      </c>
      <c r="T72" s="6">
        <v>9</v>
      </c>
      <c r="U72">
        <f t="shared" si="19"/>
        <v>10647.727199999999</v>
      </c>
      <c r="V72">
        <f t="shared" si="24"/>
        <v>1293648.7344099998</v>
      </c>
      <c r="W72">
        <f t="shared" si="20"/>
        <v>8195.67</v>
      </c>
      <c r="X72" s="6">
        <f t="shared" si="21"/>
        <v>2452.0571999999993</v>
      </c>
      <c r="Y72">
        <f t="shared" si="22"/>
        <v>0.23028925834989455</v>
      </c>
      <c r="Z72">
        <v>202403</v>
      </c>
      <c r="AA72" s="18">
        <v>202301</v>
      </c>
      <c r="AB72" t="str">
        <v>Mar-2023</v>
      </c>
      <c r="AC72">
        <f t="shared" si="23"/>
        <v>14</v>
      </c>
      <c r="AD72" t="str">
        <f t="shared" si="25"/>
        <v>On Time</v>
      </c>
      <c r="AE72">
        <f t="shared" si="26"/>
        <v>1</v>
      </c>
      <c r="AF72">
        <f t="shared" si="27"/>
        <v>0</v>
      </c>
    </row>
    <row r="73" spans="1:32" x14ac:dyDescent="0.25">
      <c r="A73" s="3" t="s">
        <v>78</v>
      </c>
      <c r="B73" s="4">
        <v>45756</v>
      </c>
      <c r="C73" s="4" t="str">
        <f t="shared" si="14"/>
        <v>Apr-2025</v>
      </c>
      <c r="D73" s="4" t="str">
        <f t="shared" si="15"/>
        <v>Q2</v>
      </c>
      <c r="E73" s="4">
        <v>45783</v>
      </c>
      <c r="F73" s="10">
        <f t="shared" si="16"/>
        <v>27</v>
      </c>
      <c r="G73" s="3" t="s">
        <v>640</v>
      </c>
      <c r="H73" s="3" t="s">
        <v>647</v>
      </c>
      <c r="I73" s="3" t="s">
        <v>664</v>
      </c>
      <c r="J73" t="str">
        <f t="shared" si="17"/>
        <v>Americas &gt; Brazil &gt; Brasília</v>
      </c>
      <c r="K73" s="3" t="s">
        <v>698</v>
      </c>
      <c r="L73" s="3" t="s">
        <v>701</v>
      </c>
      <c r="M73" s="3" t="s">
        <v>713</v>
      </c>
      <c r="N73" s="3" t="s">
        <v>723</v>
      </c>
      <c r="O73" s="3" t="s">
        <v>796</v>
      </c>
      <c r="P73" s="6">
        <v>264.19</v>
      </c>
      <c r="Q73" s="6">
        <v>620.92999999999995</v>
      </c>
      <c r="R73" s="6" t="str">
        <f t="shared" si="18"/>
        <v>Low</v>
      </c>
      <c r="S73" s="6">
        <v>0.14199999999999999</v>
      </c>
      <c r="T73" s="6">
        <v>12</v>
      </c>
      <c r="U73">
        <f t="shared" si="19"/>
        <v>6393.0952799999995</v>
      </c>
      <c r="V73">
        <f t="shared" si="24"/>
        <v>1293648.7344099998</v>
      </c>
      <c r="W73">
        <f t="shared" si="20"/>
        <v>3170.2799999999997</v>
      </c>
      <c r="X73" s="6">
        <f t="shared" si="21"/>
        <v>3222.8152799999998</v>
      </c>
      <c r="Y73">
        <f t="shared" si="22"/>
        <v>0.50410875152794532</v>
      </c>
      <c r="Z73">
        <v>202504</v>
      </c>
      <c r="AA73" s="18">
        <v>202301</v>
      </c>
      <c r="AB73" t="str">
        <v>Apr-2023</v>
      </c>
      <c r="AC73">
        <f t="shared" si="23"/>
        <v>27</v>
      </c>
      <c r="AD73" t="str">
        <f t="shared" si="25"/>
        <v>Late</v>
      </c>
      <c r="AE73">
        <f t="shared" si="26"/>
        <v>0</v>
      </c>
      <c r="AF73">
        <f t="shared" si="27"/>
        <v>0</v>
      </c>
    </row>
    <row r="74" spans="1:32" x14ac:dyDescent="0.25">
      <c r="A74" s="3" t="s">
        <v>79</v>
      </c>
      <c r="B74" s="4">
        <v>45394</v>
      </c>
      <c r="C74" s="4" t="str">
        <f t="shared" si="14"/>
        <v>Apr-2024</v>
      </c>
      <c r="D74" s="4" t="str">
        <f t="shared" si="15"/>
        <v>Q2</v>
      </c>
      <c r="E74" s="4">
        <v>45419</v>
      </c>
      <c r="F74" s="10">
        <f t="shared" si="16"/>
        <v>25</v>
      </c>
      <c r="G74" s="3" t="s">
        <v>638</v>
      </c>
      <c r="H74" s="3" t="s">
        <v>653</v>
      </c>
      <c r="I74" s="3" t="s">
        <v>674</v>
      </c>
      <c r="J74" t="str">
        <f t="shared" si="17"/>
        <v>Africa &gt; South Africa &gt; Johannesburg</v>
      </c>
      <c r="K74" s="3" t="s">
        <v>694</v>
      </c>
      <c r="L74" s="3" t="s">
        <v>702</v>
      </c>
      <c r="M74" s="3" t="s">
        <v>712</v>
      </c>
      <c r="N74" s="3" t="s">
        <v>723</v>
      </c>
      <c r="O74" s="3" t="s">
        <v>797</v>
      </c>
      <c r="P74" s="6">
        <v>1376.51</v>
      </c>
      <c r="Q74" s="6">
        <v>1455.91</v>
      </c>
      <c r="R74" s="6" t="str">
        <f t="shared" si="18"/>
        <v>High</v>
      </c>
      <c r="S74" s="6">
        <v>0.185</v>
      </c>
      <c r="T74" s="6">
        <v>17</v>
      </c>
      <c r="U74">
        <f t="shared" si="19"/>
        <v>20171.63305</v>
      </c>
      <c r="V74">
        <f t="shared" si="24"/>
        <v>1293648.7344099998</v>
      </c>
      <c r="W74">
        <f t="shared" si="20"/>
        <v>23400.67</v>
      </c>
      <c r="X74" s="6">
        <f t="shared" si="21"/>
        <v>-3229.0369499999979</v>
      </c>
      <c r="Y74">
        <f t="shared" si="22"/>
        <v>-0.1600781127634085</v>
      </c>
      <c r="Z74">
        <v>202404</v>
      </c>
      <c r="AA74" s="18">
        <v>202301</v>
      </c>
      <c r="AB74" t="str">
        <v>Apr-2023</v>
      </c>
      <c r="AC74">
        <f t="shared" si="23"/>
        <v>15</v>
      </c>
      <c r="AD74" t="str">
        <f t="shared" si="25"/>
        <v>Late</v>
      </c>
      <c r="AE74">
        <f t="shared" si="26"/>
        <v>0</v>
      </c>
      <c r="AF74">
        <f t="shared" si="27"/>
        <v>0</v>
      </c>
    </row>
    <row r="75" spans="1:32" x14ac:dyDescent="0.25">
      <c r="A75" s="3" t="s">
        <v>80</v>
      </c>
      <c r="B75" s="4">
        <v>45641</v>
      </c>
      <c r="C75" s="4" t="str">
        <f t="shared" si="14"/>
        <v>Dec-2024</v>
      </c>
      <c r="D75" s="4" t="str">
        <f t="shared" si="15"/>
        <v>Q4</v>
      </c>
      <c r="E75" s="4">
        <v>45646</v>
      </c>
      <c r="F75" s="10">
        <f t="shared" si="16"/>
        <v>5</v>
      </c>
      <c r="G75" s="3" t="s">
        <v>639</v>
      </c>
      <c r="H75" s="3" t="s">
        <v>651</v>
      </c>
      <c r="I75" s="3" t="s">
        <v>668</v>
      </c>
      <c r="J75" t="str">
        <f t="shared" si="17"/>
        <v>Asia &gt; China &gt; Shenzhen</v>
      </c>
      <c r="K75" s="3" t="s">
        <v>697</v>
      </c>
      <c r="L75" s="3" t="s">
        <v>703</v>
      </c>
      <c r="M75" s="3" t="s">
        <v>705</v>
      </c>
      <c r="N75" s="3" t="s">
        <v>721</v>
      </c>
      <c r="O75" s="3" t="s">
        <v>798</v>
      </c>
      <c r="P75" s="6">
        <v>717.55</v>
      </c>
      <c r="Q75" s="6">
        <v>546.42999999999995</v>
      </c>
      <c r="R75" s="6" t="str">
        <f t="shared" si="18"/>
        <v>Medium</v>
      </c>
      <c r="S75" s="6">
        <v>4.7E-2</v>
      </c>
      <c r="T75" s="6">
        <v>18</v>
      </c>
      <c r="U75">
        <f t="shared" si="19"/>
        <v>9373.460219999999</v>
      </c>
      <c r="V75">
        <f t="shared" si="24"/>
        <v>1293648.7344099998</v>
      </c>
      <c r="W75">
        <f t="shared" si="20"/>
        <v>12915.9</v>
      </c>
      <c r="X75" s="6">
        <f t="shared" si="21"/>
        <v>-3542.4397800000006</v>
      </c>
      <c r="Y75">
        <f t="shared" si="22"/>
        <v>-0.37792231437026369</v>
      </c>
      <c r="Z75">
        <v>202412</v>
      </c>
      <c r="AA75" s="18">
        <v>202301</v>
      </c>
      <c r="AB75" t="str">
        <v>Dec-2023</v>
      </c>
      <c r="AC75">
        <f t="shared" si="23"/>
        <v>23</v>
      </c>
      <c r="AD75" t="str">
        <f t="shared" si="25"/>
        <v>On Time</v>
      </c>
      <c r="AE75">
        <f t="shared" si="26"/>
        <v>1</v>
      </c>
      <c r="AF75">
        <f t="shared" si="27"/>
        <v>0</v>
      </c>
    </row>
    <row r="76" spans="1:32" x14ac:dyDescent="0.25">
      <c r="A76" s="3" t="s">
        <v>81</v>
      </c>
      <c r="B76" s="4">
        <v>45066</v>
      </c>
      <c r="C76" s="4" t="str">
        <f t="shared" si="14"/>
        <v>May-2023</v>
      </c>
      <c r="D76" s="4" t="str">
        <f t="shared" si="15"/>
        <v>Q2</v>
      </c>
      <c r="E76" s="4">
        <v>45068</v>
      </c>
      <c r="F76" s="10">
        <f t="shared" si="16"/>
        <v>2</v>
      </c>
      <c r="G76" s="3" t="s">
        <v>638</v>
      </c>
      <c r="H76" s="3" t="s">
        <v>653</v>
      </c>
      <c r="I76" s="3" t="s">
        <v>679</v>
      </c>
      <c r="J76" t="str">
        <f t="shared" si="17"/>
        <v>Africa &gt; South Africa &gt; Durban</v>
      </c>
      <c r="K76" s="3" t="s">
        <v>693</v>
      </c>
      <c r="L76" s="3" t="s">
        <v>702</v>
      </c>
      <c r="M76" s="3" t="s">
        <v>712</v>
      </c>
      <c r="N76" s="3" t="s">
        <v>719</v>
      </c>
      <c r="O76" s="3" t="s">
        <v>799</v>
      </c>
      <c r="P76" s="6">
        <v>917.88</v>
      </c>
      <c r="Q76" s="6">
        <v>1347.92</v>
      </c>
      <c r="R76" s="6" t="str">
        <f t="shared" si="18"/>
        <v>Medium</v>
      </c>
      <c r="S76" s="6">
        <v>0.34300000000000003</v>
      </c>
      <c r="T76" s="6">
        <v>5</v>
      </c>
      <c r="U76">
        <f t="shared" si="19"/>
        <v>4427.9172000000008</v>
      </c>
      <c r="V76">
        <f t="shared" si="24"/>
        <v>1293648.7344099998</v>
      </c>
      <c r="W76">
        <f t="shared" si="20"/>
        <v>4589.3999999999996</v>
      </c>
      <c r="X76" s="6">
        <f t="shared" si="21"/>
        <v>-161.48279999999886</v>
      </c>
      <c r="Y76">
        <f t="shared" si="22"/>
        <v>-3.6469245630880096E-2</v>
      </c>
      <c r="Z76">
        <v>202305</v>
      </c>
      <c r="AA76" s="18">
        <v>202301</v>
      </c>
      <c r="AB76" t="str">
        <v>May-2023</v>
      </c>
      <c r="AC76">
        <f t="shared" si="23"/>
        <v>4</v>
      </c>
      <c r="AD76" t="str">
        <f t="shared" si="25"/>
        <v>On Time</v>
      </c>
      <c r="AE76">
        <f t="shared" si="26"/>
        <v>1</v>
      </c>
      <c r="AF76">
        <f t="shared" si="27"/>
        <v>1</v>
      </c>
    </row>
    <row r="77" spans="1:32" x14ac:dyDescent="0.25">
      <c r="A77" s="3" t="s">
        <v>82</v>
      </c>
      <c r="B77" s="4">
        <v>45187</v>
      </c>
      <c r="C77" s="4" t="str">
        <f t="shared" si="14"/>
        <v>Sept-2023</v>
      </c>
      <c r="D77" s="4" t="str">
        <f t="shared" si="15"/>
        <v>Q3</v>
      </c>
      <c r="E77" s="4">
        <v>45207</v>
      </c>
      <c r="F77" s="10">
        <f t="shared" si="16"/>
        <v>20</v>
      </c>
      <c r="G77" s="3" t="s">
        <v>639</v>
      </c>
      <c r="H77" s="3" t="s">
        <v>646</v>
      </c>
      <c r="I77" s="3" t="s">
        <v>672</v>
      </c>
      <c r="J77" t="str">
        <f t="shared" si="17"/>
        <v>Asia &gt; India &gt; Delhi</v>
      </c>
      <c r="K77" s="3" t="s">
        <v>697</v>
      </c>
      <c r="L77" s="3" t="s">
        <v>703</v>
      </c>
      <c r="M77" s="3" t="s">
        <v>709</v>
      </c>
      <c r="N77" s="3" t="s">
        <v>719</v>
      </c>
      <c r="O77" s="3" t="s">
        <v>800</v>
      </c>
      <c r="P77" s="6">
        <v>825.64</v>
      </c>
      <c r="Q77" s="6">
        <v>1108.43</v>
      </c>
      <c r="R77" s="6" t="str">
        <f t="shared" si="18"/>
        <v>Medium</v>
      </c>
      <c r="S77" s="6">
        <v>0.114</v>
      </c>
      <c r="T77" s="6">
        <v>7</v>
      </c>
      <c r="U77">
        <f t="shared" si="19"/>
        <v>6874.4828600000001</v>
      </c>
      <c r="V77">
        <f t="shared" si="24"/>
        <v>1289220.8172099998</v>
      </c>
      <c r="W77">
        <f t="shared" si="20"/>
        <v>5779.48</v>
      </c>
      <c r="X77" s="6">
        <f t="shared" si="21"/>
        <v>1095.0028600000005</v>
      </c>
      <c r="Y77">
        <f t="shared" si="22"/>
        <v>0.15928512475773349</v>
      </c>
      <c r="Z77">
        <v>202309</v>
      </c>
      <c r="AA77" s="18">
        <v>202301</v>
      </c>
      <c r="AB77" t="str">
        <v>Sept-2023</v>
      </c>
      <c r="AC77">
        <f t="shared" si="23"/>
        <v>8</v>
      </c>
      <c r="AD77" t="str">
        <f t="shared" si="25"/>
        <v>Late</v>
      </c>
      <c r="AE77">
        <f t="shared" si="26"/>
        <v>0</v>
      </c>
      <c r="AF77">
        <f t="shared" si="27"/>
        <v>0</v>
      </c>
    </row>
    <row r="78" spans="1:32" x14ac:dyDescent="0.25">
      <c r="A78" s="3" t="s">
        <v>83</v>
      </c>
      <c r="B78" s="4">
        <v>45532</v>
      </c>
      <c r="C78" s="4" t="str">
        <f t="shared" si="14"/>
        <v>Aug-2024</v>
      </c>
      <c r="D78" s="4" t="str">
        <f t="shared" si="15"/>
        <v>Q3</v>
      </c>
      <c r="E78" s="4">
        <v>45560</v>
      </c>
      <c r="F78" s="10">
        <f t="shared" si="16"/>
        <v>28</v>
      </c>
      <c r="G78" s="3" t="s">
        <v>640</v>
      </c>
      <c r="H78" s="3" t="s">
        <v>647</v>
      </c>
      <c r="I78" s="3" t="s">
        <v>684</v>
      </c>
      <c r="J78" t="str">
        <f t="shared" si="17"/>
        <v>Americas &gt; Brazil &gt; Rio de Janeiro</v>
      </c>
      <c r="K78" s="3" t="s">
        <v>695</v>
      </c>
      <c r="L78" s="3" t="s">
        <v>700</v>
      </c>
      <c r="M78" s="3" t="s">
        <v>1413</v>
      </c>
      <c r="N78" s="3" t="s">
        <v>725</v>
      </c>
      <c r="O78" s="3" t="s">
        <v>801</v>
      </c>
      <c r="P78" s="6">
        <v>1394.65</v>
      </c>
      <c r="Q78" s="6">
        <v>3144.1</v>
      </c>
      <c r="R78" s="6" t="str">
        <f t="shared" si="18"/>
        <v>High</v>
      </c>
      <c r="S78" s="6">
        <v>0.13400000000000001</v>
      </c>
      <c r="T78" s="6">
        <v>13</v>
      </c>
      <c r="U78">
        <f t="shared" si="19"/>
        <v>35396.277799999996</v>
      </c>
      <c r="V78">
        <f t="shared" si="24"/>
        <v>1282346.3343499997</v>
      </c>
      <c r="W78">
        <f t="shared" si="20"/>
        <v>18130.45</v>
      </c>
      <c r="X78" s="6">
        <f t="shared" si="21"/>
        <v>17265.827799999995</v>
      </c>
      <c r="Y78">
        <f t="shared" si="22"/>
        <v>0.4877865378263021</v>
      </c>
      <c r="Z78">
        <v>202408</v>
      </c>
      <c r="AA78" s="18">
        <v>202301</v>
      </c>
      <c r="AB78" t="str">
        <v>Aug-2023</v>
      </c>
      <c r="AC78">
        <f t="shared" si="23"/>
        <v>19</v>
      </c>
      <c r="AD78" t="str">
        <f t="shared" si="25"/>
        <v>Late</v>
      </c>
      <c r="AE78">
        <f t="shared" si="26"/>
        <v>0</v>
      </c>
      <c r="AF78">
        <f t="shared" si="27"/>
        <v>0</v>
      </c>
    </row>
    <row r="79" spans="1:32" x14ac:dyDescent="0.25">
      <c r="A79" s="3" t="s">
        <v>84</v>
      </c>
      <c r="B79" s="4">
        <v>45473</v>
      </c>
      <c r="C79" s="4" t="str">
        <f t="shared" si="14"/>
        <v>Jun-2024</v>
      </c>
      <c r="D79" s="4" t="str">
        <f t="shared" si="15"/>
        <v>Q2</v>
      </c>
      <c r="E79" s="4">
        <v>45475</v>
      </c>
      <c r="F79" s="10">
        <f t="shared" si="16"/>
        <v>2</v>
      </c>
      <c r="G79" s="3" t="s">
        <v>640</v>
      </c>
      <c r="H79" s="3" t="s">
        <v>647</v>
      </c>
      <c r="I79" s="3" t="s">
        <v>684</v>
      </c>
      <c r="J79" t="str">
        <f t="shared" si="17"/>
        <v>Americas &gt; Brazil &gt; Rio de Janeiro</v>
      </c>
      <c r="K79" s="3" t="s">
        <v>697</v>
      </c>
      <c r="L79" s="3" t="s">
        <v>703</v>
      </c>
      <c r="M79" s="3" t="s">
        <v>708</v>
      </c>
      <c r="N79" s="3" t="s">
        <v>725</v>
      </c>
      <c r="O79" s="3" t="s">
        <v>802</v>
      </c>
      <c r="P79" s="6">
        <v>1112.98</v>
      </c>
      <c r="Q79" s="6">
        <v>2095.73</v>
      </c>
      <c r="R79" s="6" t="str">
        <f t="shared" si="18"/>
        <v>High</v>
      </c>
      <c r="S79" s="6">
        <v>7.1999999999999995E-2</v>
      </c>
      <c r="T79" s="6">
        <v>17</v>
      </c>
      <c r="U79">
        <f t="shared" si="19"/>
        <v>33062.236480000007</v>
      </c>
      <c r="V79">
        <f t="shared" si="24"/>
        <v>1282346.3343499997</v>
      </c>
      <c r="W79">
        <f t="shared" si="20"/>
        <v>18920.66</v>
      </c>
      <c r="X79" s="6">
        <f t="shared" si="21"/>
        <v>14141.576480000007</v>
      </c>
      <c r="Y79">
        <f t="shared" si="22"/>
        <v>0.42772594916724777</v>
      </c>
      <c r="Z79">
        <v>202406</v>
      </c>
      <c r="AA79" s="18">
        <v>202301</v>
      </c>
      <c r="AB79" t="str">
        <v>Jun-2023</v>
      </c>
      <c r="AC79">
        <f t="shared" si="23"/>
        <v>17</v>
      </c>
      <c r="AD79" t="str">
        <f t="shared" si="25"/>
        <v>On Time</v>
      </c>
      <c r="AE79">
        <f t="shared" si="26"/>
        <v>1</v>
      </c>
      <c r="AF79">
        <f t="shared" si="27"/>
        <v>0</v>
      </c>
    </row>
    <row r="80" spans="1:32" x14ac:dyDescent="0.25">
      <c r="A80" s="3" t="s">
        <v>85</v>
      </c>
      <c r="B80" s="4">
        <v>45091</v>
      </c>
      <c r="C80" s="4" t="str">
        <f t="shared" si="14"/>
        <v>Jun-2023</v>
      </c>
      <c r="D80" s="4" t="str">
        <f t="shared" si="15"/>
        <v>Q2</v>
      </c>
      <c r="E80" s="4">
        <v>45093</v>
      </c>
      <c r="F80" s="10">
        <f t="shared" si="16"/>
        <v>2</v>
      </c>
      <c r="G80" s="3" t="s">
        <v>641</v>
      </c>
      <c r="H80" s="3" t="s">
        <v>650</v>
      </c>
      <c r="I80" s="3" t="s">
        <v>685</v>
      </c>
      <c r="J80" t="str">
        <f t="shared" si="17"/>
        <v>Europe &gt; United Kingdom &gt; Manchester</v>
      </c>
      <c r="K80" s="3" t="s">
        <v>695</v>
      </c>
      <c r="L80" s="3" t="s">
        <v>703</v>
      </c>
      <c r="M80" s="3" t="s">
        <v>715</v>
      </c>
      <c r="N80" s="3" t="s">
        <v>719</v>
      </c>
      <c r="O80" s="3" t="s">
        <v>803</v>
      </c>
      <c r="P80" s="6">
        <v>357.36</v>
      </c>
      <c r="Q80" s="6">
        <v>703.62</v>
      </c>
      <c r="R80" s="6" t="str">
        <f t="shared" si="18"/>
        <v>Low</v>
      </c>
      <c r="S80" s="6">
        <v>0.25700000000000001</v>
      </c>
      <c r="T80" s="6">
        <v>20</v>
      </c>
      <c r="U80">
        <f t="shared" si="19"/>
        <v>10455.7932</v>
      </c>
      <c r="V80">
        <f t="shared" si="24"/>
        <v>1282346.3343499997</v>
      </c>
      <c r="W80">
        <f t="shared" si="20"/>
        <v>7147.2000000000007</v>
      </c>
      <c r="X80" s="6">
        <f t="shared" si="21"/>
        <v>3308.5931999999993</v>
      </c>
      <c r="Y80">
        <f t="shared" si="22"/>
        <v>0.31643636563125593</v>
      </c>
      <c r="Z80">
        <v>202306</v>
      </c>
      <c r="AA80" s="18">
        <v>202301</v>
      </c>
      <c r="AB80" t="str">
        <v>Jun-2023</v>
      </c>
      <c r="AC80">
        <f t="shared" si="23"/>
        <v>5</v>
      </c>
      <c r="AD80" t="str">
        <f t="shared" si="25"/>
        <v>On Time</v>
      </c>
      <c r="AE80">
        <f t="shared" si="26"/>
        <v>1</v>
      </c>
      <c r="AF80">
        <f t="shared" si="27"/>
        <v>1</v>
      </c>
    </row>
    <row r="81" spans="1:32" x14ac:dyDescent="0.25">
      <c r="A81" s="3" t="s">
        <v>86</v>
      </c>
      <c r="B81" s="4">
        <v>45617</v>
      </c>
      <c r="C81" s="4" t="str">
        <f t="shared" si="14"/>
        <v>Nov-2024</v>
      </c>
      <c r="D81" s="4" t="str">
        <f t="shared" si="15"/>
        <v>Q4</v>
      </c>
      <c r="E81" s="4">
        <v>45647</v>
      </c>
      <c r="F81" s="10">
        <f t="shared" si="16"/>
        <v>30</v>
      </c>
      <c r="G81" s="3" t="s">
        <v>641</v>
      </c>
      <c r="H81" s="3" t="s">
        <v>649</v>
      </c>
      <c r="I81" s="3" t="s">
        <v>665</v>
      </c>
      <c r="J81" t="str">
        <f t="shared" si="17"/>
        <v>Europe &gt; France &gt; Marseille</v>
      </c>
      <c r="K81" s="3" t="s">
        <v>697</v>
      </c>
      <c r="L81" s="3" t="s">
        <v>703</v>
      </c>
      <c r="M81" s="3" t="s">
        <v>706</v>
      </c>
      <c r="N81" s="3" t="s">
        <v>724</v>
      </c>
      <c r="O81" s="3" t="s">
        <v>804</v>
      </c>
      <c r="P81" s="6">
        <v>1122.68</v>
      </c>
      <c r="Q81" s="6">
        <v>1997.19</v>
      </c>
      <c r="R81" s="6" t="str">
        <f t="shared" si="18"/>
        <v>High</v>
      </c>
      <c r="S81" s="6">
        <v>0.186</v>
      </c>
      <c r="T81" s="6">
        <v>3</v>
      </c>
      <c r="U81">
        <f t="shared" si="19"/>
        <v>4877.1379800000004</v>
      </c>
      <c r="V81">
        <f t="shared" si="24"/>
        <v>1271890.5411499997</v>
      </c>
      <c r="W81">
        <f t="shared" si="20"/>
        <v>3368.04</v>
      </c>
      <c r="X81" s="6">
        <f t="shared" si="21"/>
        <v>1509.0979800000005</v>
      </c>
      <c r="Y81">
        <f t="shared" si="22"/>
        <v>0.30942285951073306</v>
      </c>
      <c r="Z81">
        <v>202411</v>
      </c>
      <c r="AA81" s="18">
        <v>202301</v>
      </c>
      <c r="AB81" t="str">
        <v>Nov-2023</v>
      </c>
      <c r="AC81">
        <f t="shared" si="23"/>
        <v>22</v>
      </c>
      <c r="AD81" t="str">
        <f t="shared" si="25"/>
        <v>Late</v>
      </c>
      <c r="AE81">
        <f t="shared" si="26"/>
        <v>0</v>
      </c>
      <c r="AF81">
        <f t="shared" si="27"/>
        <v>0</v>
      </c>
    </row>
    <row r="82" spans="1:32" x14ac:dyDescent="0.25">
      <c r="A82" s="3" t="s">
        <v>87</v>
      </c>
      <c r="B82" s="4">
        <v>44965</v>
      </c>
      <c r="C82" s="4" t="str">
        <f t="shared" si="14"/>
        <v>Feb-2023</v>
      </c>
      <c r="D82" s="4" t="str">
        <f t="shared" si="15"/>
        <v>Q1</v>
      </c>
      <c r="E82" s="4">
        <v>44968</v>
      </c>
      <c r="F82" s="10">
        <f t="shared" si="16"/>
        <v>3</v>
      </c>
      <c r="G82" s="3" t="s">
        <v>638</v>
      </c>
      <c r="H82" s="3" t="s">
        <v>653</v>
      </c>
      <c r="I82" s="3" t="s">
        <v>687</v>
      </c>
      <c r="J82" t="str">
        <f t="shared" si="17"/>
        <v>Africa &gt; South Africa &gt; Cape Town</v>
      </c>
      <c r="K82" s="3" t="s">
        <v>693</v>
      </c>
      <c r="L82" s="3" t="s">
        <v>703</v>
      </c>
      <c r="M82" s="3" t="s">
        <v>716</v>
      </c>
      <c r="N82" s="3" t="s">
        <v>721</v>
      </c>
      <c r="O82" s="3" t="s">
        <v>805</v>
      </c>
      <c r="P82" s="6">
        <v>1410.05</v>
      </c>
      <c r="Q82" s="6">
        <v>2763.95</v>
      </c>
      <c r="R82" s="6" t="str">
        <f t="shared" si="18"/>
        <v>High</v>
      </c>
      <c r="S82" s="6">
        <v>0.161</v>
      </c>
      <c r="T82" s="6">
        <v>26</v>
      </c>
      <c r="U82">
        <f t="shared" si="19"/>
        <v>60292.805299999993</v>
      </c>
      <c r="V82">
        <f t="shared" si="24"/>
        <v>1271890.5411499997</v>
      </c>
      <c r="W82">
        <f t="shared" si="20"/>
        <v>36661.299999999996</v>
      </c>
      <c r="X82" s="6">
        <f t="shared" si="21"/>
        <v>23631.505299999997</v>
      </c>
      <c r="Y82">
        <f t="shared" si="22"/>
        <v>0.39194569206750779</v>
      </c>
      <c r="Z82">
        <v>202302</v>
      </c>
      <c r="AA82" s="18">
        <v>202301</v>
      </c>
      <c r="AB82" t="str">
        <v>Feb-2023</v>
      </c>
      <c r="AC82">
        <f t="shared" si="23"/>
        <v>1</v>
      </c>
      <c r="AD82" t="str">
        <f t="shared" si="25"/>
        <v>On Time</v>
      </c>
      <c r="AE82">
        <f t="shared" si="26"/>
        <v>1</v>
      </c>
      <c r="AF82">
        <f t="shared" si="27"/>
        <v>0</v>
      </c>
    </row>
    <row r="83" spans="1:32" x14ac:dyDescent="0.25">
      <c r="A83" s="3" t="s">
        <v>88</v>
      </c>
      <c r="B83" s="4">
        <v>45157</v>
      </c>
      <c r="C83" s="4" t="str">
        <f t="shared" si="14"/>
        <v>Aug-2023</v>
      </c>
      <c r="D83" s="4" t="str">
        <f t="shared" si="15"/>
        <v>Q3</v>
      </c>
      <c r="E83" s="4">
        <v>45181</v>
      </c>
      <c r="F83" s="10">
        <f t="shared" si="16"/>
        <v>24</v>
      </c>
      <c r="G83" s="3" t="s">
        <v>640</v>
      </c>
      <c r="H83" s="3" t="s">
        <v>645</v>
      </c>
      <c r="I83" s="3" t="s">
        <v>680</v>
      </c>
      <c r="J83" t="str">
        <f t="shared" si="17"/>
        <v>Americas &gt; Canada &gt; Vancouver</v>
      </c>
      <c r="K83" s="3" t="s">
        <v>698</v>
      </c>
      <c r="L83" s="3" t="s">
        <v>699</v>
      </c>
      <c r="M83" s="3" t="s">
        <v>706</v>
      </c>
      <c r="N83" s="3" t="s">
        <v>720</v>
      </c>
      <c r="O83" s="3" t="s">
        <v>806</v>
      </c>
      <c r="P83" s="6">
        <v>1183.95</v>
      </c>
      <c r="Q83" s="6">
        <v>1503.53</v>
      </c>
      <c r="R83" s="6" t="str">
        <f t="shared" si="18"/>
        <v>High</v>
      </c>
      <c r="S83" s="6">
        <v>0.24099999999999999</v>
      </c>
      <c r="T83" s="6">
        <v>16</v>
      </c>
      <c r="U83">
        <f t="shared" si="19"/>
        <v>18258.868320000001</v>
      </c>
      <c r="V83">
        <f t="shared" si="24"/>
        <v>1271890.5411499997</v>
      </c>
      <c r="W83">
        <f t="shared" si="20"/>
        <v>18943.2</v>
      </c>
      <c r="X83" s="6">
        <f t="shared" si="21"/>
        <v>-684.33167999999932</v>
      </c>
      <c r="Y83">
        <f t="shared" si="22"/>
        <v>-3.7479413729623705E-2</v>
      </c>
      <c r="Z83">
        <v>202308</v>
      </c>
      <c r="AA83" s="18">
        <v>202301</v>
      </c>
      <c r="AB83" t="str">
        <v>Aug-2023</v>
      </c>
      <c r="AC83">
        <f t="shared" si="23"/>
        <v>7</v>
      </c>
      <c r="AD83" t="str">
        <f t="shared" si="25"/>
        <v>Late</v>
      </c>
      <c r="AE83">
        <f t="shared" si="26"/>
        <v>0</v>
      </c>
      <c r="AF83">
        <f t="shared" si="27"/>
        <v>1</v>
      </c>
    </row>
    <row r="84" spans="1:32" x14ac:dyDescent="0.25">
      <c r="A84" s="3" t="s">
        <v>89</v>
      </c>
      <c r="B84" s="4">
        <v>45791</v>
      </c>
      <c r="C84" s="4" t="str">
        <f t="shared" si="14"/>
        <v>May-2025</v>
      </c>
      <c r="D84" s="4" t="str">
        <f t="shared" si="15"/>
        <v>Q2</v>
      </c>
      <c r="E84" s="4">
        <v>45801</v>
      </c>
      <c r="F84" s="10">
        <f t="shared" si="16"/>
        <v>10</v>
      </c>
      <c r="G84" s="3" t="s">
        <v>641</v>
      </c>
      <c r="H84" s="3" t="s">
        <v>649</v>
      </c>
      <c r="I84" s="3" t="s">
        <v>682</v>
      </c>
      <c r="J84" t="str">
        <f t="shared" si="17"/>
        <v>Europe &gt; France &gt; Paris</v>
      </c>
      <c r="K84" s="3" t="s">
        <v>697</v>
      </c>
      <c r="L84" s="3" t="s">
        <v>701</v>
      </c>
      <c r="M84" s="3" t="s">
        <v>715</v>
      </c>
      <c r="N84" s="3" t="s">
        <v>719</v>
      </c>
      <c r="O84" s="3" t="s">
        <v>807</v>
      </c>
      <c r="P84" s="6">
        <v>170.39</v>
      </c>
      <c r="Q84" s="6">
        <v>388.04</v>
      </c>
      <c r="R84" s="6" t="str">
        <f t="shared" si="18"/>
        <v>Low</v>
      </c>
      <c r="S84" s="6">
        <v>8.4000000000000005E-2</v>
      </c>
      <c r="T84" s="6">
        <v>15</v>
      </c>
      <c r="U84">
        <f t="shared" si="19"/>
        <v>5331.6696000000002</v>
      </c>
      <c r="V84">
        <f t="shared" si="24"/>
        <v>1271890.5411499997</v>
      </c>
      <c r="W84">
        <f t="shared" si="20"/>
        <v>2555.85</v>
      </c>
      <c r="X84" s="6">
        <f t="shared" si="21"/>
        <v>2775.8196000000003</v>
      </c>
      <c r="Y84">
        <f t="shared" si="22"/>
        <v>0.52062858508711796</v>
      </c>
      <c r="Z84">
        <v>202505</v>
      </c>
      <c r="AA84" s="18">
        <v>202301</v>
      </c>
      <c r="AB84" t="str">
        <v>May-2023</v>
      </c>
      <c r="AC84">
        <f t="shared" si="23"/>
        <v>28</v>
      </c>
      <c r="AD84" t="str">
        <f t="shared" si="25"/>
        <v>Late</v>
      </c>
      <c r="AE84">
        <f t="shared" si="26"/>
        <v>0</v>
      </c>
      <c r="AF84">
        <f t="shared" si="27"/>
        <v>0</v>
      </c>
    </row>
    <row r="85" spans="1:32" x14ac:dyDescent="0.25">
      <c r="A85" s="3" t="s">
        <v>90</v>
      </c>
      <c r="B85" s="4">
        <v>45770</v>
      </c>
      <c r="C85" s="4" t="str">
        <f t="shared" si="14"/>
        <v>Apr-2025</v>
      </c>
      <c r="D85" s="4" t="str">
        <f t="shared" si="15"/>
        <v>Q2</v>
      </c>
      <c r="E85" s="4">
        <v>45771</v>
      </c>
      <c r="F85" s="10">
        <f t="shared" si="16"/>
        <v>1</v>
      </c>
      <c r="G85" s="3" t="s">
        <v>640</v>
      </c>
      <c r="H85" s="3" t="s">
        <v>652</v>
      </c>
      <c r="I85" s="3" t="s">
        <v>678</v>
      </c>
      <c r="J85" t="str">
        <f t="shared" si="17"/>
        <v>Americas &gt; USA &gt; San Francisco</v>
      </c>
      <c r="K85" s="3" t="s">
        <v>695</v>
      </c>
      <c r="L85" s="3" t="s">
        <v>702</v>
      </c>
      <c r="M85" s="3" t="s">
        <v>718</v>
      </c>
      <c r="N85" s="3" t="s">
        <v>724</v>
      </c>
      <c r="O85" s="3" t="s">
        <v>808</v>
      </c>
      <c r="P85" s="6">
        <v>23.24</v>
      </c>
      <c r="Q85" s="6">
        <v>44.57</v>
      </c>
      <c r="R85" s="6" t="str">
        <f t="shared" si="18"/>
        <v>Low</v>
      </c>
      <c r="S85" s="6">
        <v>0.215</v>
      </c>
      <c r="T85" s="6">
        <v>15</v>
      </c>
      <c r="U85">
        <f t="shared" si="19"/>
        <v>524.81174999999996</v>
      </c>
      <c r="V85">
        <f t="shared" si="24"/>
        <v>1266558.8715499998</v>
      </c>
      <c r="W85">
        <f t="shared" si="20"/>
        <v>348.59999999999997</v>
      </c>
      <c r="X85" s="6">
        <f t="shared" si="21"/>
        <v>176.21174999999999</v>
      </c>
      <c r="Y85">
        <f t="shared" si="22"/>
        <v>0.33576182316802167</v>
      </c>
      <c r="Z85">
        <v>202504</v>
      </c>
      <c r="AA85" s="18">
        <v>202301</v>
      </c>
      <c r="AB85" t="str">
        <v>Apr-2023</v>
      </c>
      <c r="AC85">
        <f t="shared" si="23"/>
        <v>27</v>
      </c>
      <c r="AD85" t="str">
        <f t="shared" si="25"/>
        <v>On Time</v>
      </c>
      <c r="AE85">
        <f t="shared" si="26"/>
        <v>1</v>
      </c>
      <c r="AF85">
        <f t="shared" si="27"/>
        <v>1</v>
      </c>
    </row>
    <row r="86" spans="1:32" x14ac:dyDescent="0.25">
      <c r="A86" s="3" t="s">
        <v>91</v>
      </c>
      <c r="B86" s="4">
        <v>45741</v>
      </c>
      <c r="C86" s="4" t="str">
        <f t="shared" si="14"/>
        <v>Mar-2025</v>
      </c>
      <c r="D86" s="4" t="str">
        <f t="shared" si="15"/>
        <v>Q1</v>
      </c>
      <c r="E86" s="4">
        <v>45764</v>
      </c>
      <c r="F86" s="10">
        <f t="shared" si="16"/>
        <v>23</v>
      </c>
      <c r="G86" s="3" t="s">
        <v>641</v>
      </c>
      <c r="H86" s="3" t="s">
        <v>650</v>
      </c>
      <c r="I86" s="3" t="s">
        <v>675</v>
      </c>
      <c r="J86" t="str">
        <f t="shared" si="17"/>
        <v>Europe &gt; United Kingdom &gt; London</v>
      </c>
      <c r="K86" s="3" t="s">
        <v>696</v>
      </c>
      <c r="L86" s="3" t="s">
        <v>699</v>
      </c>
      <c r="M86" s="3" t="s">
        <v>714</v>
      </c>
      <c r="N86" s="3" t="s">
        <v>721</v>
      </c>
      <c r="O86" s="3" t="s">
        <v>809</v>
      </c>
      <c r="P86" s="6">
        <v>1421.19</v>
      </c>
      <c r="Q86" s="6">
        <v>1808.26</v>
      </c>
      <c r="R86" s="6" t="str">
        <f t="shared" si="18"/>
        <v>High</v>
      </c>
      <c r="S86" s="6">
        <v>0.104</v>
      </c>
      <c r="T86" s="6">
        <v>13</v>
      </c>
      <c r="U86">
        <f t="shared" si="19"/>
        <v>21062.61248</v>
      </c>
      <c r="V86">
        <f t="shared" si="24"/>
        <v>1266558.8715499998</v>
      </c>
      <c r="W86">
        <f t="shared" si="20"/>
        <v>18475.47</v>
      </c>
      <c r="X86" s="6">
        <f t="shared" si="21"/>
        <v>2587.1424799999986</v>
      </c>
      <c r="Y86">
        <f t="shared" si="22"/>
        <v>0.12283103449093123</v>
      </c>
      <c r="Z86">
        <v>202503</v>
      </c>
      <c r="AA86" s="18">
        <v>202301</v>
      </c>
      <c r="AB86" t="str">
        <v>Mar-2023</v>
      </c>
      <c r="AC86">
        <f t="shared" si="23"/>
        <v>26</v>
      </c>
      <c r="AD86" t="str">
        <f t="shared" si="25"/>
        <v>Late</v>
      </c>
      <c r="AE86">
        <f t="shared" si="26"/>
        <v>0</v>
      </c>
      <c r="AF86">
        <f t="shared" si="27"/>
        <v>0</v>
      </c>
    </row>
    <row r="87" spans="1:32" x14ac:dyDescent="0.25">
      <c r="A87" s="3" t="s">
        <v>92</v>
      </c>
      <c r="B87" s="4">
        <v>45282</v>
      </c>
      <c r="C87" s="4" t="str">
        <f t="shared" si="14"/>
        <v>Dec-2023</v>
      </c>
      <c r="D87" s="4" t="str">
        <f t="shared" si="15"/>
        <v>Q4</v>
      </c>
      <c r="E87" s="4">
        <v>45283</v>
      </c>
      <c r="F87" s="10">
        <f t="shared" si="16"/>
        <v>1</v>
      </c>
      <c r="G87" s="3" t="s">
        <v>638</v>
      </c>
      <c r="H87" s="3" t="s">
        <v>653</v>
      </c>
      <c r="I87" s="3" t="s">
        <v>687</v>
      </c>
      <c r="J87" t="str">
        <f t="shared" si="17"/>
        <v>Africa &gt; South Africa &gt; Cape Town</v>
      </c>
      <c r="K87" s="3" t="s">
        <v>695</v>
      </c>
      <c r="L87" s="3" t="s">
        <v>701</v>
      </c>
      <c r="M87" s="3" t="s">
        <v>718</v>
      </c>
      <c r="N87" s="3" t="s">
        <v>719</v>
      </c>
      <c r="O87" s="3" t="s">
        <v>810</v>
      </c>
      <c r="P87" s="6">
        <v>1186.18</v>
      </c>
      <c r="Q87" s="6">
        <v>1285.0899999999999</v>
      </c>
      <c r="R87" s="6" t="str">
        <f t="shared" si="18"/>
        <v>High</v>
      </c>
      <c r="S87" s="6">
        <v>7.0000000000000007E-2</v>
      </c>
      <c r="T87" s="6">
        <v>11</v>
      </c>
      <c r="U87">
        <f t="shared" si="19"/>
        <v>13146.470699999998</v>
      </c>
      <c r="V87">
        <f t="shared" si="24"/>
        <v>1266558.8715499998</v>
      </c>
      <c r="W87">
        <f t="shared" si="20"/>
        <v>13047.980000000001</v>
      </c>
      <c r="X87" s="6">
        <f t="shared" si="21"/>
        <v>98.49069999999665</v>
      </c>
      <c r="Y87">
        <f t="shared" si="22"/>
        <v>7.4917977796121861E-3</v>
      </c>
      <c r="Z87">
        <v>202312</v>
      </c>
      <c r="AA87" s="18">
        <v>202301</v>
      </c>
      <c r="AB87" t="str">
        <v>Dec-2023</v>
      </c>
      <c r="AC87">
        <f t="shared" si="23"/>
        <v>11</v>
      </c>
      <c r="AD87" t="str">
        <f t="shared" si="25"/>
        <v>On Time</v>
      </c>
      <c r="AE87">
        <f t="shared" si="26"/>
        <v>1</v>
      </c>
      <c r="AF87">
        <f t="shared" si="27"/>
        <v>0</v>
      </c>
    </row>
    <row r="88" spans="1:32" x14ac:dyDescent="0.25">
      <c r="A88" s="3" t="s">
        <v>93</v>
      </c>
      <c r="B88" s="4">
        <v>45388</v>
      </c>
      <c r="C88" s="4" t="str">
        <f t="shared" si="14"/>
        <v>Apr-2024</v>
      </c>
      <c r="D88" s="4" t="str">
        <f t="shared" si="15"/>
        <v>Q2</v>
      </c>
      <c r="E88" s="4">
        <v>45407</v>
      </c>
      <c r="F88" s="10">
        <f t="shared" si="16"/>
        <v>19</v>
      </c>
      <c r="G88" s="3" t="s">
        <v>639</v>
      </c>
      <c r="H88" s="3" t="s">
        <v>651</v>
      </c>
      <c r="I88" s="3" t="s">
        <v>677</v>
      </c>
      <c r="J88" t="str">
        <f t="shared" si="17"/>
        <v>Asia &gt; China &gt; Shanghai</v>
      </c>
      <c r="K88" s="3" t="s">
        <v>693</v>
      </c>
      <c r="L88" s="3" t="s">
        <v>699</v>
      </c>
      <c r="M88" s="3" t="s">
        <v>715</v>
      </c>
      <c r="N88" s="3" t="s">
        <v>719</v>
      </c>
      <c r="O88" s="3" t="s">
        <v>811</v>
      </c>
      <c r="P88" s="6">
        <v>1366.48</v>
      </c>
      <c r="Q88" s="6">
        <v>1678.14</v>
      </c>
      <c r="R88" s="6" t="str">
        <f t="shared" si="18"/>
        <v>High</v>
      </c>
      <c r="S88" s="6">
        <v>0.154</v>
      </c>
      <c r="T88" s="6">
        <v>10</v>
      </c>
      <c r="U88">
        <f t="shared" si="19"/>
        <v>14197.064400000001</v>
      </c>
      <c r="V88">
        <f t="shared" si="24"/>
        <v>1253412.4008499996</v>
      </c>
      <c r="W88">
        <f t="shared" si="20"/>
        <v>13664.8</v>
      </c>
      <c r="X88" s="6">
        <f t="shared" si="21"/>
        <v>532.26440000000184</v>
      </c>
      <c r="Y88">
        <f t="shared" si="22"/>
        <v>3.7491159087790132E-2</v>
      </c>
      <c r="Z88">
        <v>202404</v>
      </c>
      <c r="AA88" s="18">
        <v>202301</v>
      </c>
      <c r="AB88" t="str">
        <v>Apr-2023</v>
      </c>
      <c r="AC88">
        <f t="shared" si="23"/>
        <v>15</v>
      </c>
      <c r="AD88" t="str">
        <f t="shared" si="25"/>
        <v>Late</v>
      </c>
      <c r="AE88">
        <f t="shared" si="26"/>
        <v>0</v>
      </c>
      <c r="AF88">
        <f t="shared" si="27"/>
        <v>0</v>
      </c>
    </row>
    <row r="89" spans="1:32" x14ac:dyDescent="0.25">
      <c r="A89" s="3" t="s">
        <v>94</v>
      </c>
      <c r="B89" s="4">
        <v>45876</v>
      </c>
      <c r="C89" s="4" t="str">
        <f t="shared" si="14"/>
        <v>Aug-2025</v>
      </c>
      <c r="D89" s="4" t="str">
        <f t="shared" si="15"/>
        <v>Q3</v>
      </c>
      <c r="E89" s="4">
        <v>45888</v>
      </c>
      <c r="F89" s="10">
        <f t="shared" si="16"/>
        <v>12</v>
      </c>
      <c r="G89" s="3" t="s">
        <v>638</v>
      </c>
      <c r="H89" s="3" t="s">
        <v>642</v>
      </c>
      <c r="I89" s="3" t="s">
        <v>670</v>
      </c>
      <c r="J89" t="str">
        <f t="shared" si="17"/>
        <v>Africa &gt; Kenya &gt; Nakuru</v>
      </c>
      <c r="K89" s="3" t="s">
        <v>693</v>
      </c>
      <c r="L89" s="3" t="s">
        <v>1413</v>
      </c>
      <c r="M89" s="3" t="s">
        <v>716</v>
      </c>
      <c r="N89" s="3" t="s">
        <v>719</v>
      </c>
      <c r="O89" s="3" t="s">
        <v>812</v>
      </c>
      <c r="P89" s="6">
        <v>601.51</v>
      </c>
      <c r="Q89" s="6">
        <v>679.35</v>
      </c>
      <c r="R89" s="6" t="str">
        <f t="shared" si="18"/>
        <v>Medium</v>
      </c>
      <c r="S89" s="6">
        <v>0.188</v>
      </c>
      <c r="T89" s="6">
        <v>3</v>
      </c>
      <c r="U89">
        <f t="shared" si="19"/>
        <v>1654.8966000000003</v>
      </c>
      <c r="V89">
        <f t="shared" si="24"/>
        <v>1239215.3364499996</v>
      </c>
      <c r="W89">
        <f t="shared" si="20"/>
        <v>1804.53</v>
      </c>
      <c r="X89" s="6">
        <f t="shared" si="21"/>
        <v>-149.63339999999971</v>
      </c>
      <c r="Y89">
        <f t="shared" si="22"/>
        <v>-9.0418579626062243E-2</v>
      </c>
      <c r="Z89">
        <v>202508</v>
      </c>
      <c r="AA89" s="18">
        <v>202301</v>
      </c>
      <c r="AB89" t="str">
        <v>Aug-2023</v>
      </c>
      <c r="AC89">
        <f t="shared" si="23"/>
        <v>31</v>
      </c>
      <c r="AD89" t="str">
        <f t="shared" si="25"/>
        <v>Late</v>
      </c>
      <c r="AE89">
        <f t="shared" si="26"/>
        <v>0</v>
      </c>
      <c r="AF89">
        <f t="shared" si="27"/>
        <v>0</v>
      </c>
    </row>
    <row r="90" spans="1:32" x14ac:dyDescent="0.25">
      <c r="A90" s="3" t="s">
        <v>95</v>
      </c>
      <c r="B90" s="4">
        <v>45312</v>
      </c>
      <c r="C90" s="4" t="str">
        <f t="shared" si="14"/>
        <v>Jan-2024</v>
      </c>
      <c r="D90" s="4" t="str">
        <f t="shared" si="15"/>
        <v>Q1</v>
      </c>
      <c r="E90" s="4">
        <v>45316</v>
      </c>
      <c r="F90" s="10">
        <f t="shared" si="16"/>
        <v>4</v>
      </c>
      <c r="G90" s="3" t="s">
        <v>639</v>
      </c>
      <c r="H90" s="3" t="s">
        <v>646</v>
      </c>
      <c r="I90" s="3" t="s">
        <v>672</v>
      </c>
      <c r="J90" t="str">
        <f t="shared" si="17"/>
        <v>Asia &gt; India &gt; Delhi</v>
      </c>
      <c r="K90" s="3" t="s">
        <v>696</v>
      </c>
      <c r="L90" s="3" t="s">
        <v>703</v>
      </c>
      <c r="M90" s="3" t="s">
        <v>704</v>
      </c>
      <c r="N90" s="3" t="s">
        <v>724</v>
      </c>
      <c r="O90" s="3" t="s">
        <v>813</v>
      </c>
      <c r="P90" s="6">
        <v>523.70000000000005</v>
      </c>
      <c r="Q90" s="6">
        <v>1109.92</v>
      </c>
      <c r="R90" s="6" t="str">
        <f t="shared" si="18"/>
        <v>Medium</v>
      </c>
      <c r="S90" s="6">
        <v>0.03</v>
      </c>
      <c r="T90" s="6">
        <v>11</v>
      </c>
      <c r="U90">
        <f t="shared" si="19"/>
        <v>11842.8464</v>
      </c>
      <c r="V90">
        <f t="shared" si="24"/>
        <v>1237560.4398499997</v>
      </c>
      <c r="W90">
        <f t="shared" si="20"/>
        <v>5760.7000000000007</v>
      </c>
      <c r="X90" s="6">
        <f t="shared" si="21"/>
        <v>6082.1463999999996</v>
      </c>
      <c r="Y90">
        <f t="shared" si="22"/>
        <v>0.51357133197302973</v>
      </c>
      <c r="Z90">
        <v>202401</v>
      </c>
      <c r="AA90" s="18">
        <v>202301</v>
      </c>
      <c r="AB90" t="str">
        <v>Jan-2023</v>
      </c>
      <c r="AC90">
        <f t="shared" si="23"/>
        <v>12</v>
      </c>
      <c r="AD90" t="str">
        <f t="shared" si="25"/>
        <v>On Time</v>
      </c>
      <c r="AE90">
        <f t="shared" si="26"/>
        <v>1</v>
      </c>
      <c r="AF90">
        <f t="shared" si="27"/>
        <v>0</v>
      </c>
    </row>
    <row r="91" spans="1:32" x14ac:dyDescent="0.25">
      <c r="A91" s="3" t="s">
        <v>96</v>
      </c>
      <c r="B91" s="4">
        <v>45106</v>
      </c>
      <c r="C91" s="4" t="str">
        <f t="shared" si="14"/>
        <v>Jun-2023</v>
      </c>
      <c r="D91" s="4" t="str">
        <f t="shared" si="15"/>
        <v>Q2</v>
      </c>
      <c r="E91" s="4">
        <v>45109</v>
      </c>
      <c r="F91" s="10">
        <f t="shared" si="16"/>
        <v>3</v>
      </c>
      <c r="G91" s="3" t="s">
        <v>639</v>
      </c>
      <c r="H91" s="3" t="s">
        <v>644</v>
      </c>
      <c r="I91" s="3" t="s">
        <v>686</v>
      </c>
      <c r="J91" t="str">
        <f t="shared" si="17"/>
        <v>Asia &gt; Japan &gt; Nagoya</v>
      </c>
      <c r="K91" s="3" t="s">
        <v>694</v>
      </c>
      <c r="L91" s="3" t="s">
        <v>701</v>
      </c>
      <c r="M91" s="3" t="s">
        <v>713</v>
      </c>
      <c r="N91" s="3" t="s">
        <v>724</v>
      </c>
      <c r="O91" s="3" t="s">
        <v>814</v>
      </c>
      <c r="P91" s="6">
        <v>55.65</v>
      </c>
      <c r="Q91" s="6">
        <v>83.57</v>
      </c>
      <c r="R91" s="6" t="str">
        <f t="shared" si="18"/>
        <v>Low</v>
      </c>
      <c r="S91" s="6">
        <v>6.6000000000000003E-2</v>
      </c>
      <c r="T91" s="6">
        <v>8</v>
      </c>
      <c r="U91">
        <f t="shared" si="19"/>
        <v>624.43503999999996</v>
      </c>
      <c r="V91">
        <f t="shared" si="24"/>
        <v>1237560.4398499997</v>
      </c>
      <c r="W91">
        <f t="shared" si="20"/>
        <v>445.2</v>
      </c>
      <c r="X91" s="6">
        <f t="shared" si="21"/>
        <v>179.23503999999997</v>
      </c>
      <c r="Y91">
        <f t="shared" si="22"/>
        <v>0.2870355257449998</v>
      </c>
      <c r="Z91">
        <v>202306</v>
      </c>
      <c r="AA91" s="18">
        <v>202303</v>
      </c>
      <c r="AB91" t="str">
        <v>Jun-2023</v>
      </c>
      <c r="AC91">
        <f t="shared" si="23"/>
        <v>3</v>
      </c>
      <c r="AD91" t="str">
        <f t="shared" si="25"/>
        <v>On Time</v>
      </c>
      <c r="AE91">
        <f t="shared" si="26"/>
        <v>1</v>
      </c>
      <c r="AF91">
        <f t="shared" si="27"/>
        <v>0</v>
      </c>
    </row>
    <row r="92" spans="1:32" x14ac:dyDescent="0.25">
      <c r="A92" s="3" t="s">
        <v>97</v>
      </c>
      <c r="B92" s="4">
        <v>45775</v>
      </c>
      <c r="C92" s="4" t="str">
        <f t="shared" si="14"/>
        <v>Apr-2025</v>
      </c>
      <c r="D92" s="4" t="str">
        <f t="shared" si="15"/>
        <v>Q2</v>
      </c>
      <c r="E92" s="4">
        <v>45792</v>
      </c>
      <c r="F92" s="10">
        <f t="shared" si="16"/>
        <v>17</v>
      </c>
      <c r="G92" s="3" t="s">
        <v>639</v>
      </c>
      <c r="H92" s="3" t="s">
        <v>644</v>
      </c>
      <c r="I92" s="3" t="s">
        <v>686</v>
      </c>
      <c r="J92" t="str">
        <f t="shared" si="17"/>
        <v>Asia &gt; Japan &gt; Nagoya</v>
      </c>
      <c r="K92" s="3" t="s">
        <v>694</v>
      </c>
      <c r="L92" s="3" t="s">
        <v>703</v>
      </c>
      <c r="M92" s="3" t="s">
        <v>717</v>
      </c>
      <c r="N92" s="3" t="s">
        <v>721</v>
      </c>
      <c r="O92" s="3" t="s">
        <v>815</v>
      </c>
      <c r="P92" s="6">
        <v>691.19</v>
      </c>
      <c r="Q92" s="6">
        <v>1284.3</v>
      </c>
      <c r="R92" s="6" t="str">
        <f t="shared" si="18"/>
        <v>Medium</v>
      </c>
      <c r="S92" s="6">
        <v>7.3999999999999996E-2</v>
      </c>
      <c r="T92" s="6">
        <v>7</v>
      </c>
      <c r="U92">
        <f t="shared" si="19"/>
        <v>8324.8326000000015</v>
      </c>
      <c r="V92">
        <f t="shared" si="24"/>
        <v>1237560.4398499997</v>
      </c>
      <c r="W92">
        <f t="shared" si="20"/>
        <v>4838.33</v>
      </c>
      <c r="X92" s="6">
        <f t="shared" si="21"/>
        <v>3486.5026000000016</v>
      </c>
      <c r="Y92">
        <f t="shared" si="22"/>
        <v>0.41880753253825198</v>
      </c>
      <c r="Z92">
        <v>202504</v>
      </c>
      <c r="AA92" s="18">
        <v>202303</v>
      </c>
      <c r="AB92" t="str">
        <v>Apr-2023</v>
      </c>
      <c r="AC92">
        <f t="shared" si="23"/>
        <v>25</v>
      </c>
      <c r="AD92" t="str">
        <f t="shared" si="25"/>
        <v>Late</v>
      </c>
      <c r="AE92">
        <f t="shared" si="26"/>
        <v>0</v>
      </c>
      <c r="AF92">
        <f t="shared" si="27"/>
        <v>0</v>
      </c>
    </row>
    <row r="93" spans="1:32" x14ac:dyDescent="0.25">
      <c r="A93" s="3" t="s">
        <v>98</v>
      </c>
      <c r="B93" s="4">
        <v>45817</v>
      </c>
      <c r="C93" s="4" t="str">
        <f t="shared" si="14"/>
        <v>Jun-2025</v>
      </c>
      <c r="D93" s="4" t="str">
        <f t="shared" si="15"/>
        <v>Q2</v>
      </c>
      <c r="E93" s="4">
        <v>45833</v>
      </c>
      <c r="F93" s="10">
        <f t="shared" si="16"/>
        <v>16</v>
      </c>
      <c r="G93" s="3" t="s">
        <v>639</v>
      </c>
      <c r="H93" s="3" t="s">
        <v>646</v>
      </c>
      <c r="I93" s="3" t="s">
        <v>688</v>
      </c>
      <c r="J93" t="str">
        <f t="shared" si="17"/>
        <v>Asia &gt; India &gt; Hyderabad</v>
      </c>
      <c r="K93" s="3" t="s">
        <v>698</v>
      </c>
      <c r="L93" s="3" t="s">
        <v>702</v>
      </c>
      <c r="M93" s="3" t="s">
        <v>716</v>
      </c>
      <c r="N93" s="3" t="s">
        <v>722</v>
      </c>
      <c r="O93" s="3" t="s">
        <v>816</v>
      </c>
      <c r="P93" s="6">
        <v>527.33000000000004</v>
      </c>
      <c r="Q93" s="6">
        <v>911.72</v>
      </c>
      <c r="R93" s="6" t="str">
        <f t="shared" si="18"/>
        <v>Medium</v>
      </c>
      <c r="S93" s="6">
        <v>0.14399999999999999</v>
      </c>
      <c r="T93" s="6">
        <v>25</v>
      </c>
      <c r="U93">
        <f t="shared" si="19"/>
        <v>19510.808000000001</v>
      </c>
      <c r="V93">
        <f t="shared" si="24"/>
        <v>1237560.4398499997</v>
      </c>
      <c r="W93">
        <f t="shared" si="20"/>
        <v>13183.250000000002</v>
      </c>
      <c r="X93" s="6">
        <f t="shared" si="21"/>
        <v>6327.5579999999991</v>
      </c>
      <c r="Y93">
        <f t="shared" si="22"/>
        <v>0.32431040272652978</v>
      </c>
      <c r="Z93">
        <v>202506</v>
      </c>
      <c r="AA93" s="18">
        <v>202301</v>
      </c>
      <c r="AB93" t="str">
        <v>Jun-2023</v>
      </c>
      <c r="AC93">
        <f t="shared" si="23"/>
        <v>29</v>
      </c>
      <c r="AD93" t="str">
        <f t="shared" si="25"/>
        <v>Late</v>
      </c>
      <c r="AE93">
        <f t="shared" si="26"/>
        <v>0</v>
      </c>
      <c r="AF93">
        <f t="shared" si="27"/>
        <v>0</v>
      </c>
    </row>
    <row r="94" spans="1:32" x14ac:dyDescent="0.25">
      <c r="A94" s="3" t="s">
        <v>99</v>
      </c>
      <c r="B94" s="4">
        <v>45101</v>
      </c>
      <c r="C94" s="4" t="str">
        <f t="shared" si="14"/>
        <v>Jun-2023</v>
      </c>
      <c r="D94" s="4" t="str">
        <f t="shared" si="15"/>
        <v>Q2</v>
      </c>
      <c r="E94" s="4">
        <v>45102</v>
      </c>
      <c r="F94" s="10">
        <f t="shared" si="16"/>
        <v>1</v>
      </c>
      <c r="G94" s="3" t="s">
        <v>640</v>
      </c>
      <c r="H94" s="3" t="s">
        <v>647</v>
      </c>
      <c r="I94" s="3" t="s">
        <v>684</v>
      </c>
      <c r="J94" t="str">
        <f t="shared" si="17"/>
        <v>Americas &gt; Brazil &gt; Rio de Janeiro</v>
      </c>
      <c r="K94" s="3" t="s">
        <v>695</v>
      </c>
      <c r="L94" s="3" t="s">
        <v>699</v>
      </c>
      <c r="M94" s="3" t="s">
        <v>710</v>
      </c>
      <c r="N94" s="3" t="s">
        <v>720</v>
      </c>
      <c r="O94" s="3" t="s">
        <v>817</v>
      </c>
      <c r="P94" s="6">
        <v>804.01</v>
      </c>
      <c r="Q94" s="6">
        <v>1405.07</v>
      </c>
      <c r="R94" s="6" t="str">
        <f t="shared" si="18"/>
        <v>Medium</v>
      </c>
      <c r="S94" s="6">
        <v>9.6000000000000002E-2</v>
      </c>
      <c r="T94" s="6">
        <v>8</v>
      </c>
      <c r="U94">
        <f t="shared" si="19"/>
        <v>10161.46624</v>
      </c>
      <c r="V94">
        <f t="shared" si="24"/>
        <v>1237560.4398499997</v>
      </c>
      <c r="W94">
        <f t="shared" si="20"/>
        <v>6432.08</v>
      </c>
      <c r="X94" s="6">
        <f t="shared" si="21"/>
        <v>3729.3862399999998</v>
      </c>
      <c r="Y94">
        <f t="shared" si="22"/>
        <v>0.36701260939287439</v>
      </c>
      <c r="Z94">
        <v>202306</v>
      </c>
      <c r="AA94" s="18">
        <v>202301</v>
      </c>
      <c r="AB94" t="str">
        <v>Jun-2023</v>
      </c>
      <c r="AC94">
        <f t="shared" si="23"/>
        <v>5</v>
      </c>
      <c r="AD94" t="str">
        <f t="shared" si="25"/>
        <v>On Time</v>
      </c>
      <c r="AE94">
        <f t="shared" si="26"/>
        <v>1</v>
      </c>
      <c r="AF94">
        <f t="shared" si="27"/>
        <v>0</v>
      </c>
    </row>
    <row r="95" spans="1:32" x14ac:dyDescent="0.25">
      <c r="A95" s="3" t="s">
        <v>100</v>
      </c>
      <c r="B95" s="4">
        <v>45569</v>
      </c>
      <c r="C95" s="4" t="str">
        <f t="shared" si="14"/>
        <v>Oct-2024</v>
      </c>
      <c r="D95" s="4" t="str">
        <f t="shared" si="15"/>
        <v>Q4</v>
      </c>
      <c r="E95" s="4">
        <v>45598</v>
      </c>
      <c r="F95" s="10">
        <f t="shared" si="16"/>
        <v>29</v>
      </c>
      <c r="G95" s="3" t="s">
        <v>638</v>
      </c>
      <c r="H95" s="3" t="s">
        <v>643</v>
      </c>
      <c r="I95" s="3" t="s">
        <v>661</v>
      </c>
      <c r="J95" t="str">
        <f t="shared" si="17"/>
        <v>Africa &gt; Nigeria &gt; Abuja</v>
      </c>
      <c r="K95" s="3" t="s">
        <v>693</v>
      </c>
      <c r="L95" s="3" t="s">
        <v>702</v>
      </c>
      <c r="M95" s="3" t="s">
        <v>713</v>
      </c>
      <c r="N95" s="3" t="s">
        <v>725</v>
      </c>
      <c r="O95" s="3" t="s">
        <v>818</v>
      </c>
      <c r="P95" s="6">
        <v>412.09</v>
      </c>
      <c r="Q95" s="6">
        <v>968.94</v>
      </c>
      <c r="R95" s="6" t="str">
        <f t="shared" si="18"/>
        <v>Low</v>
      </c>
      <c r="S95" s="6">
        <v>9.9000000000000005E-2</v>
      </c>
      <c r="T95" s="6">
        <v>23</v>
      </c>
      <c r="U95">
        <f t="shared" si="19"/>
        <v>20079.343620000003</v>
      </c>
      <c r="V95">
        <f t="shared" si="24"/>
        <v>1237560.4398499997</v>
      </c>
      <c r="W95">
        <f t="shared" si="20"/>
        <v>9478.07</v>
      </c>
      <c r="X95" s="6">
        <f t="shared" si="21"/>
        <v>10601.273620000004</v>
      </c>
      <c r="Y95">
        <f t="shared" si="22"/>
        <v>0.52796913189137418</v>
      </c>
      <c r="Z95">
        <v>202410</v>
      </c>
      <c r="AA95" s="18">
        <v>202301</v>
      </c>
      <c r="AB95" t="str">
        <v>Oct-2023</v>
      </c>
      <c r="AC95">
        <f t="shared" si="23"/>
        <v>21</v>
      </c>
      <c r="AD95" t="str">
        <f t="shared" si="25"/>
        <v>Late</v>
      </c>
      <c r="AE95">
        <f t="shared" si="26"/>
        <v>0</v>
      </c>
      <c r="AF95">
        <f t="shared" si="27"/>
        <v>0</v>
      </c>
    </row>
    <row r="96" spans="1:32" x14ac:dyDescent="0.25">
      <c r="A96" s="3" t="s">
        <v>101</v>
      </c>
      <c r="B96" s="4">
        <v>45910</v>
      </c>
      <c r="C96" s="4" t="str">
        <f t="shared" si="14"/>
        <v>Sept-2025</v>
      </c>
      <c r="D96" s="4" t="str">
        <f t="shared" si="15"/>
        <v>Q3</v>
      </c>
      <c r="E96" s="4">
        <v>45930</v>
      </c>
      <c r="F96" s="10">
        <f t="shared" si="16"/>
        <v>20</v>
      </c>
      <c r="G96" s="3" t="s">
        <v>638</v>
      </c>
      <c r="H96" s="3" t="s">
        <v>642</v>
      </c>
      <c r="I96" s="3" t="s">
        <v>667</v>
      </c>
      <c r="J96" t="str">
        <f t="shared" si="17"/>
        <v>Africa &gt; Kenya &gt; Mombasa</v>
      </c>
      <c r="K96" s="3" t="s">
        <v>693</v>
      </c>
      <c r="L96" s="3" t="s">
        <v>703</v>
      </c>
      <c r="M96" s="3" t="s">
        <v>708</v>
      </c>
      <c r="N96" s="3" t="s">
        <v>722</v>
      </c>
      <c r="O96" s="3" t="s">
        <v>819</v>
      </c>
      <c r="P96" s="6">
        <v>1009.48</v>
      </c>
      <c r="Q96" s="6">
        <v>1088.81</v>
      </c>
      <c r="R96" s="6" t="str">
        <f t="shared" si="18"/>
        <v>High</v>
      </c>
      <c r="S96" s="6">
        <v>0.16</v>
      </c>
      <c r="T96" s="6">
        <v>6</v>
      </c>
      <c r="U96">
        <f t="shared" si="19"/>
        <v>5487.6023999999998</v>
      </c>
      <c r="V96">
        <f t="shared" si="24"/>
        <v>1237560.4398499997</v>
      </c>
      <c r="W96">
        <f t="shared" si="20"/>
        <v>6056.88</v>
      </c>
      <c r="X96" s="6">
        <f t="shared" si="21"/>
        <v>-569.27760000000035</v>
      </c>
      <c r="Y96">
        <f t="shared" si="22"/>
        <v>-0.10373885688219693</v>
      </c>
      <c r="Z96">
        <v>202509</v>
      </c>
      <c r="AA96" s="18">
        <v>202301</v>
      </c>
      <c r="AB96" t="str">
        <v>Sept-2023</v>
      </c>
      <c r="AC96">
        <f t="shared" si="23"/>
        <v>32</v>
      </c>
      <c r="AD96" t="str">
        <f t="shared" si="25"/>
        <v>Late</v>
      </c>
      <c r="AE96">
        <f t="shared" si="26"/>
        <v>0</v>
      </c>
      <c r="AF96">
        <f t="shared" si="27"/>
        <v>0</v>
      </c>
    </row>
    <row r="97" spans="1:32" x14ac:dyDescent="0.25">
      <c r="A97" s="3" t="s">
        <v>102</v>
      </c>
      <c r="B97" s="4">
        <v>45022</v>
      </c>
      <c r="C97" s="4" t="str">
        <f t="shared" si="14"/>
        <v>Apr-2023</v>
      </c>
      <c r="D97" s="4" t="str">
        <f t="shared" si="15"/>
        <v>Q2</v>
      </c>
      <c r="E97" s="4">
        <v>45043</v>
      </c>
      <c r="F97" s="10">
        <f t="shared" si="16"/>
        <v>21</v>
      </c>
      <c r="G97" s="3" t="s">
        <v>641</v>
      </c>
      <c r="H97" s="3" t="s">
        <v>650</v>
      </c>
      <c r="I97" s="3" t="s">
        <v>685</v>
      </c>
      <c r="J97" t="str">
        <f t="shared" si="17"/>
        <v>Europe &gt; United Kingdom &gt; Manchester</v>
      </c>
      <c r="K97" s="3" t="s">
        <v>698</v>
      </c>
      <c r="L97" s="3" t="s">
        <v>702</v>
      </c>
      <c r="M97" s="3" t="s">
        <v>706</v>
      </c>
      <c r="N97" s="3" t="s">
        <v>720</v>
      </c>
      <c r="O97" s="3" t="s">
        <v>820</v>
      </c>
      <c r="P97" s="6">
        <v>1084.79</v>
      </c>
      <c r="Q97" s="6">
        <v>2484.9899999999998</v>
      </c>
      <c r="R97" s="6" t="str">
        <f t="shared" si="18"/>
        <v>High</v>
      </c>
      <c r="S97" s="6">
        <v>3.4000000000000002E-2</v>
      </c>
      <c r="T97" s="6">
        <v>18</v>
      </c>
      <c r="U97">
        <f t="shared" si="19"/>
        <v>43209.006119999991</v>
      </c>
      <c r="V97">
        <f t="shared" si="24"/>
        <v>1237560.4398499997</v>
      </c>
      <c r="W97">
        <f t="shared" si="20"/>
        <v>19526.22</v>
      </c>
      <c r="X97" s="6">
        <f t="shared" si="21"/>
        <v>23682.78611999999</v>
      </c>
      <c r="Y97">
        <f t="shared" si="22"/>
        <v>0.54809837685755114</v>
      </c>
      <c r="Z97">
        <v>202304</v>
      </c>
      <c r="AA97" s="18">
        <v>202301</v>
      </c>
      <c r="AB97" t="str">
        <v>Apr-2023</v>
      </c>
      <c r="AC97">
        <f t="shared" si="23"/>
        <v>3</v>
      </c>
      <c r="AD97" t="str">
        <f t="shared" si="25"/>
        <v>Late</v>
      </c>
      <c r="AE97">
        <f t="shared" si="26"/>
        <v>0</v>
      </c>
      <c r="AF97">
        <f t="shared" si="27"/>
        <v>0</v>
      </c>
    </row>
    <row r="98" spans="1:32" x14ac:dyDescent="0.25">
      <c r="A98" s="3" t="s">
        <v>103</v>
      </c>
      <c r="B98" s="4">
        <v>45870</v>
      </c>
      <c r="C98" s="4" t="str">
        <f t="shared" si="14"/>
        <v>Aug-2025</v>
      </c>
      <c r="D98" s="4" t="str">
        <f t="shared" si="15"/>
        <v>Q3</v>
      </c>
      <c r="E98" s="4">
        <v>45885</v>
      </c>
      <c r="F98" s="10">
        <f t="shared" si="16"/>
        <v>15</v>
      </c>
      <c r="G98" s="3" t="s">
        <v>639</v>
      </c>
      <c r="H98" s="3" t="s">
        <v>646</v>
      </c>
      <c r="I98" s="3" t="s">
        <v>1413</v>
      </c>
      <c r="J98" t="str">
        <f t="shared" si="17"/>
        <v>Asia &gt; India &gt; Not Provided</v>
      </c>
      <c r="K98" s="3" t="s">
        <v>698</v>
      </c>
      <c r="L98" s="3" t="s">
        <v>703</v>
      </c>
      <c r="M98" s="3" t="s">
        <v>711</v>
      </c>
      <c r="N98" s="3" t="s">
        <v>724</v>
      </c>
      <c r="O98" s="3" t="s">
        <v>821</v>
      </c>
      <c r="P98" s="6">
        <v>24.44</v>
      </c>
      <c r="Q98" s="6">
        <v>28.69</v>
      </c>
      <c r="R98" s="6" t="str">
        <f t="shared" si="18"/>
        <v>Low</v>
      </c>
      <c r="S98" s="6">
        <v>0.14599999999999999</v>
      </c>
      <c r="T98" s="6">
        <v>6</v>
      </c>
      <c r="U98">
        <f t="shared" si="19"/>
        <v>147.00756000000001</v>
      </c>
      <c r="V98">
        <f t="shared" si="24"/>
        <v>1237560.4398499997</v>
      </c>
      <c r="W98">
        <f t="shared" si="20"/>
        <v>146.64000000000001</v>
      </c>
      <c r="X98" s="6">
        <f t="shared" si="21"/>
        <v>0.36755999999999744</v>
      </c>
      <c r="Y98">
        <f t="shared" si="22"/>
        <v>2.5002795774584476E-3</v>
      </c>
      <c r="Z98">
        <v>202508</v>
      </c>
      <c r="AA98" s="18">
        <v>202301</v>
      </c>
      <c r="AB98" t="str">
        <v>Aug-2023</v>
      </c>
      <c r="AC98">
        <f t="shared" si="23"/>
        <v>31</v>
      </c>
      <c r="AD98" t="str">
        <f t="shared" si="25"/>
        <v>Late</v>
      </c>
      <c r="AE98">
        <f t="shared" si="26"/>
        <v>0</v>
      </c>
      <c r="AF98">
        <f t="shared" si="27"/>
        <v>0</v>
      </c>
    </row>
    <row r="99" spans="1:32" x14ac:dyDescent="0.25">
      <c r="A99" s="3" t="s">
        <v>104</v>
      </c>
      <c r="B99" s="4">
        <v>45440</v>
      </c>
      <c r="C99" s="4" t="str">
        <f t="shared" si="14"/>
        <v>May-2024</v>
      </c>
      <c r="D99" s="4" t="str">
        <f t="shared" si="15"/>
        <v>Q2</v>
      </c>
      <c r="E99" s="4">
        <v>45442</v>
      </c>
      <c r="F99" s="10">
        <f t="shared" si="16"/>
        <v>2</v>
      </c>
      <c r="G99" s="3" t="s">
        <v>638</v>
      </c>
      <c r="H99" s="3" t="s">
        <v>643</v>
      </c>
      <c r="I99" s="3" t="s">
        <v>661</v>
      </c>
      <c r="J99" t="str">
        <f t="shared" si="17"/>
        <v>Africa &gt; Nigeria &gt; Abuja</v>
      </c>
      <c r="K99" s="3" t="s">
        <v>698</v>
      </c>
      <c r="L99" s="3" t="s">
        <v>700</v>
      </c>
      <c r="M99" s="3" t="s">
        <v>713</v>
      </c>
      <c r="N99" s="3" t="s">
        <v>725</v>
      </c>
      <c r="O99" s="3" t="s">
        <v>822</v>
      </c>
      <c r="P99" s="6">
        <v>1227.08</v>
      </c>
      <c r="Q99" s="6">
        <v>1896.62</v>
      </c>
      <c r="R99" s="6" t="str">
        <f t="shared" si="18"/>
        <v>High</v>
      </c>
      <c r="S99" s="6">
        <v>0</v>
      </c>
      <c r="T99" s="6">
        <v>18</v>
      </c>
      <c r="U99">
        <f t="shared" si="19"/>
        <v>34139.159999999996</v>
      </c>
      <c r="V99">
        <f t="shared" si="24"/>
        <v>1237560.4398499997</v>
      </c>
      <c r="W99">
        <f t="shared" si="20"/>
        <v>22087.439999999999</v>
      </c>
      <c r="X99" s="6">
        <f t="shared" si="21"/>
        <v>12051.719999999998</v>
      </c>
      <c r="Y99">
        <f t="shared" si="22"/>
        <v>0.353017473189147</v>
      </c>
      <c r="Z99">
        <v>202405</v>
      </c>
      <c r="AA99" s="18">
        <v>202301</v>
      </c>
      <c r="AB99" t="str">
        <v>May-2023</v>
      </c>
      <c r="AC99">
        <f t="shared" si="23"/>
        <v>16</v>
      </c>
      <c r="AD99" t="str">
        <f t="shared" si="25"/>
        <v>On Time</v>
      </c>
      <c r="AE99">
        <f t="shared" si="26"/>
        <v>1</v>
      </c>
      <c r="AF99">
        <f t="shared" si="27"/>
        <v>0</v>
      </c>
    </row>
    <row r="100" spans="1:32" x14ac:dyDescent="0.25">
      <c r="A100" s="3" t="s">
        <v>105</v>
      </c>
      <c r="B100" s="4">
        <v>45860</v>
      </c>
      <c r="C100" s="4" t="str">
        <f t="shared" si="14"/>
        <v>Jul-2025</v>
      </c>
      <c r="D100" s="4" t="str">
        <f t="shared" si="15"/>
        <v>Q3</v>
      </c>
      <c r="E100" s="4">
        <v>45887</v>
      </c>
      <c r="F100" s="10">
        <f t="shared" si="16"/>
        <v>27</v>
      </c>
      <c r="G100" s="3" t="s">
        <v>639</v>
      </c>
      <c r="H100" s="3" t="s">
        <v>651</v>
      </c>
      <c r="I100" s="3" t="s">
        <v>668</v>
      </c>
      <c r="J100" t="str">
        <f t="shared" si="17"/>
        <v>Asia &gt; China &gt; Shenzhen</v>
      </c>
      <c r="K100" s="3" t="s">
        <v>695</v>
      </c>
      <c r="L100" s="3" t="s">
        <v>701</v>
      </c>
      <c r="M100" s="3" t="s">
        <v>716</v>
      </c>
      <c r="N100" s="3" t="s">
        <v>721</v>
      </c>
      <c r="O100" s="3" t="s">
        <v>823</v>
      </c>
      <c r="P100" s="6">
        <v>547.32000000000005</v>
      </c>
      <c r="Q100" s="6">
        <v>419.17</v>
      </c>
      <c r="R100" s="6" t="str">
        <f t="shared" si="18"/>
        <v>Medium</v>
      </c>
      <c r="S100" s="6">
        <v>9.1999999999999998E-2</v>
      </c>
      <c r="T100" s="6">
        <v>14</v>
      </c>
      <c r="U100">
        <f t="shared" si="19"/>
        <v>5328.4890400000004</v>
      </c>
      <c r="V100">
        <f t="shared" si="24"/>
        <v>1237560.4398499997</v>
      </c>
      <c r="W100">
        <f t="shared" si="20"/>
        <v>7662.4800000000005</v>
      </c>
      <c r="X100" s="6">
        <f t="shared" si="21"/>
        <v>-2333.9909600000001</v>
      </c>
      <c r="Y100">
        <f t="shared" si="22"/>
        <v>-0.43802116181137907</v>
      </c>
      <c r="Z100">
        <v>202507</v>
      </c>
      <c r="AA100" s="18">
        <v>202301</v>
      </c>
      <c r="AB100" t="str">
        <v>Jul-2023</v>
      </c>
      <c r="AC100">
        <f t="shared" si="23"/>
        <v>30</v>
      </c>
      <c r="AD100" t="str">
        <f t="shared" si="25"/>
        <v>Late</v>
      </c>
      <c r="AE100">
        <f t="shared" si="26"/>
        <v>0</v>
      </c>
      <c r="AF100">
        <f t="shared" si="27"/>
        <v>0</v>
      </c>
    </row>
    <row r="101" spans="1:32" x14ac:dyDescent="0.25">
      <c r="A101" s="3" t="s">
        <v>106</v>
      </c>
      <c r="B101" s="4">
        <v>44985</v>
      </c>
      <c r="C101" s="4" t="str">
        <f t="shared" si="14"/>
        <v>Feb-2023</v>
      </c>
      <c r="D101" s="4" t="str">
        <f t="shared" si="15"/>
        <v>Q1</v>
      </c>
      <c r="E101" s="4">
        <v>45005</v>
      </c>
      <c r="F101" s="10">
        <f t="shared" si="16"/>
        <v>20</v>
      </c>
      <c r="G101" s="3" t="s">
        <v>641</v>
      </c>
      <c r="H101" s="3" t="s">
        <v>648</v>
      </c>
      <c r="I101" s="3" t="s">
        <v>663</v>
      </c>
      <c r="J101" t="str">
        <f t="shared" si="17"/>
        <v>Europe &gt; Germany &gt; Berlin</v>
      </c>
      <c r="K101" s="3" t="s">
        <v>697</v>
      </c>
      <c r="L101" s="3" t="s">
        <v>703</v>
      </c>
      <c r="M101" s="3" t="s">
        <v>714</v>
      </c>
      <c r="N101" s="3" t="s">
        <v>723</v>
      </c>
      <c r="O101" s="3" t="s">
        <v>824</v>
      </c>
      <c r="P101" s="6">
        <v>1200.78</v>
      </c>
      <c r="Q101" s="6">
        <v>2001.17</v>
      </c>
      <c r="R101" s="6" t="str">
        <f t="shared" si="18"/>
        <v>High</v>
      </c>
      <c r="S101" s="6">
        <v>0.29199999999999998</v>
      </c>
      <c r="T101" s="6">
        <v>18</v>
      </c>
      <c r="U101">
        <f t="shared" si="19"/>
        <v>25502.910479999999</v>
      </c>
      <c r="V101">
        <f t="shared" si="24"/>
        <v>1237560.4398499997</v>
      </c>
      <c r="W101">
        <f t="shared" si="20"/>
        <v>21614.04</v>
      </c>
      <c r="X101" s="6">
        <f t="shared" si="21"/>
        <v>3888.8704799999978</v>
      </c>
      <c r="Y101">
        <f t="shared" si="22"/>
        <v>0.15248732034132906</v>
      </c>
      <c r="Z101">
        <v>202302</v>
      </c>
      <c r="AA101" s="18">
        <v>202301</v>
      </c>
      <c r="AB101" t="str">
        <v>Feb-2023</v>
      </c>
      <c r="AC101">
        <f t="shared" si="23"/>
        <v>1</v>
      </c>
      <c r="AD101" t="str">
        <f t="shared" si="25"/>
        <v>Late</v>
      </c>
      <c r="AE101">
        <f t="shared" si="26"/>
        <v>0</v>
      </c>
      <c r="AF101">
        <f t="shared" si="27"/>
        <v>1</v>
      </c>
    </row>
    <row r="102" spans="1:32" x14ac:dyDescent="0.25">
      <c r="A102" s="3" t="s">
        <v>107</v>
      </c>
      <c r="B102" s="4">
        <v>45684</v>
      </c>
      <c r="C102" s="4" t="str">
        <f t="shared" si="14"/>
        <v>Jan-2025</v>
      </c>
      <c r="D102" s="4" t="str">
        <f t="shared" si="15"/>
        <v>Q1</v>
      </c>
      <c r="E102" s="4">
        <v>45703</v>
      </c>
      <c r="F102" s="10">
        <f t="shared" si="16"/>
        <v>19</v>
      </c>
      <c r="G102" s="3" t="s">
        <v>639</v>
      </c>
      <c r="H102" s="3" t="s">
        <v>651</v>
      </c>
      <c r="I102" s="3" t="s">
        <v>668</v>
      </c>
      <c r="J102" t="str">
        <f t="shared" si="17"/>
        <v>Asia &gt; China &gt; Shenzhen</v>
      </c>
      <c r="K102" s="3" t="s">
        <v>695</v>
      </c>
      <c r="L102" s="3" t="s">
        <v>703</v>
      </c>
      <c r="M102" s="3" t="s">
        <v>708</v>
      </c>
      <c r="N102" s="3" t="s">
        <v>722</v>
      </c>
      <c r="O102" s="3" t="s">
        <v>825</v>
      </c>
      <c r="P102" s="6">
        <v>1253.22</v>
      </c>
      <c r="Q102" s="6">
        <v>3104.71</v>
      </c>
      <c r="R102" s="6" t="str">
        <f t="shared" si="18"/>
        <v>High</v>
      </c>
      <c r="S102" s="6">
        <v>0</v>
      </c>
      <c r="T102" s="6">
        <v>17</v>
      </c>
      <c r="U102">
        <f t="shared" si="19"/>
        <v>52780.07</v>
      </c>
      <c r="V102">
        <f t="shared" si="24"/>
        <v>1237560.4398499997</v>
      </c>
      <c r="W102">
        <f t="shared" si="20"/>
        <v>21304.74</v>
      </c>
      <c r="X102" s="6">
        <f t="shared" si="21"/>
        <v>31475.329999999998</v>
      </c>
      <c r="Y102">
        <f t="shared" si="22"/>
        <v>0.59634877331538205</v>
      </c>
      <c r="Z102">
        <v>202501</v>
      </c>
      <c r="AA102" s="18">
        <v>202301</v>
      </c>
      <c r="AB102" t="str">
        <v>Jan-2023</v>
      </c>
      <c r="AC102">
        <f t="shared" si="23"/>
        <v>24</v>
      </c>
      <c r="AD102" t="str">
        <f t="shared" si="25"/>
        <v>Late</v>
      </c>
      <c r="AE102">
        <f t="shared" si="26"/>
        <v>0</v>
      </c>
      <c r="AF102">
        <f t="shared" si="27"/>
        <v>0</v>
      </c>
    </row>
    <row r="103" spans="1:32" x14ac:dyDescent="0.25">
      <c r="A103" s="3" t="s">
        <v>108</v>
      </c>
      <c r="B103" s="4">
        <v>45304</v>
      </c>
      <c r="C103" s="4" t="str">
        <f t="shared" si="14"/>
        <v>Jan-2024</v>
      </c>
      <c r="D103" s="4" t="str">
        <f t="shared" si="15"/>
        <v>Q1</v>
      </c>
      <c r="E103" s="4">
        <v>45313</v>
      </c>
      <c r="F103" s="10">
        <f t="shared" si="16"/>
        <v>9</v>
      </c>
      <c r="G103" s="3" t="s">
        <v>639</v>
      </c>
      <c r="H103" s="3" t="s">
        <v>646</v>
      </c>
      <c r="I103" s="3" t="s">
        <v>683</v>
      </c>
      <c r="J103" t="str">
        <f t="shared" si="17"/>
        <v>Asia &gt; India &gt; Mumbai</v>
      </c>
      <c r="K103" s="3" t="s">
        <v>698</v>
      </c>
      <c r="L103" s="3" t="s">
        <v>701</v>
      </c>
      <c r="M103" s="3" t="s">
        <v>705</v>
      </c>
      <c r="N103" s="3" t="s">
        <v>719</v>
      </c>
      <c r="O103" s="3" t="s">
        <v>826</v>
      </c>
      <c r="P103" s="6">
        <v>313.60000000000002</v>
      </c>
      <c r="Q103" s="6">
        <v>334.28</v>
      </c>
      <c r="R103" s="6" t="str">
        <f t="shared" si="18"/>
        <v>Low</v>
      </c>
      <c r="S103" s="6">
        <v>0.14000000000000001</v>
      </c>
      <c r="T103" s="6">
        <v>22</v>
      </c>
      <c r="U103">
        <f t="shared" si="19"/>
        <v>6324.5775999999996</v>
      </c>
      <c r="V103">
        <f t="shared" si="24"/>
        <v>1237560.4398499997</v>
      </c>
      <c r="W103">
        <f t="shared" si="20"/>
        <v>6899.2000000000007</v>
      </c>
      <c r="X103" s="6">
        <f t="shared" si="21"/>
        <v>-574.62240000000111</v>
      </c>
      <c r="Y103">
        <f t="shared" si="22"/>
        <v>-9.0855458868905517E-2</v>
      </c>
      <c r="Z103">
        <v>202401</v>
      </c>
      <c r="AA103" s="18">
        <v>202301</v>
      </c>
      <c r="AB103" t="str">
        <v>Jan-2023</v>
      </c>
      <c r="AC103">
        <f t="shared" si="23"/>
        <v>12</v>
      </c>
      <c r="AD103" t="str">
        <f t="shared" si="25"/>
        <v>Late</v>
      </c>
      <c r="AE103">
        <f t="shared" si="26"/>
        <v>0</v>
      </c>
      <c r="AF103">
        <f t="shared" si="27"/>
        <v>0</v>
      </c>
    </row>
    <row r="104" spans="1:32" x14ac:dyDescent="0.25">
      <c r="A104" s="3" t="s">
        <v>109</v>
      </c>
      <c r="B104" s="4">
        <v>45747</v>
      </c>
      <c r="C104" s="4" t="str">
        <f t="shared" si="14"/>
        <v>Mar-2025</v>
      </c>
      <c r="D104" s="4" t="str">
        <f t="shared" si="15"/>
        <v>Q1</v>
      </c>
      <c r="E104" s="4">
        <v>45751</v>
      </c>
      <c r="F104" s="10">
        <f t="shared" si="16"/>
        <v>4</v>
      </c>
      <c r="G104" s="3" t="s">
        <v>638</v>
      </c>
      <c r="H104" s="3" t="s">
        <v>642</v>
      </c>
      <c r="I104" s="3" t="s">
        <v>670</v>
      </c>
      <c r="J104" t="str">
        <f t="shared" si="17"/>
        <v>Africa &gt; Kenya &gt; Nakuru</v>
      </c>
      <c r="K104" s="3" t="s">
        <v>693</v>
      </c>
      <c r="L104" s="3" t="s">
        <v>703</v>
      </c>
      <c r="M104" s="3" t="s">
        <v>704</v>
      </c>
      <c r="N104" s="3" t="s">
        <v>723</v>
      </c>
      <c r="O104" s="3" t="s">
        <v>827</v>
      </c>
      <c r="P104" s="6">
        <v>862.08</v>
      </c>
      <c r="Q104" s="6">
        <v>1952.83</v>
      </c>
      <c r="R104" s="6" t="str">
        <f t="shared" si="18"/>
        <v>Medium</v>
      </c>
      <c r="S104" s="6">
        <v>0</v>
      </c>
      <c r="T104" s="6">
        <v>7</v>
      </c>
      <c r="U104">
        <f t="shared" si="19"/>
        <v>13669.81</v>
      </c>
      <c r="V104">
        <f t="shared" si="24"/>
        <v>1231235.8622499995</v>
      </c>
      <c r="W104">
        <f t="shared" si="20"/>
        <v>6034.56</v>
      </c>
      <c r="X104" s="6">
        <f t="shared" si="21"/>
        <v>7635.2499999999991</v>
      </c>
      <c r="Y104">
        <f t="shared" si="22"/>
        <v>0.5585483631447693</v>
      </c>
      <c r="Z104">
        <v>202503</v>
      </c>
      <c r="AA104" s="18">
        <v>202301</v>
      </c>
      <c r="AB104" t="str">
        <v>Mar-2023</v>
      </c>
      <c r="AC104">
        <f t="shared" si="23"/>
        <v>26</v>
      </c>
      <c r="AD104" t="str">
        <f t="shared" si="25"/>
        <v>On Time</v>
      </c>
      <c r="AE104">
        <f t="shared" si="26"/>
        <v>1</v>
      </c>
      <c r="AF104">
        <f t="shared" si="27"/>
        <v>0</v>
      </c>
    </row>
    <row r="105" spans="1:32" x14ac:dyDescent="0.25">
      <c r="A105" s="3" t="s">
        <v>110</v>
      </c>
      <c r="B105" s="4">
        <v>45631</v>
      </c>
      <c r="C105" s="4" t="str">
        <f t="shared" si="14"/>
        <v>Dec-2024</v>
      </c>
      <c r="D105" s="4" t="str">
        <f t="shared" si="15"/>
        <v>Q4</v>
      </c>
      <c r="E105" s="4">
        <v>45654</v>
      </c>
      <c r="F105" s="10">
        <f t="shared" si="16"/>
        <v>23</v>
      </c>
      <c r="G105" s="3" t="s">
        <v>640</v>
      </c>
      <c r="H105" s="3" t="s">
        <v>645</v>
      </c>
      <c r="I105" s="3" t="s">
        <v>680</v>
      </c>
      <c r="J105" t="str">
        <f t="shared" si="17"/>
        <v>Americas &gt; Canada &gt; Vancouver</v>
      </c>
      <c r="K105" s="3" t="s">
        <v>693</v>
      </c>
      <c r="L105" s="3" t="s">
        <v>703</v>
      </c>
      <c r="M105" s="3" t="s">
        <v>713</v>
      </c>
      <c r="N105" s="3" t="s">
        <v>725</v>
      </c>
      <c r="O105" s="3" t="s">
        <v>828</v>
      </c>
      <c r="P105" s="6">
        <v>107.03</v>
      </c>
      <c r="Q105" s="6">
        <v>242.29</v>
      </c>
      <c r="R105" s="6" t="str">
        <f t="shared" si="18"/>
        <v>Low</v>
      </c>
      <c r="S105" s="6">
        <v>0.18</v>
      </c>
      <c r="T105" s="6">
        <v>30</v>
      </c>
      <c r="U105">
        <f t="shared" si="19"/>
        <v>5960.3340000000007</v>
      </c>
      <c r="V105">
        <f t="shared" si="24"/>
        <v>1231235.8622499995</v>
      </c>
      <c r="W105">
        <f t="shared" si="20"/>
        <v>3210.9</v>
      </c>
      <c r="X105" s="6">
        <f t="shared" si="21"/>
        <v>2749.4340000000007</v>
      </c>
      <c r="Y105">
        <f t="shared" si="22"/>
        <v>0.46128857879440988</v>
      </c>
      <c r="Z105">
        <v>202412</v>
      </c>
      <c r="AA105" s="18">
        <v>202301</v>
      </c>
      <c r="AB105" t="str">
        <v>Dec-2023</v>
      </c>
      <c r="AC105">
        <f t="shared" si="23"/>
        <v>23</v>
      </c>
      <c r="AD105" t="str">
        <f t="shared" si="25"/>
        <v>Late</v>
      </c>
      <c r="AE105">
        <f t="shared" si="26"/>
        <v>0</v>
      </c>
      <c r="AF105">
        <f t="shared" si="27"/>
        <v>0</v>
      </c>
    </row>
    <row r="106" spans="1:32" x14ac:dyDescent="0.25">
      <c r="A106" s="3" t="s">
        <v>111</v>
      </c>
      <c r="B106" s="4">
        <v>45549</v>
      </c>
      <c r="C106" s="4" t="str">
        <f t="shared" si="14"/>
        <v>Sept-2024</v>
      </c>
      <c r="D106" s="4" t="str">
        <f t="shared" si="15"/>
        <v>Q3</v>
      </c>
      <c r="E106" s="4">
        <v>45570</v>
      </c>
      <c r="F106" s="10">
        <f t="shared" si="16"/>
        <v>21</v>
      </c>
      <c r="G106" s="3" t="s">
        <v>639</v>
      </c>
      <c r="H106" s="3" t="s">
        <v>651</v>
      </c>
      <c r="I106" s="3" t="s">
        <v>677</v>
      </c>
      <c r="J106" t="str">
        <f t="shared" si="17"/>
        <v>Asia &gt; China &gt; Shanghai</v>
      </c>
      <c r="K106" s="3" t="s">
        <v>697</v>
      </c>
      <c r="L106" s="3" t="s">
        <v>700</v>
      </c>
      <c r="M106" s="3" t="s">
        <v>714</v>
      </c>
      <c r="N106" s="3" t="s">
        <v>723</v>
      </c>
      <c r="O106" s="3" t="s">
        <v>829</v>
      </c>
      <c r="P106" s="6">
        <v>1405.56</v>
      </c>
      <c r="Q106" s="6">
        <v>2968.87</v>
      </c>
      <c r="R106" s="6" t="str">
        <f t="shared" si="18"/>
        <v>High</v>
      </c>
      <c r="S106" s="6">
        <v>0.16900000000000001</v>
      </c>
      <c r="T106" s="6">
        <v>5</v>
      </c>
      <c r="U106">
        <f t="shared" si="19"/>
        <v>12335.654849999999</v>
      </c>
      <c r="V106">
        <f t="shared" si="24"/>
        <v>1231235.8622499995</v>
      </c>
      <c r="W106">
        <f t="shared" si="20"/>
        <v>7027.7999999999993</v>
      </c>
      <c r="X106" s="6">
        <f t="shared" si="21"/>
        <v>5307.8548499999997</v>
      </c>
      <c r="Y106">
        <f t="shared" si="22"/>
        <v>0.4302856163327235</v>
      </c>
      <c r="Z106">
        <v>202409</v>
      </c>
      <c r="AA106" s="18">
        <v>202301</v>
      </c>
      <c r="AB106" t="str">
        <v>Sept-2023</v>
      </c>
      <c r="AC106">
        <f t="shared" si="23"/>
        <v>20</v>
      </c>
      <c r="AD106" t="str">
        <f t="shared" si="25"/>
        <v>Late</v>
      </c>
      <c r="AE106">
        <f t="shared" si="26"/>
        <v>0</v>
      </c>
      <c r="AF106">
        <f t="shared" si="27"/>
        <v>0</v>
      </c>
    </row>
    <row r="107" spans="1:32" x14ac:dyDescent="0.25">
      <c r="A107" s="3" t="s">
        <v>112</v>
      </c>
      <c r="B107" s="4">
        <v>45433</v>
      </c>
      <c r="C107" s="4" t="str">
        <f t="shared" si="14"/>
        <v>May-2024</v>
      </c>
      <c r="D107" s="4" t="str">
        <f t="shared" si="15"/>
        <v>Q2</v>
      </c>
      <c r="E107" s="4">
        <v>45439</v>
      </c>
      <c r="F107" s="10">
        <f t="shared" si="16"/>
        <v>6</v>
      </c>
      <c r="G107" s="3" t="s">
        <v>638</v>
      </c>
      <c r="H107" s="3" t="s">
        <v>653</v>
      </c>
      <c r="I107" s="3" t="s">
        <v>674</v>
      </c>
      <c r="J107" t="str">
        <f t="shared" si="17"/>
        <v>Africa &gt; South Africa &gt; Johannesburg</v>
      </c>
      <c r="K107" s="3" t="s">
        <v>695</v>
      </c>
      <c r="L107" s="3" t="s">
        <v>700</v>
      </c>
      <c r="M107" s="3" t="s">
        <v>716</v>
      </c>
      <c r="N107" s="3" t="s">
        <v>719</v>
      </c>
      <c r="O107" s="3" t="s">
        <v>830</v>
      </c>
      <c r="P107" s="6">
        <v>1157.51</v>
      </c>
      <c r="Q107" s="6">
        <v>1394.3</v>
      </c>
      <c r="R107" s="6" t="str">
        <f t="shared" si="18"/>
        <v>High</v>
      </c>
      <c r="S107" s="6">
        <v>0.27800000000000002</v>
      </c>
      <c r="T107" s="6">
        <v>12</v>
      </c>
      <c r="U107">
        <f t="shared" si="19"/>
        <v>12080.215199999999</v>
      </c>
      <c r="V107">
        <f t="shared" si="24"/>
        <v>1231235.8622499995</v>
      </c>
      <c r="W107">
        <f t="shared" si="20"/>
        <v>13890.119999999999</v>
      </c>
      <c r="X107" s="6">
        <f t="shared" si="21"/>
        <v>-1809.9048000000003</v>
      </c>
      <c r="Y107">
        <f t="shared" si="22"/>
        <v>-0.14982388724333326</v>
      </c>
      <c r="Z107">
        <v>202405</v>
      </c>
      <c r="AA107" s="18">
        <v>202301</v>
      </c>
      <c r="AB107" t="str">
        <v>May-2023</v>
      </c>
      <c r="AC107">
        <f t="shared" si="23"/>
        <v>16</v>
      </c>
      <c r="AD107" t="str">
        <f t="shared" si="25"/>
        <v>On Time</v>
      </c>
      <c r="AE107">
        <f t="shared" si="26"/>
        <v>1</v>
      </c>
      <c r="AF107">
        <f t="shared" si="27"/>
        <v>1</v>
      </c>
    </row>
    <row r="108" spans="1:32" x14ac:dyDescent="0.25">
      <c r="A108" s="3" t="s">
        <v>113</v>
      </c>
      <c r="B108" s="4">
        <v>45057</v>
      </c>
      <c r="C108" s="4" t="str">
        <f t="shared" si="14"/>
        <v>May-2023</v>
      </c>
      <c r="D108" s="4" t="str">
        <f t="shared" si="15"/>
        <v>Q2</v>
      </c>
      <c r="E108" s="4">
        <v>45084</v>
      </c>
      <c r="F108" s="10">
        <f t="shared" si="16"/>
        <v>27</v>
      </c>
      <c r="G108" s="3" t="s">
        <v>638</v>
      </c>
      <c r="H108" s="3" t="s">
        <v>642</v>
      </c>
      <c r="I108" s="3" t="s">
        <v>667</v>
      </c>
      <c r="J108" t="str">
        <f t="shared" si="17"/>
        <v>Africa &gt; Kenya &gt; Mombasa</v>
      </c>
      <c r="K108" s="3" t="s">
        <v>693</v>
      </c>
      <c r="L108" s="3" t="s">
        <v>700</v>
      </c>
      <c r="M108" s="3" t="s">
        <v>705</v>
      </c>
      <c r="N108" s="3" t="s">
        <v>722</v>
      </c>
      <c r="O108" s="3" t="s">
        <v>831</v>
      </c>
      <c r="P108" s="6">
        <v>12.85</v>
      </c>
      <c r="Q108" s="6">
        <v>15.41</v>
      </c>
      <c r="R108" s="6" t="str">
        <f t="shared" si="18"/>
        <v>Low</v>
      </c>
      <c r="S108" s="6">
        <v>0.13700000000000001</v>
      </c>
      <c r="T108" s="6">
        <v>39</v>
      </c>
      <c r="U108">
        <f t="shared" si="19"/>
        <v>518.65436999999997</v>
      </c>
      <c r="V108">
        <f t="shared" si="24"/>
        <v>1219155.6470499996</v>
      </c>
      <c r="W108">
        <f t="shared" si="20"/>
        <v>501.15</v>
      </c>
      <c r="X108" s="6">
        <f t="shared" si="21"/>
        <v>17.504369999999994</v>
      </c>
      <c r="Y108">
        <f t="shared" si="22"/>
        <v>3.3749585489851353E-2</v>
      </c>
      <c r="Z108">
        <v>202305</v>
      </c>
      <c r="AA108" s="18">
        <v>202301</v>
      </c>
      <c r="AB108" t="str">
        <v>May-2023</v>
      </c>
      <c r="AC108">
        <f t="shared" si="23"/>
        <v>4</v>
      </c>
      <c r="AD108" t="str">
        <f t="shared" si="25"/>
        <v>Late</v>
      </c>
      <c r="AE108">
        <f t="shared" si="26"/>
        <v>0</v>
      </c>
      <c r="AF108">
        <f t="shared" si="27"/>
        <v>0</v>
      </c>
    </row>
    <row r="109" spans="1:32" x14ac:dyDescent="0.25">
      <c r="A109" s="3" t="s">
        <v>114</v>
      </c>
      <c r="B109" s="4">
        <v>45518</v>
      </c>
      <c r="C109" s="4" t="str">
        <f t="shared" si="14"/>
        <v>Aug-2024</v>
      </c>
      <c r="D109" s="4" t="str">
        <f t="shared" si="15"/>
        <v>Q3</v>
      </c>
      <c r="E109" s="4">
        <v>45539</v>
      </c>
      <c r="F109" s="10">
        <f t="shared" si="16"/>
        <v>21</v>
      </c>
      <c r="G109" s="3" t="s">
        <v>641</v>
      </c>
      <c r="H109" s="3" t="s">
        <v>650</v>
      </c>
      <c r="I109" s="3" t="s">
        <v>685</v>
      </c>
      <c r="J109" t="str">
        <f t="shared" si="17"/>
        <v>Europe &gt; United Kingdom &gt; Manchester</v>
      </c>
      <c r="K109" s="3" t="s">
        <v>695</v>
      </c>
      <c r="L109" s="3" t="s">
        <v>700</v>
      </c>
      <c r="M109" s="3" t="s">
        <v>705</v>
      </c>
      <c r="N109" s="3" t="s">
        <v>722</v>
      </c>
      <c r="O109" s="3" t="s">
        <v>832</v>
      </c>
      <c r="P109" s="6">
        <v>1138.8</v>
      </c>
      <c r="Q109" s="6">
        <v>2250.81</v>
      </c>
      <c r="R109" s="6" t="str">
        <f t="shared" si="18"/>
        <v>High</v>
      </c>
      <c r="S109" s="6">
        <v>0.123</v>
      </c>
      <c r="T109" s="6">
        <v>12</v>
      </c>
      <c r="U109">
        <f t="shared" si="19"/>
        <v>23687.524440000001</v>
      </c>
      <c r="V109">
        <f t="shared" si="24"/>
        <v>1219155.6470499996</v>
      </c>
      <c r="W109">
        <f t="shared" si="20"/>
        <v>13665.599999999999</v>
      </c>
      <c r="X109" s="6">
        <f t="shared" si="21"/>
        <v>10021.924440000003</v>
      </c>
      <c r="Y109">
        <f t="shared" si="22"/>
        <v>0.42308872188756258</v>
      </c>
      <c r="Z109">
        <v>202408</v>
      </c>
      <c r="AA109" s="18">
        <v>202301</v>
      </c>
      <c r="AB109" t="str">
        <v>Aug-2023</v>
      </c>
      <c r="AC109">
        <f t="shared" si="23"/>
        <v>19</v>
      </c>
      <c r="AD109" t="str">
        <f t="shared" si="25"/>
        <v>Late</v>
      </c>
      <c r="AE109">
        <f t="shared" si="26"/>
        <v>0</v>
      </c>
      <c r="AF109">
        <f t="shared" si="27"/>
        <v>0</v>
      </c>
    </row>
    <row r="110" spans="1:32" x14ac:dyDescent="0.25">
      <c r="A110" s="3" t="s">
        <v>115</v>
      </c>
      <c r="B110" s="4">
        <v>45581</v>
      </c>
      <c r="C110" s="4" t="str">
        <f t="shared" si="14"/>
        <v>Oct-2024</v>
      </c>
      <c r="D110" s="4" t="str">
        <f t="shared" si="15"/>
        <v>Q4</v>
      </c>
      <c r="E110" s="4">
        <v>45604</v>
      </c>
      <c r="F110" s="10">
        <f t="shared" si="16"/>
        <v>23</v>
      </c>
      <c r="G110" s="3" t="s">
        <v>639</v>
      </c>
      <c r="H110" s="3" t="s">
        <v>644</v>
      </c>
      <c r="I110" s="3" t="s">
        <v>658</v>
      </c>
      <c r="J110" t="str">
        <f t="shared" si="17"/>
        <v>Asia &gt; Japan &gt; Osaka</v>
      </c>
      <c r="K110" s="3" t="s">
        <v>697</v>
      </c>
      <c r="L110" s="3" t="s">
        <v>699</v>
      </c>
      <c r="M110" s="3" t="s">
        <v>705</v>
      </c>
      <c r="N110" s="3" t="s">
        <v>721</v>
      </c>
      <c r="O110" s="3" t="s">
        <v>833</v>
      </c>
      <c r="P110" s="6">
        <v>82.14</v>
      </c>
      <c r="Q110" s="6">
        <v>166.04</v>
      </c>
      <c r="R110" s="6" t="str">
        <f t="shared" si="18"/>
        <v>Low</v>
      </c>
      <c r="S110" s="6">
        <v>0</v>
      </c>
      <c r="T110" s="6">
        <v>10</v>
      </c>
      <c r="U110">
        <f t="shared" si="19"/>
        <v>1660.3999999999999</v>
      </c>
      <c r="V110">
        <f t="shared" si="24"/>
        <v>1219155.6470499996</v>
      </c>
      <c r="W110">
        <f t="shared" si="20"/>
        <v>821.4</v>
      </c>
      <c r="X110" s="6">
        <f t="shared" si="21"/>
        <v>838.99999999999989</v>
      </c>
      <c r="Y110">
        <f t="shared" si="22"/>
        <v>0.50529992772825827</v>
      </c>
      <c r="Z110">
        <v>202410</v>
      </c>
      <c r="AA110" s="18">
        <v>202303</v>
      </c>
      <c r="AB110" t="str">
        <v>Oct-2023</v>
      </c>
      <c r="AC110">
        <f t="shared" si="23"/>
        <v>19</v>
      </c>
      <c r="AD110" t="str">
        <f t="shared" si="25"/>
        <v>Late</v>
      </c>
      <c r="AE110">
        <f t="shared" si="26"/>
        <v>0</v>
      </c>
      <c r="AF110">
        <f t="shared" si="27"/>
        <v>0</v>
      </c>
    </row>
    <row r="111" spans="1:32" x14ac:dyDescent="0.25">
      <c r="A111" s="3" t="s">
        <v>116</v>
      </c>
      <c r="B111" s="4">
        <v>45445</v>
      </c>
      <c r="C111" s="4" t="str">
        <f t="shared" si="14"/>
        <v>Jun-2024</v>
      </c>
      <c r="D111" s="4" t="str">
        <f t="shared" si="15"/>
        <v>Q2</v>
      </c>
      <c r="E111" s="4">
        <v>45451</v>
      </c>
      <c r="F111" s="10">
        <f t="shared" si="16"/>
        <v>6</v>
      </c>
      <c r="G111" s="3" t="s">
        <v>638</v>
      </c>
      <c r="H111" s="3" t="s">
        <v>642</v>
      </c>
      <c r="I111" s="3" t="s">
        <v>654</v>
      </c>
      <c r="J111" t="str">
        <f t="shared" si="17"/>
        <v>Africa &gt; Kenya &gt; Kisumu</v>
      </c>
      <c r="K111" s="3" t="s">
        <v>696</v>
      </c>
      <c r="L111" s="3" t="s">
        <v>701</v>
      </c>
      <c r="M111" s="3" t="s">
        <v>712</v>
      </c>
      <c r="N111" s="3" t="s">
        <v>725</v>
      </c>
      <c r="O111" s="3" t="s">
        <v>834</v>
      </c>
      <c r="P111" s="6">
        <v>292.94</v>
      </c>
      <c r="Q111" s="6">
        <v>356.55</v>
      </c>
      <c r="R111" s="6" t="str">
        <f t="shared" si="18"/>
        <v>Low</v>
      </c>
      <c r="S111" s="6">
        <v>0.22900000000000001</v>
      </c>
      <c r="T111" s="6">
        <v>2</v>
      </c>
      <c r="U111">
        <f t="shared" si="19"/>
        <v>549.80010000000004</v>
      </c>
      <c r="V111">
        <f t="shared" si="24"/>
        <v>1219155.6470499996</v>
      </c>
      <c r="W111">
        <f t="shared" si="20"/>
        <v>585.88</v>
      </c>
      <c r="X111" s="6">
        <f t="shared" si="21"/>
        <v>-36.079899999999952</v>
      </c>
      <c r="Y111">
        <f t="shared" si="22"/>
        <v>-6.5623669402751925E-2</v>
      </c>
      <c r="Z111">
        <v>202406</v>
      </c>
      <c r="AA111" s="18">
        <v>202301</v>
      </c>
      <c r="AB111" t="str">
        <v>Jun-2023</v>
      </c>
      <c r="AC111">
        <f t="shared" si="23"/>
        <v>17</v>
      </c>
      <c r="AD111" t="str">
        <f t="shared" si="25"/>
        <v>On Time</v>
      </c>
      <c r="AE111">
        <f t="shared" si="26"/>
        <v>1</v>
      </c>
      <c r="AF111">
        <f t="shared" si="27"/>
        <v>1</v>
      </c>
    </row>
    <row r="112" spans="1:32" x14ac:dyDescent="0.25">
      <c r="A112" s="3" t="s">
        <v>117</v>
      </c>
      <c r="B112" s="4">
        <v>45452</v>
      </c>
      <c r="C112" s="4" t="str">
        <f t="shared" si="14"/>
        <v>Jun-2024</v>
      </c>
      <c r="D112" s="4" t="str">
        <f t="shared" si="15"/>
        <v>Q2</v>
      </c>
      <c r="E112" s="4">
        <v>45480</v>
      </c>
      <c r="F112" s="10">
        <f t="shared" si="16"/>
        <v>28</v>
      </c>
      <c r="G112" s="3" t="s">
        <v>639</v>
      </c>
      <c r="H112" s="3" t="s">
        <v>651</v>
      </c>
      <c r="I112" s="3" t="s">
        <v>668</v>
      </c>
      <c r="J112" t="str">
        <f t="shared" si="17"/>
        <v>Asia &gt; China &gt; Shenzhen</v>
      </c>
      <c r="K112" s="3" t="s">
        <v>693</v>
      </c>
      <c r="L112" s="3" t="s">
        <v>700</v>
      </c>
      <c r="M112" s="3" t="s">
        <v>705</v>
      </c>
      <c r="N112" s="3" t="s">
        <v>719</v>
      </c>
      <c r="O112" s="3" t="s">
        <v>835</v>
      </c>
      <c r="P112" s="6">
        <v>550.22</v>
      </c>
      <c r="Q112" s="6">
        <v>1025.05</v>
      </c>
      <c r="R112" s="6" t="str">
        <f t="shared" si="18"/>
        <v>Medium</v>
      </c>
      <c r="S112" s="6">
        <v>0</v>
      </c>
      <c r="T112" s="6">
        <v>27</v>
      </c>
      <c r="U112">
        <f t="shared" si="19"/>
        <v>27676.35</v>
      </c>
      <c r="V112">
        <f t="shared" si="24"/>
        <v>1219155.6470499996</v>
      </c>
      <c r="W112">
        <f t="shared" si="20"/>
        <v>14855.94</v>
      </c>
      <c r="X112" s="6">
        <f t="shared" si="21"/>
        <v>12820.409999999998</v>
      </c>
      <c r="Y112">
        <f t="shared" si="22"/>
        <v>0.46322618408858102</v>
      </c>
      <c r="Z112">
        <v>202406</v>
      </c>
      <c r="AA112" s="18">
        <v>202301</v>
      </c>
      <c r="AB112" t="str">
        <v>Jun-2023</v>
      </c>
      <c r="AC112">
        <f t="shared" si="23"/>
        <v>17</v>
      </c>
      <c r="AD112" t="str">
        <f t="shared" si="25"/>
        <v>Late</v>
      </c>
      <c r="AE112">
        <f t="shared" si="26"/>
        <v>0</v>
      </c>
      <c r="AF112">
        <f t="shared" si="27"/>
        <v>0</v>
      </c>
    </row>
    <row r="113" spans="1:32" x14ac:dyDescent="0.25">
      <c r="A113" s="3" t="s">
        <v>118</v>
      </c>
      <c r="B113" s="4">
        <v>45453</v>
      </c>
      <c r="C113" s="4" t="str">
        <f t="shared" si="14"/>
        <v>Jun-2024</v>
      </c>
      <c r="D113" s="4" t="str">
        <f t="shared" si="15"/>
        <v>Q2</v>
      </c>
      <c r="E113" s="4">
        <v>45454</v>
      </c>
      <c r="F113" s="10">
        <f t="shared" si="16"/>
        <v>1</v>
      </c>
      <c r="G113" s="3" t="s">
        <v>641</v>
      </c>
      <c r="H113" s="3" t="s">
        <v>650</v>
      </c>
      <c r="I113" s="3" t="s">
        <v>666</v>
      </c>
      <c r="J113" t="str">
        <f t="shared" si="17"/>
        <v>Europe &gt; United Kingdom &gt; Birmingham</v>
      </c>
      <c r="K113" s="3" t="s">
        <v>697</v>
      </c>
      <c r="L113" s="3" t="s">
        <v>701</v>
      </c>
      <c r="M113" s="3" t="s">
        <v>716</v>
      </c>
      <c r="N113" s="3" t="s">
        <v>723</v>
      </c>
      <c r="O113" s="3" t="s">
        <v>836</v>
      </c>
      <c r="P113" s="6">
        <v>1187.1300000000001</v>
      </c>
      <c r="Q113" s="6">
        <v>1795.17</v>
      </c>
      <c r="R113" s="6" t="str">
        <f t="shared" si="18"/>
        <v>High</v>
      </c>
      <c r="S113" s="6">
        <v>1.2E-2</v>
      </c>
      <c r="T113" s="6">
        <v>17</v>
      </c>
      <c r="U113">
        <f t="shared" si="19"/>
        <v>30151.675319999998</v>
      </c>
      <c r="V113">
        <f t="shared" si="24"/>
        <v>1191479.2970499997</v>
      </c>
      <c r="W113">
        <f t="shared" si="20"/>
        <v>20181.210000000003</v>
      </c>
      <c r="X113" s="6">
        <f t="shared" si="21"/>
        <v>9970.4653199999957</v>
      </c>
      <c r="Y113">
        <f t="shared" si="22"/>
        <v>0.33067699271046663</v>
      </c>
      <c r="Z113">
        <v>202406</v>
      </c>
      <c r="AA113" s="18">
        <v>202301</v>
      </c>
      <c r="AB113" t="str">
        <v>Jun-2023</v>
      </c>
      <c r="AC113">
        <f t="shared" si="23"/>
        <v>17</v>
      </c>
      <c r="AD113" t="str">
        <f t="shared" si="25"/>
        <v>On Time</v>
      </c>
      <c r="AE113">
        <f t="shared" si="26"/>
        <v>1</v>
      </c>
      <c r="AF113">
        <f t="shared" si="27"/>
        <v>0</v>
      </c>
    </row>
    <row r="114" spans="1:32" x14ac:dyDescent="0.25">
      <c r="A114" s="3" t="s">
        <v>119</v>
      </c>
      <c r="B114" s="4">
        <v>45472</v>
      </c>
      <c r="C114" s="4" t="str">
        <f t="shared" si="14"/>
        <v>Jun-2024</v>
      </c>
      <c r="D114" s="4" t="str">
        <f t="shared" si="15"/>
        <v>Q2</v>
      </c>
      <c r="E114" s="4">
        <v>45499</v>
      </c>
      <c r="F114" s="10">
        <f t="shared" si="16"/>
        <v>27</v>
      </c>
      <c r="G114" s="3" t="s">
        <v>638</v>
      </c>
      <c r="H114" s="3" t="s">
        <v>653</v>
      </c>
      <c r="I114" s="3" t="s">
        <v>679</v>
      </c>
      <c r="J114" t="str">
        <f t="shared" si="17"/>
        <v>Africa &gt; South Africa &gt; Durban</v>
      </c>
      <c r="K114" s="3" t="s">
        <v>698</v>
      </c>
      <c r="L114" s="3" t="s">
        <v>702</v>
      </c>
      <c r="M114" s="3" t="s">
        <v>709</v>
      </c>
      <c r="N114" s="3" t="s">
        <v>721</v>
      </c>
      <c r="O114" s="3" t="s">
        <v>837</v>
      </c>
      <c r="P114" s="6">
        <v>5.36</v>
      </c>
      <c r="Q114" s="6">
        <v>4.37</v>
      </c>
      <c r="R114" s="6" t="str">
        <f t="shared" si="18"/>
        <v>Low</v>
      </c>
      <c r="S114" s="6">
        <v>0.11799999999999999</v>
      </c>
      <c r="T114" s="6">
        <v>9</v>
      </c>
      <c r="U114">
        <f t="shared" si="19"/>
        <v>34.689059999999998</v>
      </c>
      <c r="V114">
        <f t="shared" si="24"/>
        <v>1191479.2970499997</v>
      </c>
      <c r="W114">
        <f t="shared" si="20"/>
        <v>48.24</v>
      </c>
      <c r="X114" s="6">
        <f t="shared" si="21"/>
        <v>-13.550940000000004</v>
      </c>
      <c r="Y114">
        <f t="shared" si="22"/>
        <v>-0.39064016148030545</v>
      </c>
      <c r="Z114">
        <v>202406</v>
      </c>
      <c r="AA114" s="18">
        <v>202301</v>
      </c>
      <c r="AB114" t="str">
        <v>Jun-2023</v>
      </c>
      <c r="AC114">
        <f t="shared" si="23"/>
        <v>17</v>
      </c>
      <c r="AD114" t="str">
        <f t="shared" si="25"/>
        <v>Late</v>
      </c>
      <c r="AE114">
        <f t="shared" si="26"/>
        <v>0</v>
      </c>
      <c r="AF114">
        <f t="shared" si="27"/>
        <v>0</v>
      </c>
    </row>
    <row r="115" spans="1:32" x14ac:dyDescent="0.25">
      <c r="A115" s="3" t="s">
        <v>120</v>
      </c>
      <c r="B115" s="4">
        <v>45674</v>
      </c>
      <c r="C115" s="4" t="str">
        <f t="shared" si="14"/>
        <v>Jan-2025</v>
      </c>
      <c r="D115" s="4" t="str">
        <f t="shared" si="15"/>
        <v>Q1</v>
      </c>
      <c r="E115" s="4">
        <v>45681</v>
      </c>
      <c r="F115" s="10">
        <f t="shared" si="16"/>
        <v>7</v>
      </c>
      <c r="G115" s="3" t="s">
        <v>640</v>
      </c>
      <c r="H115" s="3" t="s">
        <v>652</v>
      </c>
      <c r="I115" s="3" t="s">
        <v>689</v>
      </c>
      <c r="J115" t="str">
        <f t="shared" si="17"/>
        <v>Americas &gt; USA &gt; Austin</v>
      </c>
      <c r="K115" s="3" t="s">
        <v>698</v>
      </c>
      <c r="L115" s="3" t="s">
        <v>700</v>
      </c>
      <c r="M115" s="3" t="s">
        <v>707</v>
      </c>
      <c r="N115" s="3" t="s">
        <v>725</v>
      </c>
      <c r="O115" s="3" t="s">
        <v>838</v>
      </c>
      <c r="P115" s="6">
        <v>142.09</v>
      </c>
      <c r="Q115" s="6">
        <v>218.5</v>
      </c>
      <c r="R115" s="6" t="str">
        <f t="shared" si="18"/>
        <v>Low</v>
      </c>
      <c r="S115" s="6">
        <v>0.11899999999999999</v>
      </c>
      <c r="T115" s="6">
        <v>11</v>
      </c>
      <c r="U115">
        <f t="shared" si="19"/>
        <v>2117.4834999999998</v>
      </c>
      <c r="V115">
        <f t="shared" si="24"/>
        <v>1191479.2970499997</v>
      </c>
      <c r="W115">
        <f t="shared" si="20"/>
        <v>1562.99</v>
      </c>
      <c r="X115" s="6">
        <f t="shared" si="21"/>
        <v>554.49349999999981</v>
      </c>
      <c r="Y115">
        <f t="shared" si="22"/>
        <v>0.26186437816398561</v>
      </c>
      <c r="Z115">
        <v>202501</v>
      </c>
      <c r="AA115" s="18">
        <v>202301</v>
      </c>
      <c r="AB115" t="str">
        <v>Jan-2023</v>
      </c>
      <c r="AC115">
        <f t="shared" si="23"/>
        <v>24</v>
      </c>
      <c r="AD115" t="str">
        <f t="shared" si="25"/>
        <v>On Time</v>
      </c>
      <c r="AE115">
        <f t="shared" si="26"/>
        <v>1</v>
      </c>
      <c r="AF115">
        <f t="shared" si="27"/>
        <v>0</v>
      </c>
    </row>
    <row r="116" spans="1:32" x14ac:dyDescent="0.25">
      <c r="A116" s="3" t="s">
        <v>121</v>
      </c>
      <c r="B116" s="4">
        <v>45250</v>
      </c>
      <c r="C116" s="4" t="str">
        <f t="shared" si="14"/>
        <v>Nov-2023</v>
      </c>
      <c r="D116" s="4" t="str">
        <f t="shared" si="15"/>
        <v>Q4</v>
      </c>
      <c r="E116" s="4">
        <v>45265</v>
      </c>
      <c r="F116" s="10">
        <f t="shared" si="16"/>
        <v>15</v>
      </c>
      <c r="G116" s="3" t="s">
        <v>639</v>
      </c>
      <c r="H116" s="3" t="s">
        <v>644</v>
      </c>
      <c r="I116" s="3" t="s">
        <v>681</v>
      </c>
      <c r="J116" t="str">
        <f t="shared" si="17"/>
        <v>Asia &gt; Japan &gt; Tokyo</v>
      </c>
      <c r="K116" s="3" t="s">
        <v>698</v>
      </c>
      <c r="L116" s="3" t="s">
        <v>699</v>
      </c>
      <c r="M116" s="3" t="s">
        <v>708</v>
      </c>
      <c r="N116" s="3" t="s">
        <v>721</v>
      </c>
      <c r="O116" s="3" t="s">
        <v>839</v>
      </c>
      <c r="P116" s="6">
        <v>354.24</v>
      </c>
      <c r="Q116" s="6">
        <v>249.87</v>
      </c>
      <c r="R116" s="6" t="str">
        <f t="shared" si="18"/>
        <v>Low</v>
      </c>
      <c r="S116" s="6">
        <v>0</v>
      </c>
      <c r="T116" s="6">
        <v>6</v>
      </c>
      <c r="U116">
        <f t="shared" si="19"/>
        <v>1499.22</v>
      </c>
      <c r="V116">
        <f t="shared" si="24"/>
        <v>1191479.2970499997</v>
      </c>
      <c r="W116">
        <f t="shared" si="20"/>
        <v>2125.44</v>
      </c>
      <c r="X116" s="6">
        <f t="shared" si="21"/>
        <v>-626.22</v>
      </c>
      <c r="Y116">
        <f t="shared" si="22"/>
        <v>-0.41769720254532355</v>
      </c>
      <c r="Z116">
        <v>202311</v>
      </c>
      <c r="AA116" s="18">
        <v>202303</v>
      </c>
      <c r="AB116" t="str">
        <v>Nov-2023</v>
      </c>
      <c r="AC116">
        <f t="shared" si="23"/>
        <v>8</v>
      </c>
      <c r="AD116" t="str">
        <f t="shared" si="25"/>
        <v>Late</v>
      </c>
      <c r="AE116">
        <f t="shared" si="26"/>
        <v>0</v>
      </c>
      <c r="AF116">
        <f t="shared" si="27"/>
        <v>0</v>
      </c>
    </row>
    <row r="117" spans="1:32" x14ac:dyDescent="0.25">
      <c r="A117" s="3" t="s">
        <v>122</v>
      </c>
      <c r="B117" s="4">
        <v>44987</v>
      </c>
      <c r="C117" s="4" t="str">
        <f t="shared" si="14"/>
        <v>Mar-2023</v>
      </c>
      <c r="D117" s="4" t="str">
        <f t="shared" si="15"/>
        <v>Q1</v>
      </c>
      <c r="E117" s="4">
        <v>44990</v>
      </c>
      <c r="F117" s="10">
        <f t="shared" si="16"/>
        <v>3</v>
      </c>
      <c r="G117" s="3" t="s">
        <v>640</v>
      </c>
      <c r="H117" s="3" t="s">
        <v>647</v>
      </c>
      <c r="I117" s="3" t="s">
        <v>664</v>
      </c>
      <c r="J117" t="str">
        <f t="shared" si="17"/>
        <v>Americas &gt; Brazil &gt; Brasília</v>
      </c>
      <c r="K117" s="3" t="s">
        <v>698</v>
      </c>
      <c r="L117" s="3" t="s">
        <v>703</v>
      </c>
      <c r="M117" s="3" t="s">
        <v>707</v>
      </c>
      <c r="N117" s="3" t="s">
        <v>724</v>
      </c>
      <c r="O117" s="3" t="s">
        <v>840</v>
      </c>
      <c r="P117" s="6">
        <v>1473.58</v>
      </c>
      <c r="Q117" s="6">
        <v>3436.52</v>
      </c>
      <c r="R117" s="6" t="str">
        <f t="shared" si="18"/>
        <v>High</v>
      </c>
      <c r="S117" s="6">
        <v>0.108</v>
      </c>
      <c r="T117" s="6">
        <v>8</v>
      </c>
      <c r="U117">
        <f t="shared" si="19"/>
        <v>24523.006720000001</v>
      </c>
      <c r="V117">
        <f t="shared" si="24"/>
        <v>1191479.2970499997</v>
      </c>
      <c r="W117">
        <f t="shared" si="20"/>
        <v>11788.64</v>
      </c>
      <c r="X117" s="6">
        <f t="shared" si="21"/>
        <v>12734.366720000002</v>
      </c>
      <c r="Y117">
        <f t="shared" si="22"/>
        <v>0.51928243813652564</v>
      </c>
      <c r="Z117">
        <v>202303</v>
      </c>
      <c r="AA117" s="18">
        <v>202301</v>
      </c>
      <c r="AB117" t="str">
        <v>Mar-2023</v>
      </c>
      <c r="AC117">
        <f t="shared" si="23"/>
        <v>2</v>
      </c>
      <c r="AD117" t="str">
        <f t="shared" si="25"/>
        <v>On Time</v>
      </c>
      <c r="AE117">
        <f t="shared" si="26"/>
        <v>1</v>
      </c>
      <c r="AF117">
        <f t="shared" si="27"/>
        <v>0</v>
      </c>
    </row>
    <row r="118" spans="1:32" x14ac:dyDescent="0.25">
      <c r="A118" s="3" t="s">
        <v>123</v>
      </c>
      <c r="B118" s="4">
        <v>45811</v>
      </c>
      <c r="C118" s="4" t="str">
        <f t="shared" si="14"/>
        <v>Jun-2025</v>
      </c>
      <c r="D118" s="4" t="str">
        <f t="shared" si="15"/>
        <v>Q2</v>
      </c>
      <c r="E118" s="4">
        <v>45818</v>
      </c>
      <c r="F118" s="10">
        <f t="shared" si="16"/>
        <v>7</v>
      </c>
      <c r="G118" s="3" t="s">
        <v>640</v>
      </c>
      <c r="H118" s="3" t="s">
        <v>645</v>
      </c>
      <c r="I118" s="3" t="s">
        <v>659</v>
      </c>
      <c r="J118" t="str">
        <f t="shared" si="17"/>
        <v>Americas &gt; Canada &gt; Toronto</v>
      </c>
      <c r="K118" s="3" t="s">
        <v>696</v>
      </c>
      <c r="L118" s="3" t="s">
        <v>702</v>
      </c>
      <c r="M118" s="3" t="s">
        <v>711</v>
      </c>
      <c r="N118" s="3" t="s">
        <v>720</v>
      </c>
      <c r="O118" s="3" t="s">
        <v>841</v>
      </c>
      <c r="P118" s="6">
        <v>75.180000000000007</v>
      </c>
      <c r="Q118" s="6">
        <v>53.45</v>
      </c>
      <c r="R118" s="6" t="str">
        <f t="shared" si="18"/>
        <v>Low</v>
      </c>
      <c r="S118" s="6">
        <v>0.157</v>
      </c>
      <c r="T118" s="6">
        <v>17</v>
      </c>
      <c r="U118">
        <f t="shared" si="19"/>
        <v>765.99195000000009</v>
      </c>
      <c r="V118">
        <f t="shared" si="24"/>
        <v>1191479.2970499997</v>
      </c>
      <c r="W118">
        <f t="shared" si="20"/>
        <v>1278.0600000000002</v>
      </c>
      <c r="X118" s="6">
        <f t="shared" si="21"/>
        <v>-512.06805000000008</v>
      </c>
      <c r="Y118">
        <f t="shared" si="22"/>
        <v>-0.66850317421743144</v>
      </c>
      <c r="Z118">
        <v>202506</v>
      </c>
      <c r="AA118" s="18">
        <v>202301</v>
      </c>
      <c r="AB118" t="str">
        <v>Jun-2023</v>
      </c>
      <c r="AC118">
        <f t="shared" si="23"/>
        <v>29</v>
      </c>
      <c r="AD118" t="str">
        <f t="shared" si="25"/>
        <v>On Time</v>
      </c>
      <c r="AE118">
        <f t="shared" si="26"/>
        <v>1</v>
      </c>
      <c r="AF118">
        <f t="shared" si="27"/>
        <v>0</v>
      </c>
    </row>
    <row r="119" spans="1:32" x14ac:dyDescent="0.25">
      <c r="A119" s="3" t="s">
        <v>124</v>
      </c>
      <c r="B119" s="4">
        <v>45653</v>
      </c>
      <c r="C119" s="4" t="str">
        <f t="shared" si="14"/>
        <v>Dec-2024</v>
      </c>
      <c r="D119" s="4" t="str">
        <f t="shared" si="15"/>
        <v>Q4</v>
      </c>
      <c r="E119" s="4">
        <v>45659</v>
      </c>
      <c r="F119" s="10">
        <f t="shared" si="16"/>
        <v>6</v>
      </c>
      <c r="G119" s="3" t="s">
        <v>641</v>
      </c>
      <c r="H119" s="3" t="s">
        <v>648</v>
      </c>
      <c r="I119" s="3" t="s">
        <v>690</v>
      </c>
      <c r="J119" t="str">
        <f t="shared" si="17"/>
        <v>Europe &gt; Germany &gt; Frankfurt</v>
      </c>
      <c r="K119" s="3" t="s">
        <v>694</v>
      </c>
      <c r="L119" s="3" t="s">
        <v>703</v>
      </c>
      <c r="M119" s="3" t="s">
        <v>713</v>
      </c>
      <c r="N119" s="3" t="s">
        <v>723</v>
      </c>
      <c r="O119" s="3" t="s">
        <v>842</v>
      </c>
      <c r="P119" s="6">
        <v>1391.99</v>
      </c>
      <c r="Q119" s="6">
        <v>3469.7</v>
      </c>
      <c r="R119" s="6" t="str">
        <f t="shared" si="18"/>
        <v>High</v>
      </c>
      <c r="S119" s="6">
        <v>0.184</v>
      </c>
      <c r="T119" s="6">
        <v>23</v>
      </c>
      <c r="U119">
        <f t="shared" si="19"/>
        <v>65119.329599999997</v>
      </c>
      <c r="V119">
        <f t="shared" si="24"/>
        <v>1191479.2970499997</v>
      </c>
      <c r="W119">
        <f t="shared" si="20"/>
        <v>32015.77</v>
      </c>
      <c r="X119" s="6">
        <f t="shared" si="21"/>
        <v>33103.559599999993</v>
      </c>
      <c r="Y119">
        <f t="shared" si="22"/>
        <v>0.50835227886006973</v>
      </c>
      <c r="Z119">
        <v>202412</v>
      </c>
      <c r="AA119" s="18">
        <v>202301</v>
      </c>
      <c r="AB119" t="str">
        <v>Dec-2023</v>
      </c>
      <c r="AC119">
        <f t="shared" si="23"/>
        <v>23</v>
      </c>
      <c r="AD119" t="str">
        <f t="shared" si="25"/>
        <v>On Time</v>
      </c>
      <c r="AE119">
        <f t="shared" si="26"/>
        <v>1</v>
      </c>
      <c r="AF119">
        <f t="shared" si="27"/>
        <v>0</v>
      </c>
    </row>
    <row r="120" spans="1:32" x14ac:dyDescent="0.25">
      <c r="A120" s="3" t="s">
        <v>125</v>
      </c>
      <c r="B120" s="4">
        <v>45086</v>
      </c>
      <c r="C120" s="4" t="str">
        <f t="shared" si="14"/>
        <v>Jun-2023</v>
      </c>
      <c r="D120" s="4" t="str">
        <f t="shared" si="15"/>
        <v>Q2</v>
      </c>
      <c r="E120" s="4">
        <v>45096</v>
      </c>
      <c r="F120" s="10">
        <f t="shared" si="16"/>
        <v>10</v>
      </c>
      <c r="G120" s="3" t="s">
        <v>639</v>
      </c>
      <c r="H120" s="3" t="s">
        <v>651</v>
      </c>
      <c r="I120" s="3" t="s">
        <v>691</v>
      </c>
      <c r="J120" t="str">
        <f t="shared" si="17"/>
        <v>Asia &gt; China &gt; Beijing</v>
      </c>
      <c r="K120" s="3" t="s">
        <v>698</v>
      </c>
      <c r="L120" s="3" t="s">
        <v>699</v>
      </c>
      <c r="M120" s="3" t="s">
        <v>713</v>
      </c>
      <c r="N120" s="3" t="s">
        <v>724</v>
      </c>
      <c r="O120" s="3" t="s">
        <v>843</v>
      </c>
      <c r="P120" s="6">
        <v>339.61</v>
      </c>
      <c r="Q120" s="6">
        <v>621.02</v>
      </c>
      <c r="R120" s="6" t="str">
        <f t="shared" si="18"/>
        <v>Low</v>
      </c>
      <c r="S120" s="6">
        <v>7.0999999999999994E-2</v>
      </c>
      <c r="T120" s="6">
        <v>10</v>
      </c>
      <c r="U120">
        <f t="shared" si="19"/>
        <v>5769.2758000000003</v>
      </c>
      <c r="V120">
        <f t="shared" si="24"/>
        <v>1191479.2970499997</v>
      </c>
      <c r="W120">
        <f t="shared" si="20"/>
        <v>3396.1000000000004</v>
      </c>
      <c r="X120" s="6">
        <f t="shared" si="21"/>
        <v>2373.1758</v>
      </c>
      <c r="Y120">
        <f t="shared" si="22"/>
        <v>0.41134726129750981</v>
      </c>
      <c r="Z120">
        <v>202306</v>
      </c>
      <c r="AA120" s="18">
        <v>202301</v>
      </c>
      <c r="AB120" t="str">
        <v>Jun-2023</v>
      </c>
      <c r="AC120">
        <f t="shared" si="23"/>
        <v>5</v>
      </c>
      <c r="AD120" t="str">
        <f t="shared" si="25"/>
        <v>Late</v>
      </c>
      <c r="AE120">
        <f t="shared" si="26"/>
        <v>0</v>
      </c>
      <c r="AF120">
        <f t="shared" si="27"/>
        <v>0</v>
      </c>
    </row>
    <row r="121" spans="1:32" x14ac:dyDescent="0.25">
      <c r="A121" s="3" t="s">
        <v>126</v>
      </c>
      <c r="B121" s="4">
        <v>45847</v>
      </c>
      <c r="C121" s="4" t="str">
        <f t="shared" si="14"/>
        <v>Jul-2025</v>
      </c>
      <c r="D121" s="4" t="str">
        <f t="shared" si="15"/>
        <v>Q3</v>
      </c>
      <c r="E121" s="4">
        <v>45856</v>
      </c>
      <c r="F121" s="10">
        <f t="shared" si="16"/>
        <v>9</v>
      </c>
      <c r="G121" s="3" t="s">
        <v>640</v>
      </c>
      <c r="H121" s="3" t="s">
        <v>645</v>
      </c>
      <c r="I121" s="3" t="s">
        <v>680</v>
      </c>
      <c r="J121" t="str">
        <f t="shared" si="17"/>
        <v>Americas &gt; Canada &gt; Vancouver</v>
      </c>
      <c r="K121" s="3" t="s">
        <v>694</v>
      </c>
      <c r="L121" s="3" t="s">
        <v>702</v>
      </c>
      <c r="M121" s="3" t="s">
        <v>706</v>
      </c>
      <c r="N121" s="3" t="s">
        <v>723</v>
      </c>
      <c r="O121" s="3" t="s">
        <v>844</v>
      </c>
      <c r="P121" s="6">
        <v>57.96</v>
      </c>
      <c r="Q121" s="6">
        <v>88.51</v>
      </c>
      <c r="R121" s="6" t="str">
        <f t="shared" si="18"/>
        <v>Low</v>
      </c>
      <c r="S121" s="6">
        <v>4.2999999999999997E-2</v>
      </c>
      <c r="T121" s="6">
        <v>7</v>
      </c>
      <c r="U121">
        <f t="shared" si="19"/>
        <v>592.92849000000001</v>
      </c>
      <c r="V121">
        <f t="shared" si="24"/>
        <v>1191479.2970499997</v>
      </c>
      <c r="W121">
        <f t="shared" si="20"/>
        <v>405.72</v>
      </c>
      <c r="X121" s="6">
        <f t="shared" si="21"/>
        <v>187.20848999999998</v>
      </c>
      <c r="Y121">
        <f t="shared" si="22"/>
        <v>0.3157353595877978</v>
      </c>
      <c r="Z121">
        <v>202507</v>
      </c>
      <c r="AA121" s="18">
        <v>202301</v>
      </c>
      <c r="AB121" t="str">
        <v>Jul-2023</v>
      </c>
      <c r="AC121">
        <f t="shared" si="23"/>
        <v>30</v>
      </c>
      <c r="AD121" t="str">
        <f t="shared" si="25"/>
        <v>Late</v>
      </c>
      <c r="AE121">
        <f t="shared" si="26"/>
        <v>0</v>
      </c>
      <c r="AF121">
        <f t="shared" si="27"/>
        <v>0</v>
      </c>
    </row>
    <row r="122" spans="1:32" x14ac:dyDescent="0.25">
      <c r="A122" s="3" t="s">
        <v>127</v>
      </c>
      <c r="B122" s="4">
        <v>45827</v>
      </c>
      <c r="C122" s="4" t="str">
        <f t="shared" si="14"/>
        <v>Jun-2025</v>
      </c>
      <c r="D122" s="4" t="str">
        <f t="shared" si="15"/>
        <v>Q2</v>
      </c>
      <c r="E122" s="4">
        <v>45850</v>
      </c>
      <c r="F122" s="10">
        <f t="shared" si="16"/>
        <v>23</v>
      </c>
      <c r="G122" s="3" t="s">
        <v>641</v>
      </c>
      <c r="H122" s="3" t="s">
        <v>650</v>
      </c>
      <c r="I122" s="3" t="s">
        <v>1413</v>
      </c>
      <c r="J122" t="str">
        <f t="shared" si="17"/>
        <v>Europe &gt; United Kingdom &gt; Not Provided</v>
      </c>
      <c r="K122" s="3" t="s">
        <v>695</v>
      </c>
      <c r="L122" s="3" t="s">
        <v>703</v>
      </c>
      <c r="M122" s="3" t="s">
        <v>1413</v>
      </c>
      <c r="N122" s="3" t="s">
        <v>721</v>
      </c>
      <c r="O122" s="3" t="s">
        <v>845</v>
      </c>
      <c r="P122" s="6">
        <v>801.24</v>
      </c>
      <c r="Q122" s="6">
        <v>1959.09</v>
      </c>
      <c r="R122" s="6" t="str">
        <f t="shared" si="18"/>
        <v>Medium</v>
      </c>
      <c r="S122" s="6">
        <v>0.123</v>
      </c>
      <c r="T122" s="6">
        <v>23</v>
      </c>
      <c r="U122">
        <f t="shared" si="19"/>
        <v>39516.804389999998</v>
      </c>
      <c r="V122">
        <f t="shared" si="24"/>
        <v>1191479.2970499997</v>
      </c>
      <c r="W122">
        <f t="shared" si="20"/>
        <v>18428.52</v>
      </c>
      <c r="X122" s="6">
        <f t="shared" si="21"/>
        <v>21088.284389999997</v>
      </c>
      <c r="Y122">
        <f t="shared" si="22"/>
        <v>0.53365358650651762</v>
      </c>
      <c r="Z122">
        <v>202506</v>
      </c>
      <c r="AA122" s="18">
        <v>202301</v>
      </c>
      <c r="AB122" t="str">
        <v>Jun-2023</v>
      </c>
      <c r="AC122">
        <f t="shared" si="23"/>
        <v>29</v>
      </c>
      <c r="AD122" t="str">
        <f t="shared" si="25"/>
        <v>Late</v>
      </c>
      <c r="AE122">
        <f t="shared" si="26"/>
        <v>0</v>
      </c>
      <c r="AF122">
        <f t="shared" si="27"/>
        <v>0</v>
      </c>
    </row>
    <row r="123" spans="1:32" x14ac:dyDescent="0.25">
      <c r="A123" s="3" t="s">
        <v>128</v>
      </c>
      <c r="B123" s="4">
        <v>45249</v>
      </c>
      <c r="C123" s="4" t="str">
        <f t="shared" si="14"/>
        <v>Nov-2023</v>
      </c>
      <c r="D123" s="4" t="str">
        <f t="shared" si="15"/>
        <v>Q4</v>
      </c>
      <c r="E123" s="4">
        <v>45273</v>
      </c>
      <c r="F123" s="10">
        <f t="shared" si="16"/>
        <v>24</v>
      </c>
      <c r="G123" s="3" t="s">
        <v>641</v>
      </c>
      <c r="H123" s="3" t="s">
        <v>649</v>
      </c>
      <c r="I123" s="3" t="s">
        <v>671</v>
      </c>
      <c r="J123" t="str">
        <f t="shared" si="17"/>
        <v>Europe &gt; France &gt; Lyon</v>
      </c>
      <c r="K123" s="3" t="s">
        <v>695</v>
      </c>
      <c r="L123" s="3" t="s">
        <v>703</v>
      </c>
      <c r="M123" s="3" t="s">
        <v>714</v>
      </c>
      <c r="N123" s="3" t="s">
        <v>724</v>
      </c>
      <c r="O123" s="3" t="s">
        <v>846</v>
      </c>
      <c r="P123" s="6">
        <v>1297.42</v>
      </c>
      <c r="Q123" s="6">
        <v>2742.97</v>
      </c>
      <c r="R123" s="6" t="str">
        <f t="shared" si="18"/>
        <v>High</v>
      </c>
      <c r="S123" s="6">
        <v>6.9000000000000006E-2</v>
      </c>
      <c r="T123" s="6">
        <v>9</v>
      </c>
      <c r="U123">
        <f t="shared" si="19"/>
        <v>22983.34563</v>
      </c>
      <c r="V123">
        <f t="shared" si="24"/>
        <v>1191479.2970499997</v>
      </c>
      <c r="W123">
        <f t="shared" si="20"/>
        <v>11676.78</v>
      </c>
      <c r="X123" s="6">
        <f t="shared" si="21"/>
        <v>11306.565629999999</v>
      </c>
      <c r="Y123">
        <f t="shared" si="22"/>
        <v>0.49194602961727291</v>
      </c>
      <c r="Z123">
        <v>202311</v>
      </c>
      <c r="AA123" s="18">
        <v>202301</v>
      </c>
      <c r="AB123" t="str">
        <v>Nov-2023</v>
      </c>
      <c r="AC123">
        <f t="shared" si="23"/>
        <v>10</v>
      </c>
      <c r="AD123" t="str">
        <f t="shared" si="25"/>
        <v>Late</v>
      </c>
      <c r="AE123">
        <f t="shared" si="26"/>
        <v>0</v>
      </c>
      <c r="AF123">
        <f t="shared" si="27"/>
        <v>0</v>
      </c>
    </row>
    <row r="124" spans="1:32" x14ac:dyDescent="0.25">
      <c r="A124" s="3" t="s">
        <v>129</v>
      </c>
      <c r="B124" s="4">
        <v>45289</v>
      </c>
      <c r="C124" s="4" t="str">
        <f t="shared" si="14"/>
        <v>Dec-2023</v>
      </c>
      <c r="D124" s="4" t="str">
        <f t="shared" si="15"/>
        <v>Q4</v>
      </c>
      <c r="E124" s="4">
        <v>45311</v>
      </c>
      <c r="F124" s="10">
        <f t="shared" si="16"/>
        <v>22</v>
      </c>
      <c r="G124" s="3" t="s">
        <v>638</v>
      </c>
      <c r="H124" s="3" t="s">
        <v>642</v>
      </c>
      <c r="I124" s="3" t="s">
        <v>654</v>
      </c>
      <c r="J124" t="str">
        <f t="shared" si="17"/>
        <v>Africa &gt; Kenya &gt; Kisumu</v>
      </c>
      <c r="K124" s="3" t="s">
        <v>693</v>
      </c>
      <c r="L124" s="3" t="s">
        <v>703</v>
      </c>
      <c r="M124" s="3" t="s">
        <v>708</v>
      </c>
      <c r="N124" s="3" t="s">
        <v>722</v>
      </c>
      <c r="O124" s="3" t="s">
        <v>847</v>
      </c>
      <c r="P124" s="6">
        <v>1395.49</v>
      </c>
      <c r="Q124" s="6">
        <v>1679.42</v>
      </c>
      <c r="R124" s="6" t="str">
        <f t="shared" si="18"/>
        <v>High</v>
      </c>
      <c r="S124" s="6">
        <v>0.20300000000000001</v>
      </c>
      <c r="T124" s="6">
        <v>12</v>
      </c>
      <c r="U124">
        <f t="shared" si="19"/>
        <v>16061.972879999999</v>
      </c>
      <c r="V124">
        <f t="shared" si="24"/>
        <v>1191479.2970499997</v>
      </c>
      <c r="W124">
        <f t="shared" si="20"/>
        <v>16745.88</v>
      </c>
      <c r="X124" s="6">
        <f t="shared" si="21"/>
        <v>-683.90712000000167</v>
      </c>
      <c r="Y124">
        <f t="shared" si="22"/>
        <v>-4.2579272490964493E-2</v>
      </c>
      <c r="Z124">
        <v>202312</v>
      </c>
      <c r="AA124" s="18">
        <v>202301</v>
      </c>
      <c r="AB124" t="str">
        <v>Dec-2023</v>
      </c>
      <c r="AC124">
        <f t="shared" si="23"/>
        <v>11</v>
      </c>
      <c r="AD124" t="str">
        <f t="shared" si="25"/>
        <v>Late</v>
      </c>
      <c r="AE124">
        <f t="shared" si="26"/>
        <v>0</v>
      </c>
      <c r="AF124">
        <f t="shared" si="27"/>
        <v>1</v>
      </c>
    </row>
    <row r="125" spans="1:32" x14ac:dyDescent="0.25">
      <c r="A125" s="3" t="s">
        <v>130</v>
      </c>
      <c r="B125" s="4">
        <v>45598</v>
      </c>
      <c r="C125" s="4" t="str">
        <f t="shared" si="14"/>
        <v>Nov-2024</v>
      </c>
      <c r="D125" s="4" t="str">
        <f t="shared" si="15"/>
        <v>Q4</v>
      </c>
      <c r="E125" s="4">
        <v>45625</v>
      </c>
      <c r="F125" s="10">
        <f t="shared" si="16"/>
        <v>27</v>
      </c>
      <c r="G125" s="3" t="s">
        <v>640</v>
      </c>
      <c r="H125" s="3" t="s">
        <v>647</v>
      </c>
      <c r="I125" s="3" t="s">
        <v>664</v>
      </c>
      <c r="J125" t="str">
        <f t="shared" si="17"/>
        <v>Americas &gt; Brazil &gt; Brasília</v>
      </c>
      <c r="K125" s="3" t="s">
        <v>697</v>
      </c>
      <c r="L125" s="3" t="s">
        <v>703</v>
      </c>
      <c r="M125" s="3" t="s">
        <v>706</v>
      </c>
      <c r="N125" s="3" t="s">
        <v>721</v>
      </c>
      <c r="O125" s="3" t="s">
        <v>848</v>
      </c>
      <c r="P125" s="6">
        <v>1363.51</v>
      </c>
      <c r="Q125" s="6">
        <v>1433.9</v>
      </c>
      <c r="R125" s="6" t="str">
        <f t="shared" si="18"/>
        <v>High</v>
      </c>
      <c r="S125" s="6">
        <v>5.7000000000000002E-2</v>
      </c>
      <c r="T125" s="6">
        <v>8</v>
      </c>
      <c r="U125">
        <f t="shared" si="19"/>
        <v>10817.3416</v>
      </c>
      <c r="V125">
        <f t="shared" si="24"/>
        <v>1191479.2970499997</v>
      </c>
      <c r="W125">
        <f t="shared" si="20"/>
        <v>10908.08</v>
      </c>
      <c r="X125" s="6">
        <f t="shared" si="21"/>
        <v>-90.738400000000183</v>
      </c>
      <c r="Y125">
        <f t="shared" si="22"/>
        <v>-8.3882346842037592E-3</v>
      </c>
      <c r="Z125">
        <v>202411</v>
      </c>
      <c r="AA125" s="18">
        <v>202301</v>
      </c>
      <c r="AB125" t="str">
        <v>Nov-2023</v>
      </c>
      <c r="AC125">
        <f t="shared" si="23"/>
        <v>22</v>
      </c>
      <c r="AD125" t="str">
        <f t="shared" si="25"/>
        <v>Late</v>
      </c>
      <c r="AE125">
        <f t="shared" si="26"/>
        <v>0</v>
      </c>
      <c r="AF125">
        <f t="shared" si="27"/>
        <v>0</v>
      </c>
    </row>
    <row r="126" spans="1:32" x14ac:dyDescent="0.25">
      <c r="A126" s="3" t="s">
        <v>131</v>
      </c>
      <c r="B126" s="4">
        <v>45159</v>
      </c>
      <c r="C126" s="4" t="str">
        <f t="shared" si="14"/>
        <v>Aug-2023</v>
      </c>
      <c r="D126" s="4" t="str">
        <f t="shared" si="15"/>
        <v>Q3</v>
      </c>
      <c r="E126" s="4">
        <v>45173</v>
      </c>
      <c r="F126" s="10">
        <f t="shared" si="16"/>
        <v>14</v>
      </c>
      <c r="G126" s="3" t="s">
        <v>640</v>
      </c>
      <c r="H126" s="3" t="s">
        <v>645</v>
      </c>
      <c r="I126" s="3" t="s">
        <v>673</v>
      </c>
      <c r="J126" t="str">
        <f t="shared" si="17"/>
        <v>Americas &gt; Canada &gt; Montreal</v>
      </c>
      <c r="K126" s="3" t="s">
        <v>694</v>
      </c>
      <c r="L126" s="3" t="s">
        <v>702</v>
      </c>
      <c r="M126" s="3" t="s">
        <v>713</v>
      </c>
      <c r="N126" s="3" t="s">
        <v>719</v>
      </c>
      <c r="O126" s="3" t="s">
        <v>849</v>
      </c>
      <c r="P126" s="6">
        <v>178.19</v>
      </c>
      <c r="Q126" s="6">
        <v>284.43</v>
      </c>
      <c r="R126" s="6" t="str">
        <f t="shared" si="18"/>
        <v>Low</v>
      </c>
      <c r="S126" s="6">
        <v>8.8999999999999996E-2</v>
      </c>
      <c r="T126" s="6">
        <v>8</v>
      </c>
      <c r="U126">
        <f t="shared" si="19"/>
        <v>2072.9258400000003</v>
      </c>
      <c r="V126">
        <f t="shared" si="24"/>
        <v>1191479.2970499997</v>
      </c>
      <c r="W126">
        <f t="shared" si="20"/>
        <v>1425.52</v>
      </c>
      <c r="X126" s="6">
        <f t="shared" si="21"/>
        <v>647.40584000000035</v>
      </c>
      <c r="Y126">
        <f t="shared" si="22"/>
        <v>0.31231500302972742</v>
      </c>
      <c r="Z126">
        <v>202308</v>
      </c>
      <c r="AA126" s="18">
        <v>202301</v>
      </c>
      <c r="AB126" t="str">
        <v>Aug-2023</v>
      </c>
      <c r="AC126">
        <f t="shared" si="23"/>
        <v>7</v>
      </c>
      <c r="AD126" t="str">
        <f t="shared" si="25"/>
        <v>Late</v>
      </c>
      <c r="AE126">
        <f t="shared" si="26"/>
        <v>0</v>
      </c>
      <c r="AF126">
        <f t="shared" si="27"/>
        <v>0</v>
      </c>
    </row>
    <row r="127" spans="1:32" x14ac:dyDescent="0.25">
      <c r="A127" s="3" t="s">
        <v>132</v>
      </c>
      <c r="B127" s="4">
        <v>45150</v>
      </c>
      <c r="C127" s="4" t="str">
        <f t="shared" si="14"/>
        <v>Aug-2023</v>
      </c>
      <c r="D127" s="4" t="str">
        <f t="shared" si="15"/>
        <v>Q3</v>
      </c>
      <c r="E127" s="4">
        <v>45175</v>
      </c>
      <c r="F127" s="10">
        <f t="shared" si="16"/>
        <v>25</v>
      </c>
      <c r="G127" s="3" t="s">
        <v>639</v>
      </c>
      <c r="H127" s="3" t="s">
        <v>651</v>
      </c>
      <c r="I127" s="3" t="s">
        <v>677</v>
      </c>
      <c r="J127" t="str">
        <f t="shared" si="17"/>
        <v>Asia &gt; China &gt; Shanghai</v>
      </c>
      <c r="K127" s="3" t="s">
        <v>697</v>
      </c>
      <c r="L127" s="3" t="s">
        <v>699</v>
      </c>
      <c r="M127" s="3" t="s">
        <v>709</v>
      </c>
      <c r="N127" s="3" t="s">
        <v>719</v>
      </c>
      <c r="O127" s="3" t="s">
        <v>850</v>
      </c>
      <c r="P127" s="6">
        <v>950.77</v>
      </c>
      <c r="Q127" s="6">
        <v>694.78</v>
      </c>
      <c r="R127" s="6" t="str">
        <f t="shared" si="18"/>
        <v>Medium</v>
      </c>
      <c r="S127" s="6">
        <v>8.4000000000000005E-2</v>
      </c>
      <c r="T127" s="6">
        <v>14</v>
      </c>
      <c r="U127">
        <f t="shared" si="19"/>
        <v>8909.8587200000002</v>
      </c>
      <c r="V127">
        <f t="shared" si="24"/>
        <v>1189406.3712099995</v>
      </c>
      <c r="W127">
        <f t="shared" si="20"/>
        <v>13310.779999999999</v>
      </c>
      <c r="X127" s="6">
        <f t="shared" si="21"/>
        <v>-4400.9212799999987</v>
      </c>
      <c r="Y127">
        <f t="shared" si="22"/>
        <v>-0.49393839097821279</v>
      </c>
      <c r="Z127">
        <v>202308</v>
      </c>
      <c r="AA127" s="18">
        <v>202301</v>
      </c>
      <c r="AB127" t="str">
        <v>Aug-2023</v>
      </c>
      <c r="AC127">
        <f t="shared" si="23"/>
        <v>7</v>
      </c>
      <c r="AD127" t="str">
        <f t="shared" si="25"/>
        <v>Late</v>
      </c>
      <c r="AE127">
        <f t="shared" si="26"/>
        <v>0</v>
      </c>
      <c r="AF127">
        <f t="shared" si="27"/>
        <v>0</v>
      </c>
    </row>
    <row r="128" spans="1:32" x14ac:dyDescent="0.25">
      <c r="A128" s="3" t="s">
        <v>133</v>
      </c>
      <c r="B128" s="4">
        <v>45450</v>
      </c>
      <c r="C128" s="4" t="str">
        <f t="shared" si="14"/>
        <v>Jun-2024</v>
      </c>
      <c r="D128" s="4" t="str">
        <f t="shared" si="15"/>
        <v>Q2</v>
      </c>
      <c r="E128" s="4">
        <v>45469</v>
      </c>
      <c r="F128" s="10">
        <f t="shared" si="16"/>
        <v>19</v>
      </c>
      <c r="G128" s="3" t="s">
        <v>641</v>
      </c>
      <c r="H128" s="3" t="s">
        <v>648</v>
      </c>
      <c r="I128" s="3" t="s">
        <v>663</v>
      </c>
      <c r="J128" t="str">
        <f t="shared" si="17"/>
        <v>Europe &gt; Germany &gt; Berlin</v>
      </c>
      <c r="K128" s="3" t="s">
        <v>695</v>
      </c>
      <c r="L128" s="3" t="s">
        <v>701</v>
      </c>
      <c r="M128" s="3" t="s">
        <v>716</v>
      </c>
      <c r="N128" s="3" t="s">
        <v>719</v>
      </c>
      <c r="O128" s="3" t="s">
        <v>851</v>
      </c>
      <c r="P128" s="6">
        <v>1064.32</v>
      </c>
      <c r="Q128" s="6">
        <v>1848.39</v>
      </c>
      <c r="R128" s="6" t="str">
        <f t="shared" si="18"/>
        <v>High</v>
      </c>
      <c r="S128" s="6">
        <v>7.2999999999999995E-2</v>
      </c>
      <c r="T128" s="6">
        <v>38</v>
      </c>
      <c r="U128">
        <f t="shared" si="19"/>
        <v>65111.38614000001</v>
      </c>
      <c r="V128">
        <f t="shared" si="24"/>
        <v>1180496.5124899996</v>
      </c>
      <c r="W128">
        <f t="shared" si="20"/>
        <v>40444.159999999996</v>
      </c>
      <c r="X128" s="6">
        <f t="shared" si="21"/>
        <v>24667.226140000013</v>
      </c>
      <c r="Y128">
        <f t="shared" si="22"/>
        <v>0.3788465827921631</v>
      </c>
      <c r="Z128">
        <v>202406</v>
      </c>
      <c r="AA128" s="18">
        <v>202301</v>
      </c>
      <c r="AB128" t="str">
        <v>Jun-2023</v>
      </c>
      <c r="AC128">
        <f t="shared" si="23"/>
        <v>17</v>
      </c>
      <c r="AD128" t="str">
        <f t="shared" si="25"/>
        <v>Late</v>
      </c>
      <c r="AE128">
        <f t="shared" si="26"/>
        <v>0</v>
      </c>
      <c r="AF128">
        <f t="shared" si="27"/>
        <v>0</v>
      </c>
    </row>
    <row r="129" spans="1:32" x14ac:dyDescent="0.25">
      <c r="A129" s="3" t="s">
        <v>134</v>
      </c>
      <c r="B129" s="4">
        <v>45874</v>
      </c>
      <c r="C129" s="4" t="str">
        <f t="shared" si="14"/>
        <v>Aug-2025</v>
      </c>
      <c r="D129" s="4" t="str">
        <f t="shared" si="15"/>
        <v>Q3</v>
      </c>
      <c r="E129" s="4">
        <v>45883</v>
      </c>
      <c r="F129" s="10">
        <f t="shared" si="16"/>
        <v>9</v>
      </c>
      <c r="G129" s="3" t="s">
        <v>641</v>
      </c>
      <c r="H129" s="3" t="s">
        <v>650</v>
      </c>
      <c r="I129" s="3" t="s">
        <v>675</v>
      </c>
      <c r="J129" t="str">
        <f t="shared" si="17"/>
        <v>Europe &gt; United Kingdom &gt; London</v>
      </c>
      <c r="K129" s="3" t="s">
        <v>695</v>
      </c>
      <c r="L129" s="3" t="s">
        <v>703</v>
      </c>
      <c r="M129" s="3" t="s">
        <v>710</v>
      </c>
      <c r="N129" s="3" t="s">
        <v>719</v>
      </c>
      <c r="O129" s="3" t="s">
        <v>852</v>
      </c>
      <c r="P129" s="6">
        <v>41.76</v>
      </c>
      <c r="Q129" s="6">
        <v>45.19</v>
      </c>
      <c r="R129" s="6" t="str">
        <f t="shared" si="18"/>
        <v>Low</v>
      </c>
      <c r="S129" s="6">
        <v>0.17899999999999999</v>
      </c>
      <c r="T129" s="6">
        <v>23</v>
      </c>
      <c r="U129">
        <f t="shared" si="19"/>
        <v>853.32276999999988</v>
      </c>
      <c r="V129">
        <f t="shared" si="24"/>
        <v>1115385.1263499996</v>
      </c>
      <c r="W129">
        <f t="shared" si="20"/>
        <v>960.4799999999999</v>
      </c>
      <c r="X129" s="6">
        <f t="shared" si="21"/>
        <v>-107.15723000000003</v>
      </c>
      <c r="Y129">
        <f t="shared" si="22"/>
        <v>-0.12557643340514638</v>
      </c>
      <c r="Z129">
        <v>202508</v>
      </c>
      <c r="AA129" s="18">
        <v>202301</v>
      </c>
      <c r="AB129" t="str">
        <v>Aug-2023</v>
      </c>
      <c r="AC129">
        <f t="shared" si="23"/>
        <v>31</v>
      </c>
      <c r="AD129" t="str">
        <f t="shared" si="25"/>
        <v>Late</v>
      </c>
      <c r="AE129">
        <f t="shared" si="26"/>
        <v>0</v>
      </c>
      <c r="AF129">
        <f t="shared" si="27"/>
        <v>0</v>
      </c>
    </row>
    <row r="130" spans="1:32" x14ac:dyDescent="0.25">
      <c r="A130" s="3" t="s">
        <v>135</v>
      </c>
      <c r="B130" s="4">
        <v>45442</v>
      </c>
      <c r="C130" s="4" t="str">
        <f t="shared" ref="C130:C193" si="28">TEXT(B130,"MMM-YYYY")</f>
        <v>May-2024</v>
      </c>
      <c r="D130" s="4" t="str">
        <f t="shared" ref="D130:D193" si="29">IF(MONTH(B130)&lt;=3,"Q1",IF(MONTH(B130)&lt;=6,"Q2",IF(MONTH(B130)&lt;=9,"Q3","Q4")))</f>
        <v>Q2</v>
      </c>
      <c r="E130" s="4">
        <v>45456</v>
      </c>
      <c r="F130" s="10">
        <f t="shared" ref="F130:F193" si="30">ABS(E130-B130)</f>
        <v>14</v>
      </c>
      <c r="G130" s="3" t="s">
        <v>640</v>
      </c>
      <c r="H130" s="3" t="s">
        <v>652</v>
      </c>
      <c r="I130" s="3" t="s">
        <v>678</v>
      </c>
      <c r="J130" t="str">
        <f t="shared" ref="J130:J193" si="31">G130 &amp; " &gt; " &amp; H130 &amp; " &gt; " &amp; I130</f>
        <v>Americas &gt; USA &gt; San Francisco</v>
      </c>
      <c r="K130" s="3" t="s">
        <v>697</v>
      </c>
      <c r="L130" s="3" t="s">
        <v>699</v>
      </c>
      <c r="M130" s="3" t="s">
        <v>713</v>
      </c>
      <c r="N130" s="3" t="s">
        <v>722</v>
      </c>
      <c r="O130" s="3" t="s">
        <v>853</v>
      </c>
      <c r="P130" s="6">
        <v>157.78</v>
      </c>
      <c r="Q130" s="6">
        <v>361.1</v>
      </c>
      <c r="R130" s="6" t="str">
        <f t="shared" ref="R130:R193" si="32">IF(P130&lt;=500,"Low",IF(P130&lt;=1000,"Medium","High"))</f>
        <v>Low</v>
      </c>
      <c r="S130" s="6">
        <v>0.187</v>
      </c>
      <c r="T130" s="6">
        <v>9</v>
      </c>
      <c r="U130">
        <f t="shared" ref="U130:U193" si="33">(Q130*T130*(1-S130))</f>
        <v>2642.1686999999997</v>
      </c>
      <c r="V130">
        <f t="shared" si="24"/>
        <v>1114531.8035799996</v>
      </c>
      <c r="W130">
        <f t="shared" ref="W130:W193" si="34">(P130*T130)</f>
        <v>1420.02</v>
      </c>
      <c r="X130" s="6">
        <f t="shared" ref="X130:X193" si="35">(U130-W130)</f>
        <v>1222.1486999999997</v>
      </c>
      <c r="Y130">
        <f t="shared" ref="Y130:Y193" si="36">IF(U130=0,0,X130/U130)</f>
        <v>0.46255513510549112</v>
      </c>
      <c r="Z130">
        <v>202405</v>
      </c>
      <c r="AA130" s="18">
        <v>202301</v>
      </c>
      <c r="AB130" t="str">
        <v>May-2023</v>
      </c>
      <c r="AC130">
        <f t="shared" ref="AC130:AC193" si="37">DATEDIF(DATE(LEFT(AA130,4),RIGHT(AA130,2),1),B130,"M")</f>
        <v>16</v>
      </c>
      <c r="AD130" t="str">
        <f t="shared" si="25"/>
        <v>Late</v>
      </c>
      <c r="AE130">
        <f t="shared" si="26"/>
        <v>0</v>
      </c>
      <c r="AF130">
        <f t="shared" si="27"/>
        <v>0</v>
      </c>
    </row>
    <row r="131" spans="1:32" x14ac:dyDescent="0.25">
      <c r="A131" s="3" t="s">
        <v>136</v>
      </c>
      <c r="B131" s="4">
        <v>44948</v>
      </c>
      <c r="C131" s="4" t="str">
        <f t="shared" si="28"/>
        <v>Jan-2023</v>
      </c>
      <c r="D131" s="4" t="str">
        <f t="shared" si="29"/>
        <v>Q1</v>
      </c>
      <c r="E131" s="4">
        <v>44956</v>
      </c>
      <c r="F131" s="10">
        <f t="shared" si="30"/>
        <v>8</v>
      </c>
      <c r="G131" s="3" t="s">
        <v>640</v>
      </c>
      <c r="H131" s="3" t="s">
        <v>652</v>
      </c>
      <c r="I131" s="3" t="s">
        <v>678</v>
      </c>
      <c r="J131" t="str">
        <f t="shared" si="31"/>
        <v>Americas &gt; USA &gt; San Francisco</v>
      </c>
      <c r="K131" s="3" t="s">
        <v>697</v>
      </c>
      <c r="L131" s="3" t="s">
        <v>700</v>
      </c>
      <c r="M131" s="3" t="s">
        <v>712</v>
      </c>
      <c r="N131" s="3" t="s">
        <v>721</v>
      </c>
      <c r="O131" s="3" t="s">
        <v>854</v>
      </c>
      <c r="P131" s="6">
        <v>413.52</v>
      </c>
      <c r="Q131" s="6">
        <v>1004.34</v>
      </c>
      <c r="R131" s="6" t="str">
        <f t="shared" si="32"/>
        <v>Low</v>
      </c>
      <c r="S131" s="6">
        <v>0.111</v>
      </c>
      <c r="T131" s="6">
        <v>18</v>
      </c>
      <c r="U131">
        <f t="shared" si="33"/>
        <v>16071.44868</v>
      </c>
      <c r="V131">
        <f t="shared" ref="V131:V194" si="38">SUMIFS(U131:U762,N131:N762,"Components")</f>
        <v>1114531.8035799996</v>
      </c>
      <c r="W131">
        <f t="shared" si="34"/>
        <v>7443.36</v>
      </c>
      <c r="X131" s="6">
        <f t="shared" si="35"/>
        <v>8628.0886800000007</v>
      </c>
      <c r="Y131">
        <f t="shared" si="36"/>
        <v>0.53685817948304593</v>
      </c>
      <c r="Z131">
        <v>202301</v>
      </c>
      <c r="AA131" s="18">
        <v>202301</v>
      </c>
      <c r="AB131" t="str">
        <v>Jan-2023</v>
      </c>
      <c r="AC131">
        <f t="shared" si="37"/>
        <v>0</v>
      </c>
      <c r="AD131" t="str">
        <f t="shared" ref="AD131:AD194" si="39">IF(F131&lt;=7,"On Time","Late")</f>
        <v>Late</v>
      </c>
      <c r="AE131">
        <f t="shared" ref="AE131:AE194" si="40">IF(F131&lt;=7,1,0)</f>
        <v>0</v>
      </c>
      <c r="AF131">
        <f t="shared" ref="AF131:AF194" si="41">IF(S131&gt;0.2,1,0)</f>
        <v>0</v>
      </c>
    </row>
    <row r="132" spans="1:32" x14ac:dyDescent="0.25">
      <c r="A132" s="3" t="s">
        <v>137</v>
      </c>
      <c r="B132" s="4">
        <v>45700</v>
      </c>
      <c r="C132" s="4" t="str">
        <f t="shared" si="28"/>
        <v>Feb-2025</v>
      </c>
      <c r="D132" s="4" t="str">
        <f t="shared" si="29"/>
        <v>Q1</v>
      </c>
      <c r="E132" s="4">
        <v>45716</v>
      </c>
      <c r="F132" s="10">
        <f t="shared" si="30"/>
        <v>16</v>
      </c>
      <c r="G132" s="3" t="s">
        <v>640</v>
      </c>
      <c r="H132" s="3" t="s">
        <v>647</v>
      </c>
      <c r="I132" s="3" t="s">
        <v>662</v>
      </c>
      <c r="J132" t="str">
        <f t="shared" si="31"/>
        <v>Americas &gt; Brazil &gt; São Paulo</v>
      </c>
      <c r="K132" s="3" t="s">
        <v>695</v>
      </c>
      <c r="L132" s="3" t="s">
        <v>703</v>
      </c>
      <c r="M132" s="3" t="s">
        <v>709</v>
      </c>
      <c r="N132" s="3" t="s">
        <v>724</v>
      </c>
      <c r="O132" s="3" t="s">
        <v>855</v>
      </c>
      <c r="P132" s="6">
        <v>414.95</v>
      </c>
      <c r="Q132" s="6">
        <v>1027.73</v>
      </c>
      <c r="R132" s="6" t="str">
        <f t="shared" si="32"/>
        <v>Low</v>
      </c>
      <c r="S132" s="6">
        <v>6.3E-2</v>
      </c>
      <c r="T132" s="6">
        <v>8</v>
      </c>
      <c r="U132">
        <f t="shared" si="33"/>
        <v>7703.8640800000003</v>
      </c>
      <c r="V132">
        <f t="shared" si="38"/>
        <v>1114531.8035799996</v>
      </c>
      <c r="W132">
        <f t="shared" si="34"/>
        <v>3319.6</v>
      </c>
      <c r="X132" s="6">
        <f t="shared" si="35"/>
        <v>4384.2640800000008</v>
      </c>
      <c r="Y132">
        <f t="shared" si="36"/>
        <v>0.56909935513815568</v>
      </c>
      <c r="Z132">
        <v>202502</v>
      </c>
      <c r="AA132" s="18">
        <v>202301</v>
      </c>
      <c r="AB132" t="str">
        <v>Feb-2023</v>
      </c>
      <c r="AC132">
        <f t="shared" si="37"/>
        <v>25</v>
      </c>
      <c r="AD132" t="str">
        <f t="shared" si="39"/>
        <v>Late</v>
      </c>
      <c r="AE132">
        <f t="shared" si="40"/>
        <v>0</v>
      </c>
      <c r="AF132">
        <f t="shared" si="41"/>
        <v>0</v>
      </c>
    </row>
    <row r="133" spans="1:32" x14ac:dyDescent="0.25">
      <c r="A133" s="3" t="s">
        <v>138</v>
      </c>
      <c r="B133" s="4">
        <v>45719</v>
      </c>
      <c r="C133" s="4" t="str">
        <f t="shared" si="28"/>
        <v>Mar-2025</v>
      </c>
      <c r="D133" s="4" t="str">
        <f t="shared" si="29"/>
        <v>Q1</v>
      </c>
      <c r="E133" s="4">
        <v>45740</v>
      </c>
      <c r="F133" s="10">
        <f t="shared" si="30"/>
        <v>21</v>
      </c>
      <c r="G133" s="3" t="s">
        <v>638</v>
      </c>
      <c r="H133" s="3" t="s">
        <v>643</v>
      </c>
      <c r="I133" s="3" t="s">
        <v>661</v>
      </c>
      <c r="J133" t="str">
        <f t="shared" si="31"/>
        <v>Africa &gt; Nigeria &gt; Abuja</v>
      </c>
      <c r="K133" s="3" t="s">
        <v>698</v>
      </c>
      <c r="L133" s="3" t="s">
        <v>703</v>
      </c>
      <c r="M133" s="3" t="s">
        <v>714</v>
      </c>
      <c r="N133" s="3" t="s">
        <v>725</v>
      </c>
      <c r="O133" s="3" t="s">
        <v>856</v>
      </c>
      <c r="P133" s="6">
        <v>555.95000000000005</v>
      </c>
      <c r="Q133" s="6">
        <v>468.09</v>
      </c>
      <c r="R133" s="6" t="str">
        <f t="shared" si="32"/>
        <v>Medium</v>
      </c>
      <c r="S133" s="6">
        <v>0.14199999999999999</v>
      </c>
      <c r="T133" s="6">
        <v>11</v>
      </c>
      <c r="U133">
        <f t="shared" si="33"/>
        <v>4417.8334199999999</v>
      </c>
      <c r="V133">
        <f t="shared" si="38"/>
        <v>1114531.8035799996</v>
      </c>
      <c r="W133">
        <f t="shared" si="34"/>
        <v>6115.4500000000007</v>
      </c>
      <c r="X133" s="6">
        <f t="shared" si="35"/>
        <v>-1697.6165800000008</v>
      </c>
      <c r="Y133">
        <f t="shared" si="36"/>
        <v>-0.38426450674095375</v>
      </c>
      <c r="Z133">
        <v>202503</v>
      </c>
      <c r="AA133" s="18">
        <v>202301</v>
      </c>
      <c r="AB133" t="str">
        <v>Mar-2023</v>
      </c>
      <c r="AC133">
        <f t="shared" si="37"/>
        <v>26</v>
      </c>
      <c r="AD133" t="str">
        <f t="shared" si="39"/>
        <v>Late</v>
      </c>
      <c r="AE133">
        <f t="shared" si="40"/>
        <v>0</v>
      </c>
      <c r="AF133">
        <f t="shared" si="41"/>
        <v>0</v>
      </c>
    </row>
    <row r="134" spans="1:32" x14ac:dyDescent="0.25">
      <c r="A134" s="3" t="s">
        <v>139</v>
      </c>
      <c r="B134" s="4">
        <v>44953</v>
      </c>
      <c r="C134" s="4" t="str">
        <f t="shared" si="28"/>
        <v>Jan-2023</v>
      </c>
      <c r="D134" s="4" t="str">
        <f t="shared" si="29"/>
        <v>Q1</v>
      </c>
      <c r="E134" s="4">
        <v>44957</v>
      </c>
      <c r="F134" s="10">
        <f t="shared" si="30"/>
        <v>4</v>
      </c>
      <c r="G134" s="3" t="s">
        <v>641</v>
      </c>
      <c r="H134" s="3" t="s">
        <v>650</v>
      </c>
      <c r="I134" s="3" t="s">
        <v>685</v>
      </c>
      <c r="J134" t="str">
        <f t="shared" si="31"/>
        <v>Europe &gt; United Kingdom &gt; Manchester</v>
      </c>
      <c r="K134" s="3" t="s">
        <v>698</v>
      </c>
      <c r="L134" s="3" t="s">
        <v>700</v>
      </c>
      <c r="M134" s="3" t="s">
        <v>717</v>
      </c>
      <c r="N134" s="3" t="s">
        <v>723</v>
      </c>
      <c r="O134" s="3" t="s">
        <v>857</v>
      </c>
      <c r="P134" s="6">
        <v>941.2</v>
      </c>
      <c r="Q134" s="6">
        <v>668.02</v>
      </c>
      <c r="R134" s="6" t="str">
        <f t="shared" si="32"/>
        <v>Medium</v>
      </c>
      <c r="S134" s="6">
        <v>0.22</v>
      </c>
      <c r="T134" s="6">
        <v>16</v>
      </c>
      <c r="U134">
        <f t="shared" si="33"/>
        <v>8336.8896000000004</v>
      </c>
      <c r="V134">
        <f t="shared" si="38"/>
        <v>1114531.8035799996</v>
      </c>
      <c r="W134">
        <f t="shared" si="34"/>
        <v>15059.2</v>
      </c>
      <c r="X134" s="6">
        <f t="shared" si="35"/>
        <v>-6722.3104000000003</v>
      </c>
      <c r="Y134">
        <f t="shared" si="36"/>
        <v>-0.80633314371825193</v>
      </c>
      <c r="Z134">
        <v>202301</v>
      </c>
      <c r="AA134" s="18">
        <v>202301</v>
      </c>
      <c r="AB134" t="str">
        <v>Jan-2023</v>
      </c>
      <c r="AC134">
        <f t="shared" si="37"/>
        <v>0</v>
      </c>
      <c r="AD134" t="str">
        <f t="shared" si="39"/>
        <v>On Time</v>
      </c>
      <c r="AE134">
        <f t="shared" si="40"/>
        <v>1</v>
      </c>
      <c r="AF134">
        <f t="shared" si="41"/>
        <v>1</v>
      </c>
    </row>
    <row r="135" spans="1:32" x14ac:dyDescent="0.25">
      <c r="A135" s="3" t="s">
        <v>140</v>
      </c>
      <c r="B135" s="4">
        <v>45666</v>
      </c>
      <c r="C135" s="4" t="str">
        <f t="shared" si="28"/>
        <v>Jan-2025</v>
      </c>
      <c r="D135" s="4" t="str">
        <f t="shared" si="29"/>
        <v>Q1</v>
      </c>
      <c r="E135" s="4">
        <v>45672</v>
      </c>
      <c r="F135" s="10">
        <f t="shared" si="30"/>
        <v>6</v>
      </c>
      <c r="G135" s="3" t="s">
        <v>639</v>
      </c>
      <c r="H135" s="3" t="s">
        <v>651</v>
      </c>
      <c r="I135" s="3" t="s">
        <v>691</v>
      </c>
      <c r="J135" t="str">
        <f t="shared" si="31"/>
        <v>Asia &gt; China &gt; Beijing</v>
      </c>
      <c r="K135" s="3" t="s">
        <v>694</v>
      </c>
      <c r="L135" s="3" t="s">
        <v>700</v>
      </c>
      <c r="M135" s="3" t="s">
        <v>704</v>
      </c>
      <c r="N135" s="3" t="s">
        <v>722</v>
      </c>
      <c r="O135" s="3" t="s">
        <v>858</v>
      </c>
      <c r="P135" s="6">
        <v>304.77999999999997</v>
      </c>
      <c r="Q135" s="6">
        <v>537.27</v>
      </c>
      <c r="R135" s="6" t="str">
        <f t="shared" si="32"/>
        <v>Low</v>
      </c>
      <c r="S135" s="6">
        <v>0.187</v>
      </c>
      <c r="T135" s="6">
        <v>8</v>
      </c>
      <c r="U135">
        <f t="shared" si="33"/>
        <v>3494.4040799999998</v>
      </c>
      <c r="V135">
        <f t="shared" si="38"/>
        <v>1114531.8035799996</v>
      </c>
      <c r="W135">
        <f t="shared" si="34"/>
        <v>2438.2399999999998</v>
      </c>
      <c r="X135" s="6">
        <f t="shared" si="35"/>
        <v>1056.16408</v>
      </c>
      <c r="Y135">
        <f t="shared" si="36"/>
        <v>0.3022444044307549</v>
      </c>
      <c r="Z135">
        <v>202501</v>
      </c>
      <c r="AA135" s="18">
        <v>202301</v>
      </c>
      <c r="AB135" t="str">
        <v>Jan-2023</v>
      </c>
      <c r="AC135">
        <f t="shared" si="37"/>
        <v>24</v>
      </c>
      <c r="AD135" t="str">
        <f t="shared" si="39"/>
        <v>On Time</v>
      </c>
      <c r="AE135">
        <f t="shared" si="40"/>
        <v>1</v>
      </c>
      <c r="AF135">
        <f t="shared" si="41"/>
        <v>0</v>
      </c>
    </row>
    <row r="136" spans="1:32" x14ac:dyDescent="0.25">
      <c r="A136" s="3" t="s">
        <v>141</v>
      </c>
      <c r="B136" s="4">
        <v>45647</v>
      </c>
      <c r="C136" s="4" t="str">
        <f t="shared" si="28"/>
        <v>Dec-2024</v>
      </c>
      <c r="D136" s="4" t="str">
        <f t="shared" si="29"/>
        <v>Q4</v>
      </c>
      <c r="E136" s="4">
        <v>45652</v>
      </c>
      <c r="F136" s="10">
        <f t="shared" si="30"/>
        <v>5</v>
      </c>
      <c r="G136" s="3" t="s">
        <v>640</v>
      </c>
      <c r="H136" s="3" t="s">
        <v>652</v>
      </c>
      <c r="I136" s="3" t="s">
        <v>678</v>
      </c>
      <c r="J136" t="str">
        <f t="shared" si="31"/>
        <v>Americas &gt; USA &gt; San Francisco</v>
      </c>
      <c r="K136" s="3" t="s">
        <v>696</v>
      </c>
      <c r="L136" s="3" t="s">
        <v>701</v>
      </c>
      <c r="M136" s="3" t="s">
        <v>716</v>
      </c>
      <c r="N136" s="3" t="s">
        <v>720</v>
      </c>
      <c r="O136" s="3" t="s">
        <v>859</v>
      </c>
      <c r="P136" s="6">
        <v>699.57</v>
      </c>
      <c r="Q136" s="6">
        <v>572.71</v>
      </c>
      <c r="R136" s="6" t="str">
        <f t="shared" si="32"/>
        <v>Medium</v>
      </c>
      <c r="S136" s="6">
        <v>0.192</v>
      </c>
      <c r="T136" s="6">
        <v>26</v>
      </c>
      <c r="U136">
        <f t="shared" si="33"/>
        <v>12031.491680000001</v>
      </c>
      <c r="V136">
        <f t="shared" si="38"/>
        <v>1114531.8035799996</v>
      </c>
      <c r="W136">
        <f t="shared" si="34"/>
        <v>18188.82</v>
      </c>
      <c r="X136" s="6">
        <f t="shared" si="35"/>
        <v>-6157.3283199999987</v>
      </c>
      <c r="Y136">
        <f t="shared" si="36"/>
        <v>-0.51176765805651114</v>
      </c>
      <c r="Z136">
        <v>202412</v>
      </c>
      <c r="AA136" s="18">
        <v>202301</v>
      </c>
      <c r="AB136" t="str">
        <v>Dec-2023</v>
      </c>
      <c r="AC136">
        <f t="shared" si="37"/>
        <v>23</v>
      </c>
      <c r="AD136" t="str">
        <f t="shared" si="39"/>
        <v>On Time</v>
      </c>
      <c r="AE136">
        <f t="shared" si="40"/>
        <v>1</v>
      </c>
      <c r="AF136">
        <f t="shared" si="41"/>
        <v>0</v>
      </c>
    </row>
    <row r="137" spans="1:32" x14ac:dyDescent="0.25">
      <c r="A137" s="3" t="s">
        <v>142</v>
      </c>
      <c r="B137" s="4">
        <v>45028</v>
      </c>
      <c r="C137" s="4" t="str">
        <f t="shared" si="28"/>
        <v>Apr-2023</v>
      </c>
      <c r="D137" s="4" t="str">
        <f t="shared" si="29"/>
        <v>Q2</v>
      </c>
      <c r="E137" s="4">
        <v>45033</v>
      </c>
      <c r="F137" s="10">
        <f t="shared" si="30"/>
        <v>5</v>
      </c>
      <c r="G137" s="3" t="s">
        <v>641</v>
      </c>
      <c r="H137" s="3" t="s">
        <v>649</v>
      </c>
      <c r="I137" s="3" t="s">
        <v>671</v>
      </c>
      <c r="J137" t="str">
        <f t="shared" si="31"/>
        <v>Europe &gt; France &gt; Lyon</v>
      </c>
      <c r="K137" s="3" t="s">
        <v>698</v>
      </c>
      <c r="L137" s="3" t="s">
        <v>703</v>
      </c>
      <c r="M137" s="3" t="s">
        <v>710</v>
      </c>
      <c r="N137" s="3" t="s">
        <v>724</v>
      </c>
      <c r="O137" s="3" t="s">
        <v>860</v>
      </c>
      <c r="P137" s="6">
        <v>1087.81</v>
      </c>
      <c r="Q137" s="6">
        <v>2323.87</v>
      </c>
      <c r="R137" s="6" t="str">
        <f t="shared" si="32"/>
        <v>High</v>
      </c>
      <c r="S137" s="6">
        <v>9.4E-2</v>
      </c>
      <c r="T137" s="6">
        <v>13</v>
      </c>
      <c r="U137">
        <f t="shared" si="33"/>
        <v>27370.540859999997</v>
      </c>
      <c r="V137">
        <f t="shared" si="38"/>
        <v>1114531.8035799996</v>
      </c>
      <c r="W137">
        <f t="shared" si="34"/>
        <v>14141.529999999999</v>
      </c>
      <c r="X137" s="6">
        <f t="shared" si="35"/>
        <v>13229.010859999999</v>
      </c>
      <c r="Y137">
        <f t="shared" si="36"/>
        <v>0.48333026839572651</v>
      </c>
      <c r="Z137">
        <v>202304</v>
      </c>
      <c r="AA137" s="18">
        <v>202301</v>
      </c>
      <c r="AB137" t="str">
        <v>Apr-2023</v>
      </c>
      <c r="AC137">
        <f t="shared" si="37"/>
        <v>3</v>
      </c>
      <c r="AD137" t="str">
        <f t="shared" si="39"/>
        <v>On Time</v>
      </c>
      <c r="AE137">
        <f t="shared" si="40"/>
        <v>1</v>
      </c>
      <c r="AF137">
        <f t="shared" si="41"/>
        <v>0</v>
      </c>
    </row>
    <row r="138" spans="1:32" x14ac:dyDescent="0.25">
      <c r="A138" s="3" t="s">
        <v>143</v>
      </c>
      <c r="B138" s="4">
        <v>45640</v>
      </c>
      <c r="C138" s="4" t="str">
        <f t="shared" si="28"/>
        <v>Dec-2024</v>
      </c>
      <c r="D138" s="4" t="str">
        <f t="shared" si="29"/>
        <v>Q4</v>
      </c>
      <c r="E138" s="4">
        <v>45669</v>
      </c>
      <c r="F138" s="10">
        <f t="shared" si="30"/>
        <v>29</v>
      </c>
      <c r="G138" s="3" t="s">
        <v>639</v>
      </c>
      <c r="H138" s="3" t="s">
        <v>651</v>
      </c>
      <c r="I138" s="3" t="s">
        <v>668</v>
      </c>
      <c r="J138" t="str">
        <f t="shared" si="31"/>
        <v>Asia &gt; China &gt; Shenzhen</v>
      </c>
      <c r="K138" s="3" t="s">
        <v>694</v>
      </c>
      <c r="L138" s="3" t="s">
        <v>700</v>
      </c>
      <c r="M138" s="3" t="s">
        <v>705</v>
      </c>
      <c r="N138" s="3" t="s">
        <v>719</v>
      </c>
      <c r="O138" s="3" t="s">
        <v>861</v>
      </c>
      <c r="P138" s="6">
        <v>1412.15</v>
      </c>
      <c r="Q138" s="6">
        <v>1631.04</v>
      </c>
      <c r="R138" s="6" t="str">
        <f t="shared" si="32"/>
        <v>High</v>
      </c>
      <c r="S138" s="6">
        <v>8.9999999999999993E-3</v>
      </c>
      <c r="T138" s="6">
        <v>6</v>
      </c>
      <c r="U138">
        <f t="shared" si="33"/>
        <v>9698.1638399999993</v>
      </c>
      <c r="V138">
        <f t="shared" si="38"/>
        <v>1114531.8035799996</v>
      </c>
      <c r="W138">
        <f t="shared" si="34"/>
        <v>8472.9000000000015</v>
      </c>
      <c r="X138" s="6">
        <f t="shared" si="35"/>
        <v>1225.2638399999978</v>
      </c>
      <c r="Y138">
        <f t="shared" si="36"/>
        <v>0.12633977526203535</v>
      </c>
      <c r="Z138">
        <v>202412</v>
      </c>
      <c r="AA138" s="18">
        <v>202301</v>
      </c>
      <c r="AB138" t="str">
        <v>Dec-2023</v>
      </c>
      <c r="AC138">
        <f t="shared" si="37"/>
        <v>23</v>
      </c>
      <c r="AD138" t="str">
        <f t="shared" si="39"/>
        <v>Late</v>
      </c>
      <c r="AE138">
        <f t="shared" si="40"/>
        <v>0</v>
      </c>
      <c r="AF138">
        <f t="shared" si="41"/>
        <v>0</v>
      </c>
    </row>
    <row r="139" spans="1:32" x14ac:dyDescent="0.25">
      <c r="A139" s="3" t="s">
        <v>144</v>
      </c>
      <c r="B139" s="4">
        <v>45016</v>
      </c>
      <c r="C139" s="4" t="str">
        <f t="shared" si="28"/>
        <v>Mar-2023</v>
      </c>
      <c r="D139" s="4" t="str">
        <f t="shared" si="29"/>
        <v>Q1</v>
      </c>
      <c r="E139" s="4">
        <v>45028</v>
      </c>
      <c r="F139" s="10">
        <f t="shared" si="30"/>
        <v>12</v>
      </c>
      <c r="G139" s="3" t="s">
        <v>638</v>
      </c>
      <c r="H139" s="3" t="s">
        <v>642</v>
      </c>
      <c r="I139" s="3" t="s">
        <v>667</v>
      </c>
      <c r="J139" t="str">
        <f t="shared" si="31"/>
        <v>Africa &gt; Kenya &gt; Mombasa</v>
      </c>
      <c r="K139" s="3" t="s">
        <v>697</v>
      </c>
      <c r="L139" s="3" t="s">
        <v>700</v>
      </c>
      <c r="M139" s="3" t="s">
        <v>704</v>
      </c>
      <c r="N139" s="3" t="s">
        <v>722</v>
      </c>
      <c r="O139" s="3" t="s">
        <v>862</v>
      </c>
      <c r="P139" s="6">
        <v>304.22000000000003</v>
      </c>
      <c r="Q139" s="6">
        <v>393.31</v>
      </c>
      <c r="R139" s="6" t="str">
        <f t="shared" si="32"/>
        <v>Low</v>
      </c>
      <c r="S139" s="6">
        <v>0.26500000000000001</v>
      </c>
      <c r="T139" s="6">
        <v>15</v>
      </c>
      <c r="U139">
        <f t="shared" si="33"/>
        <v>4336.2427499999994</v>
      </c>
      <c r="V139">
        <f t="shared" si="38"/>
        <v>1104833.6397399995</v>
      </c>
      <c r="W139">
        <f t="shared" si="34"/>
        <v>4563.3</v>
      </c>
      <c r="X139" s="6">
        <f t="shared" si="35"/>
        <v>-227.05725000000075</v>
      </c>
      <c r="Y139">
        <f t="shared" si="36"/>
        <v>-5.2362670424759034E-2</v>
      </c>
      <c r="Z139">
        <v>202303</v>
      </c>
      <c r="AA139" s="18">
        <v>202301</v>
      </c>
      <c r="AB139" t="str">
        <v>Mar-2023</v>
      </c>
      <c r="AC139">
        <f t="shared" si="37"/>
        <v>2</v>
      </c>
      <c r="AD139" t="str">
        <f t="shared" si="39"/>
        <v>Late</v>
      </c>
      <c r="AE139">
        <f t="shared" si="40"/>
        <v>0</v>
      </c>
      <c r="AF139">
        <f t="shared" si="41"/>
        <v>1</v>
      </c>
    </row>
    <row r="140" spans="1:32" x14ac:dyDescent="0.25">
      <c r="A140" s="3" t="s">
        <v>145</v>
      </c>
      <c r="B140" s="4">
        <v>45616</v>
      </c>
      <c r="C140" s="4" t="str">
        <f t="shared" si="28"/>
        <v>Nov-2024</v>
      </c>
      <c r="D140" s="4" t="str">
        <f t="shared" si="29"/>
        <v>Q4</v>
      </c>
      <c r="E140" s="4">
        <v>45641</v>
      </c>
      <c r="F140" s="10">
        <f t="shared" si="30"/>
        <v>25</v>
      </c>
      <c r="G140" s="3" t="s">
        <v>641</v>
      </c>
      <c r="H140" s="3" t="s">
        <v>649</v>
      </c>
      <c r="I140" s="3" t="s">
        <v>682</v>
      </c>
      <c r="J140" t="str">
        <f t="shared" si="31"/>
        <v>Europe &gt; France &gt; Paris</v>
      </c>
      <c r="K140" s="3" t="s">
        <v>693</v>
      </c>
      <c r="L140" s="3" t="s">
        <v>700</v>
      </c>
      <c r="M140" s="3" t="s">
        <v>707</v>
      </c>
      <c r="N140" s="3" t="s">
        <v>720</v>
      </c>
      <c r="O140" s="3" t="s">
        <v>863</v>
      </c>
      <c r="P140" s="6">
        <v>1203.58</v>
      </c>
      <c r="Q140" s="6">
        <v>1856.16</v>
      </c>
      <c r="R140" s="6" t="str">
        <f t="shared" si="32"/>
        <v>High</v>
      </c>
      <c r="S140" s="6">
        <v>0.129</v>
      </c>
      <c r="T140" s="6">
        <v>22</v>
      </c>
      <c r="U140">
        <f t="shared" si="33"/>
        <v>35567.737920000007</v>
      </c>
      <c r="V140">
        <f t="shared" si="38"/>
        <v>1104833.6397399995</v>
      </c>
      <c r="W140">
        <f t="shared" si="34"/>
        <v>26478.76</v>
      </c>
      <c r="X140" s="6">
        <f t="shared" si="35"/>
        <v>9088.9779200000085</v>
      </c>
      <c r="Y140">
        <f t="shared" si="36"/>
        <v>0.25553994860295032</v>
      </c>
      <c r="Z140">
        <v>202411</v>
      </c>
      <c r="AA140" s="18">
        <v>202301</v>
      </c>
      <c r="AB140" t="str">
        <v>Nov-2023</v>
      </c>
      <c r="AC140">
        <f t="shared" si="37"/>
        <v>22</v>
      </c>
      <c r="AD140" t="str">
        <f t="shared" si="39"/>
        <v>Late</v>
      </c>
      <c r="AE140">
        <f t="shared" si="40"/>
        <v>0</v>
      </c>
      <c r="AF140">
        <f t="shared" si="41"/>
        <v>0</v>
      </c>
    </row>
    <row r="141" spans="1:32" x14ac:dyDescent="0.25">
      <c r="A141" s="3" t="s">
        <v>146</v>
      </c>
      <c r="B141" s="4">
        <v>45336</v>
      </c>
      <c r="C141" s="4" t="str">
        <f t="shared" si="28"/>
        <v>Feb-2024</v>
      </c>
      <c r="D141" s="4" t="str">
        <f t="shared" si="29"/>
        <v>Q1</v>
      </c>
      <c r="E141" s="4">
        <v>45336</v>
      </c>
      <c r="F141" s="10">
        <f t="shared" si="30"/>
        <v>0</v>
      </c>
      <c r="G141" s="3" t="s">
        <v>639</v>
      </c>
      <c r="H141" s="3" t="s">
        <v>651</v>
      </c>
      <c r="I141" s="3" t="s">
        <v>691</v>
      </c>
      <c r="J141" t="str">
        <f t="shared" si="31"/>
        <v>Asia &gt; China &gt; Beijing</v>
      </c>
      <c r="K141" s="3" t="s">
        <v>693</v>
      </c>
      <c r="L141" s="3" t="s">
        <v>702</v>
      </c>
      <c r="M141" s="3" t="s">
        <v>708</v>
      </c>
      <c r="N141" s="3" t="s">
        <v>725</v>
      </c>
      <c r="O141" s="3" t="s">
        <v>864</v>
      </c>
      <c r="P141" s="6">
        <v>65.930000000000007</v>
      </c>
      <c r="Q141" s="6">
        <v>84.9</v>
      </c>
      <c r="R141" s="6" t="str">
        <f t="shared" si="32"/>
        <v>Low</v>
      </c>
      <c r="S141" s="6">
        <v>0.25900000000000001</v>
      </c>
      <c r="T141" s="6">
        <v>23</v>
      </c>
      <c r="U141">
        <f t="shared" si="33"/>
        <v>1446.9507000000001</v>
      </c>
      <c r="V141">
        <f t="shared" si="38"/>
        <v>1104833.6397399995</v>
      </c>
      <c r="W141">
        <f t="shared" si="34"/>
        <v>1516.39</v>
      </c>
      <c r="X141" s="6">
        <f t="shared" si="35"/>
        <v>-69.439300000000003</v>
      </c>
      <c r="Y141">
        <f t="shared" si="36"/>
        <v>-4.7990093926489688E-2</v>
      </c>
      <c r="Z141">
        <v>202402</v>
      </c>
      <c r="AA141" s="18">
        <v>202301</v>
      </c>
      <c r="AB141" t="str">
        <v>Feb-2023</v>
      </c>
      <c r="AC141">
        <f t="shared" si="37"/>
        <v>13</v>
      </c>
      <c r="AD141" t="str">
        <f t="shared" si="39"/>
        <v>On Time</v>
      </c>
      <c r="AE141">
        <f t="shared" si="40"/>
        <v>1</v>
      </c>
      <c r="AF141">
        <f t="shared" si="41"/>
        <v>1</v>
      </c>
    </row>
    <row r="142" spans="1:32" x14ac:dyDescent="0.25">
      <c r="A142" s="3" t="s">
        <v>147</v>
      </c>
      <c r="B142" s="4">
        <v>45048</v>
      </c>
      <c r="C142" s="4" t="str">
        <f t="shared" si="28"/>
        <v>May-2023</v>
      </c>
      <c r="D142" s="4" t="str">
        <f t="shared" si="29"/>
        <v>Q2</v>
      </c>
      <c r="E142" s="4">
        <v>45064</v>
      </c>
      <c r="F142" s="10">
        <f t="shared" si="30"/>
        <v>16</v>
      </c>
      <c r="G142" s="3" t="s">
        <v>639</v>
      </c>
      <c r="H142" s="3" t="s">
        <v>646</v>
      </c>
      <c r="I142" s="3" t="s">
        <v>672</v>
      </c>
      <c r="J142" t="str">
        <f t="shared" si="31"/>
        <v>Asia &gt; India &gt; Delhi</v>
      </c>
      <c r="K142" s="3" t="s">
        <v>697</v>
      </c>
      <c r="L142" s="3" t="s">
        <v>701</v>
      </c>
      <c r="M142" s="3" t="s">
        <v>715</v>
      </c>
      <c r="N142" s="3" t="s">
        <v>724</v>
      </c>
      <c r="O142" s="3" t="s">
        <v>865</v>
      </c>
      <c r="P142" s="6">
        <v>1463.92</v>
      </c>
      <c r="Q142" s="6">
        <v>2252.2399999999998</v>
      </c>
      <c r="R142" s="6" t="str">
        <f t="shared" si="32"/>
        <v>High</v>
      </c>
      <c r="S142" s="6">
        <v>0.11799999999999999</v>
      </c>
      <c r="T142" s="6">
        <v>44</v>
      </c>
      <c r="U142">
        <f t="shared" si="33"/>
        <v>87404.929919999995</v>
      </c>
      <c r="V142">
        <f t="shared" si="38"/>
        <v>1104833.6397399995</v>
      </c>
      <c r="W142">
        <f t="shared" si="34"/>
        <v>64412.480000000003</v>
      </c>
      <c r="X142" s="6">
        <f t="shared" si="35"/>
        <v>22992.449919999992</v>
      </c>
      <c r="Y142">
        <f t="shared" si="36"/>
        <v>0.26305667130040061</v>
      </c>
      <c r="Z142">
        <v>202305</v>
      </c>
      <c r="AA142" s="18">
        <v>202301</v>
      </c>
      <c r="AB142" t="str">
        <v>May-2023</v>
      </c>
      <c r="AC142">
        <f t="shared" si="37"/>
        <v>4</v>
      </c>
      <c r="AD142" t="str">
        <f t="shared" si="39"/>
        <v>Late</v>
      </c>
      <c r="AE142">
        <f t="shared" si="40"/>
        <v>0</v>
      </c>
      <c r="AF142">
        <f t="shared" si="41"/>
        <v>0</v>
      </c>
    </row>
    <row r="143" spans="1:32" x14ac:dyDescent="0.25">
      <c r="A143" s="3" t="s">
        <v>148</v>
      </c>
      <c r="B143" s="4">
        <v>45649</v>
      </c>
      <c r="C143" s="4" t="str">
        <f t="shared" si="28"/>
        <v>Dec-2024</v>
      </c>
      <c r="D143" s="4" t="str">
        <f t="shared" si="29"/>
        <v>Q4</v>
      </c>
      <c r="E143" s="4">
        <v>45668</v>
      </c>
      <c r="F143" s="10">
        <f t="shared" si="30"/>
        <v>19</v>
      </c>
      <c r="G143" s="3" t="s">
        <v>641</v>
      </c>
      <c r="H143" s="3" t="s">
        <v>648</v>
      </c>
      <c r="I143" s="3" t="s">
        <v>663</v>
      </c>
      <c r="J143" t="str">
        <f t="shared" si="31"/>
        <v>Europe &gt; Germany &gt; Berlin</v>
      </c>
      <c r="K143" s="3" t="s">
        <v>694</v>
      </c>
      <c r="L143" s="3" t="s">
        <v>699</v>
      </c>
      <c r="M143" s="3" t="s">
        <v>715</v>
      </c>
      <c r="N143" s="3" t="s">
        <v>722</v>
      </c>
      <c r="O143" s="3" t="s">
        <v>866</v>
      </c>
      <c r="P143" s="6">
        <v>501.81</v>
      </c>
      <c r="Q143" s="6">
        <v>921.62</v>
      </c>
      <c r="R143" s="6" t="str">
        <f t="shared" si="32"/>
        <v>Medium</v>
      </c>
      <c r="S143" s="6">
        <v>0.01</v>
      </c>
      <c r="T143" s="6">
        <v>9</v>
      </c>
      <c r="U143">
        <f t="shared" si="33"/>
        <v>8211.6342000000004</v>
      </c>
      <c r="V143">
        <f t="shared" si="38"/>
        <v>1104833.6397399995</v>
      </c>
      <c r="W143">
        <f t="shared" si="34"/>
        <v>4516.29</v>
      </c>
      <c r="X143" s="6">
        <f t="shared" si="35"/>
        <v>3695.3442000000005</v>
      </c>
      <c r="Y143">
        <f t="shared" si="36"/>
        <v>0.45001325071202031</v>
      </c>
      <c r="Z143">
        <v>202412</v>
      </c>
      <c r="AA143" s="18">
        <v>202301</v>
      </c>
      <c r="AB143" t="str">
        <v>Dec-2023</v>
      </c>
      <c r="AC143">
        <f t="shared" si="37"/>
        <v>23</v>
      </c>
      <c r="AD143" t="str">
        <f t="shared" si="39"/>
        <v>Late</v>
      </c>
      <c r="AE143">
        <f t="shared" si="40"/>
        <v>0</v>
      </c>
      <c r="AF143">
        <f t="shared" si="41"/>
        <v>0</v>
      </c>
    </row>
    <row r="144" spans="1:32" x14ac:dyDescent="0.25">
      <c r="A144" s="3" t="s">
        <v>149</v>
      </c>
      <c r="B144" s="4">
        <v>45133</v>
      </c>
      <c r="C144" s="4" t="str">
        <f t="shared" si="28"/>
        <v>Jul-2023</v>
      </c>
      <c r="D144" s="4" t="str">
        <f t="shared" si="29"/>
        <v>Q3</v>
      </c>
      <c r="E144" s="4">
        <v>45163</v>
      </c>
      <c r="F144" s="10">
        <f t="shared" si="30"/>
        <v>30</v>
      </c>
      <c r="G144" s="3" t="s">
        <v>640</v>
      </c>
      <c r="H144" s="3" t="s">
        <v>652</v>
      </c>
      <c r="I144" s="3" t="s">
        <v>692</v>
      </c>
      <c r="J144" t="str">
        <f t="shared" si="31"/>
        <v>Americas &gt; USA &gt; New York</v>
      </c>
      <c r="K144" s="3" t="s">
        <v>696</v>
      </c>
      <c r="L144" s="3" t="s">
        <v>699</v>
      </c>
      <c r="M144" s="3" t="s">
        <v>716</v>
      </c>
      <c r="N144" s="3" t="s">
        <v>725</v>
      </c>
      <c r="O144" s="3" t="s">
        <v>867</v>
      </c>
      <c r="P144" s="6">
        <v>1261.48</v>
      </c>
      <c r="Q144" s="6">
        <v>1643.18</v>
      </c>
      <c r="R144" s="6" t="str">
        <f t="shared" si="32"/>
        <v>High</v>
      </c>
      <c r="S144" s="6">
        <v>0.151</v>
      </c>
      <c r="T144" s="6">
        <v>23</v>
      </c>
      <c r="U144">
        <f t="shared" si="33"/>
        <v>32086.37586</v>
      </c>
      <c r="V144">
        <f t="shared" si="38"/>
        <v>1104833.6397399995</v>
      </c>
      <c r="W144">
        <f t="shared" si="34"/>
        <v>29014.04</v>
      </c>
      <c r="X144" s="6">
        <f t="shared" si="35"/>
        <v>3072.3358599999992</v>
      </c>
      <c r="Y144">
        <f t="shared" si="36"/>
        <v>9.5752037357079045E-2</v>
      </c>
      <c r="Z144">
        <v>202307</v>
      </c>
      <c r="AA144" s="18">
        <v>202301</v>
      </c>
      <c r="AB144" t="str">
        <v>Jul-2023</v>
      </c>
      <c r="AC144">
        <f t="shared" si="37"/>
        <v>6</v>
      </c>
      <c r="AD144" t="str">
        <f t="shared" si="39"/>
        <v>Late</v>
      </c>
      <c r="AE144">
        <f t="shared" si="40"/>
        <v>0</v>
      </c>
      <c r="AF144">
        <f t="shared" si="41"/>
        <v>0</v>
      </c>
    </row>
    <row r="145" spans="1:32" x14ac:dyDescent="0.25">
      <c r="A145" s="3" t="s">
        <v>150</v>
      </c>
      <c r="B145" s="4">
        <v>45458</v>
      </c>
      <c r="C145" s="4" t="str">
        <f t="shared" si="28"/>
        <v>Jun-2024</v>
      </c>
      <c r="D145" s="4" t="str">
        <f t="shared" si="29"/>
        <v>Q2</v>
      </c>
      <c r="E145" s="4">
        <v>45479</v>
      </c>
      <c r="F145" s="10">
        <f t="shared" si="30"/>
        <v>21</v>
      </c>
      <c r="G145" s="3" t="s">
        <v>640</v>
      </c>
      <c r="H145" s="3" t="s">
        <v>645</v>
      </c>
      <c r="I145" s="3" t="s">
        <v>659</v>
      </c>
      <c r="J145" t="str">
        <f t="shared" si="31"/>
        <v>Americas &gt; Canada &gt; Toronto</v>
      </c>
      <c r="K145" s="3" t="s">
        <v>698</v>
      </c>
      <c r="L145" s="3" t="s">
        <v>702</v>
      </c>
      <c r="M145" s="3" t="s">
        <v>708</v>
      </c>
      <c r="N145" s="3" t="s">
        <v>720</v>
      </c>
      <c r="O145" s="3" t="s">
        <v>868</v>
      </c>
      <c r="P145" s="6">
        <v>817.23</v>
      </c>
      <c r="Q145" s="6">
        <v>1467.17</v>
      </c>
      <c r="R145" s="6" t="str">
        <f t="shared" si="32"/>
        <v>Medium</v>
      </c>
      <c r="S145" s="6">
        <v>0.245</v>
      </c>
      <c r="T145" s="6">
        <v>9</v>
      </c>
      <c r="U145">
        <f t="shared" si="33"/>
        <v>9969.4201499999999</v>
      </c>
      <c r="V145">
        <f t="shared" si="38"/>
        <v>1104833.6397399995</v>
      </c>
      <c r="W145">
        <f t="shared" si="34"/>
        <v>7355.07</v>
      </c>
      <c r="X145" s="6">
        <f t="shared" si="35"/>
        <v>2614.3501500000002</v>
      </c>
      <c r="Y145">
        <f t="shared" si="36"/>
        <v>0.26223693160328893</v>
      </c>
      <c r="Z145">
        <v>202406</v>
      </c>
      <c r="AA145" s="18">
        <v>202301</v>
      </c>
      <c r="AB145" t="str">
        <v>Jun-2023</v>
      </c>
      <c r="AC145">
        <f t="shared" si="37"/>
        <v>17</v>
      </c>
      <c r="AD145" t="str">
        <f t="shared" si="39"/>
        <v>Late</v>
      </c>
      <c r="AE145">
        <f t="shared" si="40"/>
        <v>0</v>
      </c>
      <c r="AF145">
        <f t="shared" si="41"/>
        <v>1</v>
      </c>
    </row>
    <row r="146" spans="1:32" x14ac:dyDescent="0.25">
      <c r="A146" s="3" t="s">
        <v>151</v>
      </c>
      <c r="B146" s="4">
        <v>45112</v>
      </c>
      <c r="C146" s="4" t="str">
        <f t="shared" si="28"/>
        <v>Jul-2023</v>
      </c>
      <c r="D146" s="4" t="str">
        <f t="shared" si="29"/>
        <v>Q3</v>
      </c>
      <c r="E146" s="4">
        <v>45121</v>
      </c>
      <c r="F146" s="10">
        <f t="shared" si="30"/>
        <v>9</v>
      </c>
      <c r="G146" s="3" t="s">
        <v>640</v>
      </c>
      <c r="H146" s="3" t="s">
        <v>647</v>
      </c>
      <c r="I146" s="3" t="s">
        <v>664</v>
      </c>
      <c r="J146" t="str">
        <f t="shared" si="31"/>
        <v>Americas &gt; Brazil &gt; Brasília</v>
      </c>
      <c r="K146" s="3" t="s">
        <v>698</v>
      </c>
      <c r="L146" s="3" t="s">
        <v>703</v>
      </c>
      <c r="M146" s="3" t="s">
        <v>709</v>
      </c>
      <c r="N146" s="3" t="s">
        <v>721</v>
      </c>
      <c r="O146" s="3" t="s">
        <v>869</v>
      </c>
      <c r="P146" s="6">
        <v>578.85</v>
      </c>
      <c r="Q146" s="6">
        <v>998.76</v>
      </c>
      <c r="R146" s="6" t="str">
        <f t="shared" si="32"/>
        <v>Medium</v>
      </c>
      <c r="S146" s="6">
        <v>8.2000000000000003E-2</v>
      </c>
      <c r="T146" s="6">
        <v>28</v>
      </c>
      <c r="U146">
        <f t="shared" si="33"/>
        <v>25672.127039999999</v>
      </c>
      <c r="V146">
        <f t="shared" si="38"/>
        <v>1104833.6397399995</v>
      </c>
      <c r="W146">
        <f t="shared" si="34"/>
        <v>16207.800000000001</v>
      </c>
      <c r="X146" s="6">
        <f t="shared" si="35"/>
        <v>9464.3270399999983</v>
      </c>
      <c r="Y146">
        <f t="shared" si="36"/>
        <v>0.36866158480960831</v>
      </c>
      <c r="Z146">
        <v>202307</v>
      </c>
      <c r="AA146" s="18">
        <v>202301</v>
      </c>
      <c r="AB146" t="str">
        <v>Jul-2023</v>
      </c>
      <c r="AC146">
        <f t="shared" si="37"/>
        <v>6</v>
      </c>
      <c r="AD146" t="str">
        <f t="shared" si="39"/>
        <v>Late</v>
      </c>
      <c r="AE146">
        <f t="shared" si="40"/>
        <v>0</v>
      </c>
      <c r="AF146">
        <f t="shared" si="41"/>
        <v>0</v>
      </c>
    </row>
    <row r="147" spans="1:32" x14ac:dyDescent="0.25">
      <c r="A147" s="3" t="s">
        <v>152</v>
      </c>
      <c r="B147" s="4">
        <v>45260</v>
      </c>
      <c r="C147" s="4" t="str">
        <f t="shared" si="28"/>
        <v>Nov-2023</v>
      </c>
      <c r="D147" s="4" t="str">
        <f t="shared" si="29"/>
        <v>Q4</v>
      </c>
      <c r="E147" s="4">
        <v>45261</v>
      </c>
      <c r="F147" s="10">
        <f t="shared" si="30"/>
        <v>1</v>
      </c>
      <c r="G147" s="3" t="s">
        <v>638</v>
      </c>
      <c r="H147" s="3" t="s">
        <v>653</v>
      </c>
      <c r="I147" s="3" t="s">
        <v>679</v>
      </c>
      <c r="J147" t="str">
        <f t="shared" si="31"/>
        <v>Africa &gt; South Africa &gt; Durban</v>
      </c>
      <c r="K147" s="3" t="s">
        <v>697</v>
      </c>
      <c r="L147" s="3" t="s">
        <v>701</v>
      </c>
      <c r="M147" s="3" t="s">
        <v>710</v>
      </c>
      <c r="N147" s="3" t="s">
        <v>723</v>
      </c>
      <c r="O147" s="3" t="s">
        <v>870</v>
      </c>
      <c r="P147" s="6">
        <v>275.56</v>
      </c>
      <c r="Q147" s="6">
        <v>630.72</v>
      </c>
      <c r="R147" s="6" t="str">
        <f t="shared" si="32"/>
        <v>Low</v>
      </c>
      <c r="S147" s="6">
        <v>0.107</v>
      </c>
      <c r="T147" s="6">
        <v>23</v>
      </c>
      <c r="U147">
        <f t="shared" si="33"/>
        <v>12954.358080000002</v>
      </c>
      <c r="V147">
        <f t="shared" si="38"/>
        <v>1104833.6397399995</v>
      </c>
      <c r="W147">
        <f t="shared" si="34"/>
        <v>6337.88</v>
      </c>
      <c r="X147" s="6">
        <f t="shared" si="35"/>
        <v>6616.4780800000017</v>
      </c>
      <c r="Y147">
        <f t="shared" si="36"/>
        <v>0.5107530638831933</v>
      </c>
      <c r="Z147">
        <v>202311</v>
      </c>
      <c r="AA147" s="18">
        <v>202301</v>
      </c>
      <c r="AB147" t="str">
        <v>Nov-2023</v>
      </c>
      <c r="AC147">
        <f t="shared" si="37"/>
        <v>10</v>
      </c>
      <c r="AD147" t="str">
        <f t="shared" si="39"/>
        <v>On Time</v>
      </c>
      <c r="AE147">
        <f t="shared" si="40"/>
        <v>1</v>
      </c>
      <c r="AF147">
        <f t="shared" si="41"/>
        <v>0</v>
      </c>
    </row>
    <row r="148" spans="1:32" x14ac:dyDescent="0.25">
      <c r="A148" s="3" t="s">
        <v>153</v>
      </c>
      <c r="B148" s="4">
        <v>45911</v>
      </c>
      <c r="C148" s="4" t="str">
        <f t="shared" si="28"/>
        <v>Sept-2025</v>
      </c>
      <c r="D148" s="4" t="str">
        <f t="shared" si="29"/>
        <v>Q3</v>
      </c>
      <c r="E148" s="4">
        <v>45928</v>
      </c>
      <c r="F148" s="10">
        <f t="shared" si="30"/>
        <v>17</v>
      </c>
      <c r="G148" s="3" t="s">
        <v>638</v>
      </c>
      <c r="H148" s="3" t="s">
        <v>642</v>
      </c>
      <c r="I148" s="3" t="s">
        <v>656</v>
      </c>
      <c r="J148" t="str">
        <f t="shared" si="31"/>
        <v>Africa &gt; Kenya &gt; Nairobi</v>
      </c>
      <c r="K148" s="3" t="s">
        <v>695</v>
      </c>
      <c r="L148" s="3" t="s">
        <v>702</v>
      </c>
      <c r="M148" s="3" t="s">
        <v>705</v>
      </c>
      <c r="N148" s="3" t="s">
        <v>723</v>
      </c>
      <c r="O148" s="3" t="s">
        <v>871</v>
      </c>
      <c r="P148" s="6">
        <v>891.46</v>
      </c>
      <c r="Q148" s="6">
        <v>728.61</v>
      </c>
      <c r="R148" s="6" t="str">
        <f t="shared" si="32"/>
        <v>Medium</v>
      </c>
      <c r="S148" s="6">
        <v>0.185</v>
      </c>
      <c r="T148" s="6">
        <v>6</v>
      </c>
      <c r="U148">
        <f t="shared" si="33"/>
        <v>3562.9028999999996</v>
      </c>
      <c r="V148">
        <f t="shared" si="38"/>
        <v>1104833.6397399995</v>
      </c>
      <c r="W148">
        <f t="shared" si="34"/>
        <v>5348.76</v>
      </c>
      <c r="X148" s="6">
        <f t="shared" si="35"/>
        <v>-1785.8571000000006</v>
      </c>
      <c r="Y148">
        <f t="shared" si="36"/>
        <v>-0.50123653383874167</v>
      </c>
      <c r="Z148">
        <v>202509</v>
      </c>
      <c r="AA148" s="18">
        <v>202301</v>
      </c>
      <c r="AB148" t="str">
        <v>Sept-2023</v>
      </c>
      <c r="AC148">
        <f t="shared" si="37"/>
        <v>32</v>
      </c>
      <c r="AD148" t="str">
        <f t="shared" si="39"/>
        <v>Late</v>
      </c>
      <c r="AE148">
        <f t="shared" si="40"/>
        <v>0</v>
      </c>
      <c r="AF148">
        <f t="shared" si="41"/>
        <v>0</v>
      </c>
    </row>
    <row r="149" spans="1:32" x14ac:dyDescent="0.25">
      <c r="A149" s="3" t="s">
        <v>154</v>
      </c>
      <c r="B149" s="4">
        <v>45386</v>
      </c>
      <c r="C149" s="4" t="str">
        <f t="shared" si="28"/>
        <v>Apr-2024</v>
      </c>
      <c r="D149" s="4" t="str">
        <f t="shared" si="29"/>
        <v>Q2</v>
      </c>
      <c r="E149" s="4">
        <v>45406</v>
      </c>
      <c r="F149" s="10">
        <f t="shared" si="30"/>
        <v>20</v>
      </c>
      <c r="G149" s="3" t="s">
        <v>641</v>
      </c>
      <c r="H149" s="3" t="s">
        <v>648</v>
      </c>
      <c r="I149" s="3" t="s">
        <v>690</v>
      </c>
      <c r="J149" t="str">
        <f t="shared" si="31"/>
        <v>Europe &gt; Germany &gt; Frankfurt</v>
      </c>
      <c r="K149" s="3" t="s">
        <v>695</v>
      </c>
      <c r="L149" s="3" t="s">
        <v>703</v>
      </c>
      <c r="M149" s="3" t="s">
        <v>711</v>
      </c>
      <c r="N149" s="3" t="s">
        <v>725</v>
      </c>
      <c r="O149" s="3" t="s">
        <v>872</v>
      </c>
      <c r="P149" s="6">
        <v>683.42</v>
      </c>
      <c r="Q149" s="6">
        <v>951.51</v>
      </c>
      <c r="R149" s="6" t="str">
        <f t="shared" si="32"/>
        <v>Medium</v>
      </c>
      <c r="S149" s="6">
        <v>0</v>
      </c>
      <c r="T149" s="6">
        <v>14</v>
      </c>
      <c r="U149">
        <f t="shared" si="33"/>
        <v>13321.14</v>
      </c>
      <c r="V149">
        <f t="shared" si="38"/>
        <v>1104833.6397399995</v>
      </c>
      <c r="W149">
        <f t="shared" si="34"/>
        <v>9567.8799999999992</v>
      </c>
      <c r="X149" s="6">
        <f t="shared" si="35"/>
        <v>3753.26</v>
      </c>
      <c r="Y149">
        <f t="shared" si="36"/>
        <v>0.28175216235247136</v>
      </c>
      <c r="Z149">
        <v>202404</v>
      </c>
      <c r="AA149" s="18">
        <v>202301</v>
      </c>
      <c r="AB149" t="str">
        <v>Apr-2023</v>
      </c>
      <c r="AC149">
        <f t="shared" si="37"/>
        <v>15</v>
      </c>
      <c r="AD149" t="str">
        <f t="shared" si="39"/>
        <v>Late</v>
      </c>
      <c r="AE149">
        <f t="shared" si="40"/>
        <v>0</v>
      </c>
      <c r="AF149">
        <f t="shared" si="41"/>
        <v>0</v>
      </c>
    </row>
    <row r="150" spans="1:32" x14ac:dyDescent="0.25">
      <c r="A150" s="3" t="s">
        <v>155</v>
      </c>
      <c r="B150" s="4">
        <v>45183</v>
      </c>
      <c r="C150" s="4" t="str">
        <f t="shared" si="28"/>
        <v>Sept-2023</v>
      </c>
      <c r="D150" s="4" t="str">
        <f t="shared" si="29"/>
        <v>Q3</v>
      </c>
      <c r="E150" s="4">
        <v>45185</v>
      </c>
      <c r="F150" s="10">
        <f t="shared" si="30"/>
        <v>2</v>
      </c>
      <c r="G150" s="3" t="s">
        <v>641</v>
      </c>
      <c r="H150" s="3" t="s">
        <v>649</v>
      </c>
      <c r="I150" s="3" t="s">
        <v>671</v>
      </c>
      <c r="J150" t="str">
        <f t="shared" si="31"/>
        <v>Europe &gt; France &gt; Lyon</v>
      </c>
      <c r="K150" s="3" t="s">
        <v>695</v>
      </c>
      <c r="L150" s="3" t="s">
        <v>703</v>
      </c>
      <c r="M150" s="3" t="s">
        <v>709</v>
      </c>
      <c r="N150" s="3" t="s">
        <v>720</v>
      </c>
      <c r="O150" s="3" t="s">
        <v>873</v>
      </c>
      <c r="P150" s="6">
        <v>376.83</v>
      </c>
      <c r="Q150" s="6">
        <v>732.88</v>
      </c>
      <c r="R150" s="6" t="str">
        <f t="shared" si="32"/>
        <v>Low</v>
      </c>
      <c r="S150" s="6">
        <v>0.188</v>
      </c>
      <c r="T150" s="6">
        <v>25</v>
      </c>
      <c r="U150">
        <f t="shared" si="33"/>
        <v>14877.464000000002</v>
      </c>
      <c r="V150">
        <f t="shared" si="38"/>
        <v>1104833.6397399995</v>
      </c>
      <c r="W150">
        <f t="shared" si="34"/>
        <v>9420.75</v>
      </c>
      <c r="X150" s="6">
        <f t="shared" si="35"/>
        <v>5456.7140000000018</v>
      </c>
      <c r="Y150">
        <f t="shared" si="36"/>
        <v>0.36677716040852132</v>
      </c>
      <c r="Z150">
        <v>202309</v>
      </c>
      <c r="AA150" s="18">
        <v>202301</v>
      </c>
      <c r="AB150" t="str">
        <v>Sept-2023</v>
      </c>
      <c r="AC150">
        <f t="shared" si="37"/>
        <v>8</v>
      </c>
      <c r="AD150" t="str">
        <f t="shared" si="39"/>
        <v>On Time</v>
      </c>
      <c r="AE150">
        <f t="shared" si="40"/>
        <v>1</v>
      </c>
      <c r="AF150">
        <f t="shared" si="41"/>
        <v>0</v>
      </c>
    </row>
    <row r="151" spans="1:32" x14ac:dyDescent="0.25">
      <c r="A151" s="3" t="s">
        <v>156</v>
      </c>
      <c r="B151" s="4">
        <v>45558</v>
      </c>
      <c r="C151" s="4" t="str">
        <f t="shared" si="28"/>
        <v>Sept-2024</v>
      </c>
      <c r="D151" s="4" t="str">
        <f t="shared" si="29"/>
        <v>Q3</v>
      </c>
      <c r="E151" s="4">
        <v>45583</v>
      </c>
      <c r="F151" s="10">
        <f t="shared" si="30"/>
        <v>25</v>
      </c>
      <c r="G151" s="3" t="s">
        <v>640</v>
      </c>
      <c r="H151" s="3" t="s">
        <v>645</v>
      </c>
      <c r="I151" s="3" t="s">
        <v>680</v>
      </c>
      <c r="J151" t="str">
        <f t="shared" si="31"/>
        <v>Americas &gt; Canada &gt; Vancouver</v>
      </c>
      <c r="K151" s="3" t="s">
        <v>697</v>
      </c>
      <c r="L151" s="3" t="s">
        <v>700</v>
      </c>
      <c r="M151" s="3" t="s">
        <v>717</v>
      </c>
      <c r="N151" s="3" t="s">
        <v>722</v>
      </c>
      <c r="O151" s="3" t="s">
        <v>874</v>
      </c>
      <c r="P151" s="6">
        <v>1297</v>
      </c>
      <c r="Q151" s="6">
        <v>2411.52</v>
      </c>
      <c r="R151" s="6" t="str">
        <f t="shared" si="32"/>
        <v>High</v>
      </c>
      <c r="S151" s="6">
        <v>2.1000000000000001E-2</v>
      </c>
      <c r="T151" s="6">
        <v>18</v>
      </c>
      <c r="U151">
        <f t="shared" si="33"/>
        <v>42495.805439999996</v>
      </c>
      <c r="V151">
        <f t="shared" si="38"/>
        <v>1104833.6397399995</v>
      </c>
      <c r="W151">
        <f t="shared" si="34"/>
        <v>23346</v>
      </c>
      <c r="X151" s="6">
        <f t="shared" si="35"/>
        <v>19149.805439999996</v>
      </c>
      <c r="Y151">
        <f t="shared" si="36"/>
        <v>0.45062813239385913</v>
      </c>
      <c r="Z151">
        <v>202409</v>
      </c>
      <c r="AA151" s="18">
        <v>202301</v>
      </c>
      <c r="AB151" t="str">
        <v>Sept-2023</v>
      </c>
      <c r="AC151">
        <f t="shared" si="37"/>
        <v>20</v>
      </c>
      <c r="AD151" t="str">
        <f t="shared" si="39"/>
        <v>Late</v>
      </c>
      <c r="AE151">
        <f t="shared" si="40"/>
        <v>0</v>
      </c>
      <c r="AF151">
        <f t="shared" si="41"/>
        <v>0</v>
      </c>
    </row>
    <row r="152" spans="1:32" x14ac:dyDescent="0.25">
      <c r="A152" s="3" t="s">
        <v>157</v>
      </c>
      <c r="B152" s="4">
        <v>45763</v>
      </c>
      <c r="C152" s="4" t="str">
        <f t="shared" si="28"/>
        <v>Apr-2025</v>
      </c>
      <c r="D152" s="4" t="str">
        <f t="shared" si="29"/>
        <v>Q2</v>
      </c>
      <c r="E152" s="4">
        <v>45793</v>
      </c>
      <c r="F152" s="10">
        <f t="shared" si="30"/>
        <v>30</v>
      </c>
      <c r="G152" s="3" t="s">
        <v>640</v>
      </c>
      <c r="H152" s="3" t="s">
        <v>645</v>
      </c>
      <c r="I152" s="3" t="s">
        <v>673</v>
      </c>
      <c r="J152" t="str">
        <f t="shared" si="31"/>
        <v>Americas &gt; Canada &gt; Montreal</v>
      </c>
      <c r="K152" s="3" t="s">
        <v>698</v>
      </c>
      <c r="L152" s="3" t="s">
        <v>702</v>
      </c>
      <c r="M152" s="3" t="s">
        <v>715</v>
      </c>
      <c r="N152" s="3" t="s">
        <v>720</v>
      </c>
      <c r="O152" s="3" t="s">
        <v>875</v>
      </c>
      <c r="P152" s="6">
        <v>763.32</v>
      </c>
      <c r="Q152" s="6">
        <v>568.29</v>
      </c>
      <c r="R152" s="6" t="str">
        <f t="shared" si="32"/>
        <v>Medium</v>
      </c>
      <c r="S152" s="6">
        <v>0.13100000000000001</v>
      </c>
      <c r="T152" s="6">
        <v>16</v>
      </c>
      <c r="U152">
        <f t="shared" si="33"/>
        <v>7901.5041599999995</v>
      </c>
      <c r="V152">
        <f t="shared" si="38"/>
        <v>1104833.6397399995</v>
      </c>
      <c r="W152">
        <f t="shared" si="34"/>
        <v>12213.12</v>
      </c>
      <c r="X152" s="6">
        <f t="shared" si="35"/>
        <v>-4311.6158400000013</v>
      </c>
      <c r="Y152">
        <f t="shared" si="36"/>
        <v>-0.54567026134426555</v>
      </c>
      <c r="Z152">
        <v>202504</v>
      </c>
      <c r="AA152" s="18">
        <v>202301</v>
      </c>
      <c r="AB152" t="str">
        <v>Apr-2023</v>
      </c>
      <c r="AC152">
        <f t="shared" si="37"/>
        <v>27</v>
      </c>
      <c r="AD152" t="str">
        <f t="shared" si="39"/>
        <v>Late</v>
      </c>
      <c r="AE152">
        <f t="shared" si="40"/>
        <v>0</v>
      </c>
      <c r="AF152">
        <f t="shared" si="41"/>
        <v>0</v>
      </c>
    </row>
    <row r="153" spans="1:32" x14ac:dyDescent="0.25">
      <c r="A153" s="3" t="s">
        <v>158</v>
      </c>
      <c r="B153" s="4">
        <v>45110</v>
      </c>
      <c r="C153" s="4" t="str">
        <f t="shared" si="28"/>
        <v>Jul-2023</v>
      </c>
      <c r="D153" s="4" t="str">
        <f t="shared" si="29"/>
        <v>Q3</v>
      </c>
      <c r="E153" s="4">
        <v>45130</v>
      </c>
      <c r="F153" s="10">
        <f t="shared" si="30"/>
        <v>20</v>
      </c>
      <c r="G153" s="3" t="s">
        <v>638</v>
      </c>
      <c r="H153" s="3" t="s">
        <v>653</v>
      </c>
      <c r="I153" s="3" t="s">
        <v>674</v>
      </c>
      <c r="J153" t="str">
        <f t="shared" si="31"/>
        <v>Africa &gt; South Africa &gt; Johannesburg</v>
      </c>
      <c r="K153" s="3" t="s">
        <v>697</v>
      </c>
      <c r="L153" s="3" t="s">
        <v>702</v>
      </c>
      <c r="M153" s="3" t="s">
        <v>713</v>
      </c>
      <c r="N153" s="3" t="s">
        <v>723</v>
      </c>
      <c r="O153" s="3" t="s">
        <v>876</v>
      </c>
      <c r="P153" s="6">
        <v>1001.96</v>
      </c>
      <c r="Q153" s="6">
        <v>1254.95</v>
      </c>
      <c r="R153" s="6" t="str">
        <f t="shared" si="32"/>
        <v>High</v>
      </c>
      <c r="S153" s="6">
        <v>4.4999999999999998E-2</v>
      </c>
      <c r="T153" s="6">
        <v>18</v>
      </c>
      <c r="U153">
        <f t="shared" si="33"/>
        <v>21572.590500000002</v>
      </c>
      <c r="V153">
        <f t="shared" si="38"/>
        <v>1104833.6397399995</v>
      </c>
      <c r="W153">
        <f t="shared" si="34"/>
        <v>18035.28</v>
      </c>
      <c r="X153" s="6">
        <f t="shared" si="35"/>
        <v>3537.3105000000032</v>
      </c>
      <c r="Y153">
        <f t="shared" si="36"/>
        <v>0.16397244920585699</v>
      </c>
      <c r="Z153">
        <v>202307</v>
      </c>
      <c r="AA153" s="18">
        <v>202301</v>
      </c>
      <c r="AB153" t="str">
        <v>Jul-2023</v>
      </c>
      <c r="AC153">
        <f t="shared" si="37"/>
        <v>6</v>
      </c>
      <c r="AD153" t="str">
        <f t="shared" si="39"/>
        <v>Late</v>
      </c>
      <c r="AE153">
        <f t="shared" si="40"/>
        <v>0</v>
      </c>
      <c r="AF153">
        <f t="shared" si="41"/>
        <v>0</v>
      </c>
    </row>
    <row r="154" spans="1:32" x14ac:dyDescent="0.25">
      <c r="A154" s="3" t="s">
        <v>159</v>
      </c>
      <c r="B154" s="4">
        <v>45267</v>
      </c>
      <c r="C154" s="4" t="str">
        <f t="shared" si="28"/>
        <v>Dec-2023</v>
      </c>
      <c r="D154" s="4" t="str">
        <f t="shared" si="29"/>
        <v>Q4</v>
      </c>
      <c r="E154" s="4">
        <v>45269</v>
      </c>
      <c r="F154" s="10">
        <f t="shared" si="30"/>
        <v>2</v>
      </c>
      <c r="G154" s="3" t="s">
        <v>639</v>
      </c>
      <c r="H154" s="3" t="s">
        <v>644</v>
      </c>
      <c r="I154" s="3" t="s">
        <v>681</v>
      </c>
      <c r="J154" t="str">
        <f t="shared" si="31"/>
        <v>Asia &gt; Japan &gt; Tokyo</v>
      </c>
      <c r="K154" s="3" t="s">
        <v>695</v>
      </c>
      <c r="L154" s="3" t="s">
        <v>701</v>
      </c>
      <c r="M154" s="3" t="s">
        <v>714</v>
      </c>
      <c r="N154" s="3" t="s">
        <v>720</v>
      </c>
      <c r="O154" s="3" t="s">
        <v>877</v>
      </c>
      <c r="P154" s="6">
        <v>1097.5899999999999</v>
      </c>
      <c r="Q154" s="6">
        <v>845.55</v>
      </c>
      <c r="R154" s="6" t="str">
        <f t="shared" si="32"/>
        <v>High</v>
      </c>
      <c r="S154" s="6">
        <v>0.184</v>
      </c>
      <c r="T154" s="6">
        <v>6</v>
      </c>
      <c r="U154">
        <f t="shared" si="33"/>
        <v>4139.8127999999997</v>
      </c>
      <c r="V154">
        <f t="shared" si="38"/>
        <v>1104833.6397399995</v>
      </c>
      <c r="W154">
        <f t="shared" si="34"/>
        <v>6585.5399999999991</v>
      </c>
      <c r="X154" s="6">
        <f t="shared" si="35"/>
        <v>-2445.7271999999994</v>
      </c>
      <c r="Y154">
        <f t="shared" si="36"/>
        <v>-0.59078207594314402</v>
      </c>
      <c r="Z154">
        <v>202312</v>
      </c>
      <c r="AA154" s="18">
        <v>202303</v>
      </c>
      <c r="AB154" t="str">
        <v>Dec-2023</v>
      </c>
      <c r="AC154">
        <f t="shared" si="37"/>
        <v>9</v>
      </c>
      <c r="AD154" t="str">
        <f t="shared" si="39"/>
        <v>On Time</v>
      </c>
      <c r="AE154">
        <f t="shared" si="40"/>
        <v>1</v>
      </c>
      <c r="AF154">
        <f t="shared" si="41"/>
        <v>0</v>
      </c>
    </row>
    <row r="155" spans="1:32" x14ac:dyDescent="0.25">
      <c r="A155" s="3" t="s">
        <v>160</v>
      </c>
      <c r="B155" s="4">
        <v>45340</v>
      </c>
      <c r="C155" s="4" t="str">
        <f t="shared" si="28"/>
        <v>Feb-2024</v>
      </c>
      <c r="D155" s="4" t="str">
        <f t="shared" si="29"/>
        <v>Q1</v>
      </c>
      <c r="E155" s="4">
        <v>45355</v>
      </c>
      <c r="F155" s="10">
        <f t="shared" si="30"/>
        <v>15</v>
      </c>
      <c r="G155" s="3" t="s">
        <v>638</v>
      </c>
      <c r="H155" s="3" t="s">
        <v>642</v>
      </c>
      <c r="I155" s="3" t="s">
        <v>654</v>
      </c>
      <c r="J155" t="str">
        <f t="shared" si="31"/>
        <v>Africa &gt; Kenya &gt; Kisumu</v>
      </c>
      <c r="K155" s="3" t="s">
        <v>694</v>
      </c>
      <c r="L155" s="3" t="s">
        <v>703</v>
      </c>
      <c r="M155" s="3" t="s">
        <v>715</v>
      </c>
      <c r="N155" s="3" t="s">
        <v>720</v>
      </c>
      <c r="O155" s="3" t="s">
        <v>878</v>
      </c>
      <c r="P155" s="6">
        <v>928.68</v>
      </c>
      <c r="Q155" s="6">
        <v>2145.17</v>
      </c>
      <c r="R155" s="6" t="str">
        <f t="shared" si="32"/>
        <v>Medium</v>
      </c>
      <c r="S155" s="6">
        <v>0.13600000000000001</v>
      </c>
      <c r="T155" s="6">
        <v>16</v>
      </c>
      <c r="U155">
        <f t="shared" si="33"/>
        <v>29654.83008</v>
      </c>
      <c r="V155">
        <f t="shared" si="38"/>
        <v>1104833.6397399995</v>
      </c>
      <c r="W155">
        <f t="shared" si="34"/>
        <v>14858.88</v>
      </c>
      <c r="X155" s="6">
        <f t="shared" si="35"/>
        <v>14795.950080000001</v>
      </c>
      <c r="Y155">
        <f t="shared" si="36"/>
        <v>0.49893896003062177</v>
      </c>
      <c r="Z155">
        <v>202402</v>
      </c>
      <c r="AA155" s="18">
        <v>202301</v>
      </c>
      <c r="AB155" t="str">
        <v>Feb-2023</v>
      </c>
      <c r="AC155">
        <f t="shared" si="37"/>
        <v>13</v>
      </c>
      <c r="AD155" t="str">
        <f t="shared" si="39"/>
        <v>Late</v>
      </c>
      <c r="AE155">
        <f t="shared" si="40"/>
        <v>0</v>
      </c>
      <c r="AF155">
        <f t="shared" si="41"/>
        <v>0</v>
      </c>
    </row>
    <row r="156" spans="1:32" x14ac:dyDescent="0.25">
      <c r="A156" s="3" t="s">
        <v>161</v>
      </c>
      <c r="B156" s="4">
        <v>45230</v>
      </c>
      <c r="C156" s="4" t="str">
        <f t="shared" si="28"/>
        <v>Oct-2023</v>
      </c>
      <c r="D156" s="4" t="str">
        <f t="shared" si="29"/>
        <v>Q4</v>
      </c>
      <c r="E156" s="4">
        <v>45232</v>
      </c>
      <c r="F156" s="10">
        <f t="shared" si="30"/>
        <v>2</v>
      </c>
      <c r="G156" s="3" t="s">
        <v>638</v>
      </c>
      <c r="H156" s="3" t="s">
        <v>642</v>
      </c>
      <c r="I156" s="3" t="s">
        <v>654</v>
      </c>
      <c r="J156" t="str">
        <f t="shared" si="31"/>
        <v>Africa &gt; Kenya &gt; Kisumu</v>
      </c>
      <c r="K156" s="3" t="s">
        <v>694</v>
      </c>
      <c r="L156" s="3" t="s">
        <v>699</v>
      </c>
      <c r="M156" s="3" t="s">
        <v>711</v>
      </c>
      <c r="N156" s="3" t="s">
        <v>725</v>
      </c>
      <c r="O156" s="3" t="s">
        <v>879</v>
      </c>
      <c r="P156" s="6">
        <v>867.89</v>
      </c>
      <c r="Q156" s="6">
        <v>1349.94</v>
      </c>
      <c r="R156" s="6" t="str">
        <f t="shared" si="32"/>
        <v>Medium</v>
      </c>
      <c r="S156" s="6">
        <v>0.184</v>
      </c>
      <c r="T156" s="6">
        <v>10</v>
      </c>
      <c r="U156">
        <f t="shared" si="33"/>
        <v>11015.510400000003</v>
      </c>
      <c r="V156">
        <f t="shared" si="38"/>
        <v>1104833.6397399995</v>
      </c>
      <c r="W156">
        <f t="shared" si="34"/>
        <v>8678.9</v>
      </c>
      <c r="X156" s="6">
        <f t="shared" si="35"/>
        <v>2336.6104000000032</v>
      </c>
      <c r="Y156">
        <f t="shared" si="36"/>
        <v>0.21212003031652557</v>
      </c>
      <c r="Z156">
        <v>202310</v>
      </c>
      <c r="AA156" s="18">
        <v>202301</v>
      </c>
      <c r="AB156" t="str">
        <v>Oct-2023</v>
      </c>
      <c r="AC156">
        <f t="shared" si="37"/>
        <v>9</v>
      </c>
      <c r="AD156" t="str">
        <f t="shared" si="39"/>
        <v>On Time</v>
      </c>
      <c r="AE156">
        <f t="shared" si="40"/>
        <v>1</v>
      </c>
      <c r="AF156">
        <f t="shared" si="41"/>
        <v>0</v>
      </c>
    </row>
    <row r="157" spans="1:32" x14ac:dyDescent="0.25">
      <c r="A157" s="3" t="s">
        <v>162</v>
      </c>
      <c r="B157" s="4">
        <v>45511</v>
      </c>
      <c r="C157" s="4" t="str">
        <f t="shared" si="28"/>
        <v>Aug-2024</v>
      </c>
      <c r="D157" s="4" t="str">
        <f t="shared" si="29"/>
        <v>Q3</v>
      </c>
      <c r="E157" s="4">
        <v>45521</v>
      </c>
      <c r="F157" s="10">
        <f t="shared" si="30"/>
        <v>10</v>
      </c>
      <c r="G157" s="3" t="s">
        <v>639</v>
      </c>
      <c r="H157" s="3" t="s">
        <v>644</v>
      </c>
      <c r="I157" s="3" t="s">
        <v>658</v>
      </c>
      <c r="J157" t="str">
        <f t="shared" si="31"/>
        <v>Asia &gt; Japan &gt; Osaka</v>
      </c>
      <c r="K157" s="3" t="s">
        <v>696</v>
      </c>
      <c r="L157" s="3" t="s">
        <v>700</v>
      </c>
      <c r="M157" s="3" t="s">
        <v>715</v>
      </c>
      <c r="N157" s="3" t="s">
        <v>721</v>
      </c>
      <c r="O157" s="3" t="s">
        <v>880</v>
      </c>
      <c r="P157" s="6">
        <v>436.58</v>
      </c>
      <c r="Q157" s="6">
        <v>527.48</v>
      </c>
      <c r="R157" s="6" t="str">
        <f t="shared" si="32"/>
        <v>Low</v>
      </c>
      <c r="S157" s="6">
        <v>0.111</v>
      </c>
      <c r="T157" s="6">
        <v>19</v>
      </c>
      <c r="U157">
        <f t="shared" si="33"/>
        <v>8909.6646800000017</v>
      </c>
      <c r="V157">
        <f t="shared" si="38"/>
        <v>1104833.6397399995</v>
      </c>
      <c r="W157">
        <f t="shared" si="34"/>
        <v>8295.02</v>
      </c>
      <c r="X157" s="6">
        <f t="shared" si="35"/>
        <v>614.64468000000124</v>
      </c>
      <c r="Y157">
        <f t="shared" si="36"/>
        <v>6.8986286473802644E-2</v>
      </c>
      <c r="Z157">
        <v>202408</v>
      </c>
      <c r="AA157" s="18">
        <v>202303</v>
      </c>
      <c r="AB157" t="str">
        <v>Aug-2023</v>
      </c>
      <c r="AC157">
        <f t="shared" si="37"/>
        <v>17</v>
      </c>
      <c r="AD157" t="str">
        <f t="shared" si="39"/>
        <v>Late</v>
      </c>
      <c r="AE157">
        <f t="shared" si="40"/>
        <v>0</v>
      </c>
      <c r="AF157">
        <f t="shared" si="41"/>
        <v>0</v>
      </c>
    </row>
    <row r="158" spans="1:32" x14ac:dyDescent="0.25">
      <c r="A158" s="3" t="s">
        <v>163</v>
      </c>
      <c r="B158" s="4">
        <v>45323</v>
      </c>
      <c r="C158" s="4" t="str">
        <f t="shared" si="28"/>
        <v>Feb-2024</v>
      </c>
      <c r="D158" s="4" t="str">
        <f t="shared" si="29"/>
        <v>Q1</v>
      </c>
      <c r="E158" s="4">
        <v>45343</v>
      </c>
      <c r="F158" s="10">
        <f t="shared" si="30"/>
        <v>20</v>
      </c>
      <c r="G158" s="3" t="s">
        <v>641</v>
      </c>
      <c r="H158" s="3" t="s">
        <v>649</v>
      </c>
      <c r="I158" s="3" t="s">
        <v>682</v>
      </c>
      <c r="J158" t="str">
        <f t="shared" si="31"/>
        <v>Europe &gt; France &gt; Paris</v>
      </c>
      <c r="K158" s="3" t="s">
        <v>697</v>
      </c>
      <c r="L158" s="3" t="s">
        <v>701</v>
      </c>
      <c r="M158" s="3" t="s">
        <v>712</v>
      </c>
      <c r="N158" s="3" t="s">
        <v>721</v>
      </c>
      <c r="O158" s="3" t="s">
        <v>881</v>
      </c>
      <c r="P158" s="6">
        <v>656.2</v>
      </c>
      <c r="Q158" s="6">
        <v>1467.17</v>
      </c>
      <c r="R158" s="6" t="str">
        <f t="shared" si="32"/>
        <v>Medium</v>
      </c>
      <c r="S158" s="6">
        <v>1.7999999999999999E-2</v>
      </c>
      <c r="T158" s="6">
        <v>5</v>
      </c>
      <c r="U158">
        <f t="shared" si="33"/>
        <v>7203.8047000000006</v>
      </c>
      <c r="V158">
        <f t="shared" si="38"/>
        <v>1104833.6397399995</v>
      </c>
      <c r="W158">
        <f t="shared" si="34"/>
        <v>3281</v>
      </c>
      <c r="X158" s="6">
        <f t="shared" si="35"/>
        <v>3922.8047000000006</v>
      </c>
      <c r="Y158">
        <f t="shared" si="36"/>
        <v>0.54454623124360946</v>
      </c>
      <c r="Z158">
        <v>202402</v>
      </c>
      <c r="AA158" s="18">
        <v>202301</v>
      </c>
      <c r="AB158" t="str">
        <v>Feb-2023</v>
      </c>
      <c r="AC158">
        <f t="shared" si="37"/>
        <v>13</v>
      </c>
      <c r="AD158" t="str">
        <f t="shared" si="39"/>
        <v>Late</v>
      </c>
      <c r="AE158">
        <f t="shared" si="40"/>
        <v>0</v>
      </c>
      <c r="AF158">
        <f t="shared" si="41"/>
        <v>0</v>
      </c>
    </row>
    <row r="159" spans="1:32" x14ac:dyDescent="0.25">
      <c r="A159" s="3" t="s">
        <v>164</v>
      </c>
      <c r="B159" s="4">
        <v>45531</v>
      </c>
      <c r="C159" s="4" t="str">
        <f t="shared" si="28"/>
        <v>Aug-2024</v>
      </c>
      <c r="D159" s="4" t="str">
        <f t="shared" si="29"/>
        <v>Q3</v>
      </c>
      <c r="E159" s="4">
        <v>45553</v>
      </c>
      <c r="F159" s="10">
        <f t="shared" si="30"/>
        <v>22</v>
      </c>
      <c r="G159" s="3" t="s">
        <v>639</v>
      </c>
      <c r="H159" s="3" t="s">
        <v>646</v>
      </c>
      <c r="I159" s="3" t="s">
        <v>672</v>
      </c>
      <c r="J159" t="str">
        <f t="shared" si="31"/>
        <v>Asia &gt; India &gt; Delhi</v>
      </c>
      <c r="K159" s="3" t="s">
        <v>696</v>
      </c>
      <c r="L159" s="3" t="s">
        <v>703</v>
      </c>
      <c r="M159" s="3" t="s">
        <v>709</v>
      </c>
      <c r="N159" s="3" t="s">
        <v>719</v>
      </c>
      <c r="O159" s="3" t="s">
        <v>882</v>
      </c>
      <c r="P159" s="6">
        <v>896.75</v>
      </c>
      <c r="Q159" s="6">
        <v>1651.14</v>
      </c>
      <c r="R159" s="6" t="str">
        <f t="shared" si="32"/>
        <v>Medium</v>
      </c>
      <c r="S159" s="6">
        <v>2.5000000000000001E-2</v>
      </c>
      <c r="T159" s="6">
        <v>15</v>
      </c>
      <c r="U159">
        <f t="shared" si="33"/>
        <v>24147.922500000001</v>
      </c>
      <c r="V159">
        <f t="shared" si="38"/>
        <v>1104833.6397399995</v>
      </c>
      <c r="W159">
        <f t="shared" si="34"/>
        <v>13451.25</v>
      </c>
      <c r="X159" s="6">
        <f t="shared" si="35"/>
        <v>10696.672500000001</v>
      </c>
      <c r="Y159">
        <f t="shared" si="36"/>
        <v>0.44296450346815552</v>
      </c>
      <c r="Z159">
        <v>202408</v>
      </c>
      <c r="AA159" s="18">
        <v>202301</v>
      </c>
      <c r="AB159" t="str">
        <v>Aug-2023</v>
      </c>
      <c r="AC159">
        <f t="shared" si="37"/>
        <v>19</v>
      </c>
      <c r="AD159" t="str">
        <f t="shared" si="39"/>
        <v>Late</v>
      </c>
      <c r="AE159">
        <f t="shared" si="40"/>
        <v>0</v>
      </c>
      <c r="AF159">
        <f t="shared" si="41"/>
        <v>0</v>
      </c>
    </row>
    <row r="160" spans="1:32" x14ac:dyDescent="0.25">
      <c r="A160" s="3" t="s">
        <v>165</v>
      </c>
      <c r="B160" s="4">
        <v>45703</v>
      </c>
      <c r="C160" s="4" t="str">
        <f t="shared" si="28"/>
        <v>Feb-2025</v>
      </c>
      <c r="D160" s="4" t="str">
        <f t="shared" si="29"/>
        <v>Q1</v>
      </c>
      <c r="E160" s="4">
        <v>45703</v>
      </c>
      <c r="F160" s="10">
        <f t="shared" si="30"/>
        <v>0</v>
      </c>
      <c r="G160" s="3" t="s">
        <v>641</v>
      </c>
      <c r="H160" s="3" t="s">
        <v>648</v>
      </c>
      <c r="I160" s="3" t="s">
        <v>690</v>
      </c>
      <c r="J160" t="str">
        <f t="shared" si="31"/>
        <v>Europe &gt; Germany &gt; Frankfurt</v>
      </c>
      <c r="K160" s="3" t="s">
        <v>697</v>
      </c>
      <c r="L160" s="3" t="s">
        <v>701</v>
      </c>
      <c r="M160" s="3" t="s">
        <v>708</v>
      </c>
      <c r="N160" s="3" t="s">
        <v>725</v>
      </c>
      <c r="O160" s="3" t="s">
        <v>883</v>
      </c>
      <c r="P160" s="6">
        <v>815.83</v>
      </c>
      <c r="Q160" s="6">
        <v>1982.18</v>
      </c>
      <c r="R160" s="6" t="str">
        <f t="shared" si="32"/>
        <v>Medium</v>
      </c>
      <c r="S160" s="6">
        <v>0.127</v>
      </c>
      <c r="T160" s="6">
        <v>6</v>
      </c>
      <c r="U160">
        <f t="shared" si="33"/>
        <v>10382.65884</v>
      </c>
      <c r="V160">
        <f t="shared" si="38"/>
        <v>1080685.7172399994</v>
      </c>
      <c r="W160">
        <f t="shared" si="34"/>
        <v>4894.9800000000005</v>
      </c>
      <c r="X160" s="6">
        <f t="shared" si="35"/>
        <v>5487.6788399999996</v>
      </c>
      <c r="Y160">
        <f t="shared" si="36"/>
        <v>0.52854272923408507</v>
      </c>
      <c r="Z160">
        <v>202502</v>
      </c>
      <c r="AA160" s="18">
        <v>202301</v>
      </c>
      <c r="AB160" t="str">
        <v>Feb-2023</v>
      </c>
      <c r="AC160">
        <f t="shared" si="37"/>
        <v>25</v>
      </c>
      <c r="AD160" t="str">
        <f t="shared" si="39"/>
        <v>On Time</v>
      </c>
      <c r="AE160">
        <f t="shared" si="40"/>
        <v>1</v>
      </c>
      <c r="AF160">
        <f t="shared" si="41"/>
        <v>0</v>
      </c>
    </row>
    <row r="161" spans="1:32" x14ac:dyDescent="0.25">
      <c r="A161" s="3" t="s">
        <v>166</v>
      </c>
      <c r="B161" s="4">
        <v>45870</v>
      </c>
      <c r="C161" s="4" t="str">
        <f t="shared" si="28"/>
        <v>Aug-2025</v>
      </c>
      <c r="D161" s="4" t="str">
        <f t="shared" si="29"/>
        <v>Q3</v>
      </c>
      <c r="E161" s="4">
        <v>45890</v>
      </c>
      <c r="F161" s="10">
        <f t="shared" si="30"/>
        <v>20</v>
      </c>
      <c r="G161" s="3" t="s">
        <v>639</v>
      </c>
      <c r="H161" s="3" t="s">
        <v>651</v>
      </c>
      <c r="I161" s="3" t="s">
        <v>677</v>
      </c>
      <c r="J161" t="str">
        <f t="shared" si="31"/>
        <v>Asia &gt; China &gt; Shanghai</v>
      </c>
      <c r="K161" s="3" t="s">
        <v>693</v>
      </c>
      <c r="L161" s="3" t="s">
        <v>703</v>
      </c>
      <c r="M161" s="3" t="s">
        <v>706</v>
      </c>
      <c r="N161" s="3" t="s">
        <v>722</v>
      </c>
      <c r="O161" s="3" t="s">
        <v>884</v>
      </c>
      <c r="P161" s="6">
        <v>1220.4100000000001</v>
      </c>
      <c r="Q161" s="6">
        <v>2552.2199999999998</v>
      </c>
      <c r="R161" s="6" t="str">
        <f t="shared" si="32"/>
        <v>High</v>
      </c>
      <c r="S161" s="6">
        <v>0.18099999999999999</v>
      </c>
      <c r="T161" s="6">
        <v>14</v>
      </c>
      <c r="U161">
        <f t="shared" si="33"/>
        <v>29263.754519999995</v>
      </c>
      <c r="V161">
        <f t="shared" si="38"/>
        <v>1080685.7172399994</v>
      </c>
      <c r="W161">
        <f t="shared" si="34"/>
        <v>17085.740000000002</v>
      </c>
      <c r="X161" s="6">
        <f t="shared" si="35"/>
        <v>12178.014519999993</v>
      </c>
      <c r="Y161">
        <f t="shared" si="36"/>
        <v>0.41614668793360271</v>
      </c>
      <c r="Z161">
        <v>202508</v>
      </c>
      <c r="AA161" s="18">
        <v>202301</v>
      </c>
      <c r="AB161" t="str">
        <v>Aug-2023</v>
      </c>
      <c r="AC161">
        <f t="shared" si="37"/>
        <v>31</v>
      </c>
      <c r="AD161" t="str">
        <f t="shared" si="39"/>
        <v>Late</v>
      </c>
      <c r="AE161">
        <f t="shared" si="40"/>
        <v>0</v>
      </c>
      <c r="AF161">
        <f t="shared" si="41"/>
        <v>0</v>
      </c>
    </row>
    <row r="162" spans="1:32" x14ac:dyDescent="0.25">
      <c r="A162" s="3" t="s">
        <v>167</v>
      </c>
      <c r="B162" s="4">
        <v>44977</v>
      </c>
      <c r="C162" s="4" t="str">
        <f t="shared" si="28"/>
        <v>Feb-2023</v>
      </c>
      <c r="D162" s="4" t="str">
        <f t="shared" si="29"/>
        <v>Q1</v>
      </c>
      <c r="E162" s="4">
        <v>44989</v>
      </c>
      <c r="F162" s="10">
        <f t="shared" si="30"/>
        <v>12</v>
      </c>
      <c r="G162" s="3" t="s">
        <v>639</v>
      </c>
      <c r="H162" s="3" t="s">
        <v>646</v>
      </c>
      <c r="I162" s="3" t="s">
        <v>672</v>
      </c>
      <c r="J162" t="str">
        <f t="shared" si="31"/>
        <v>Asia &gt; India &gt; Delhi</v>
      </c>
      <c r="K162" s="3" t="s">
        <v>696</v>
      </c>
      <c r="L162" s="3" t="s">
        <v>702</v>
      </c>
      <c r="M162" s="3" t="s">
        <v>716</v>
      </c>
      <c r="N162" s="3" t="s">
        <v>724</v>
      </c>
      <c r="O162" s="3" t="s">
        <v>885</v>
      </c>
      <c r="P162" s="6">
        <v>299.75</v>
      </c>
      <c r="Q162" s="6">
        <v>523.01</v>
      </c>
      <c r="R162" s="6" t="str">
        <f t="shared" si="32"/>
        <v>Low</v>
      </c>
      <c r="S162" s="6">
        <v>0.157</v>
      </c>
      <c r="T162" s="6">
        <v>50</v>
      </c>
      <c r="U162">
        <f t="shared" si="33"/>
        <v>22044.871499999997</v>
      </c>
      <c r="V162">
        <f t="shared" si="38"/>
        <v>1080685.7172399994</v>
      </c>
      <c r="W162">
        <f t="shared" si="34"/>
        <v>14987.5</v>
      </c>
      <c r="X162" s="6">
        <f t="shared" si="35"/>
        <v>7057.3714999999975</v>
      </c>
      <c r="Y162">
        <f t="shared" si="36"/>
        <v>0.32013665854210122</v>
      </c>
      <c r="Z162">
        <v>202302</v>
      </c>
      <c r="AA162" s="18">
        <v>202301</v>
      </c>
      <c r="AB162" t="str">
        <v>Feb-2023</v>
      </c>
      <c r="AC162">
        <f t="shared" si="37"/>
        <v>1</v>
      </c>
      <c r="AD162" t="str">
        <f t="shared" si="39"/>
        <v>Late</v>
      </c>
      <c r="AE162">
        <f t="shared" si="40"/>
        <v>0</v>
      </c>
      <c r="AF162">
        <f t="shared" si="41"/>
        <v>0</v>
      </c>
    </row>
    <row r="163" spans="1:32" x14ac:dyDescent="0.25">
      <c r="A163" s="3" t="s">
        <v>168</v>
      </c>
      <c r="B163" s="4">
        <v>45595</v>
      </c>
      <c r="C163" s="4" t="str">
        <f t="shared" si="28"/>
        <v>Oct-2024</v>
      </c>
      <c r="D163" s="4" t="str">
        <f t="shared" si="29"/>
        <v>Q4</v>
      </c>
      <c r="E163" s="4">
        <v>45620</v>
      </c>
      <c r="F163" s="10">
        <f t="shared" si="30"/>
        <v>25</v>
      </c>
      <c r="G163" s="3" t="s">
        <v>639</v>
      </c>
      <c r="H163" s="3" t="s">
        <v>651</v>
      </c>
      <c r="I163" s="3" t="s">
        <v>668</v>
      </c>
      <c r="J163" t="str">
        <f t="shared" si="31"/>
        <v>Asia &gt; China &gt; Shenzhen</v>
      </c>
      <c r="K163" s="3" t="s">
        <v>697</v>
      </c>
      <c r="L163" s="3" t="s">
        <v>700</v>
      </c>
      <c r="M163" s="3" t="s">
        <v>710</v>
      </c>
      <c r="N163" s="3" t="s">
        <v>719</v>
      </c>
      <c r="O163" s="3" t="s">
        <v>886</v>
      </c>
      <c r="P163" s="6">
        <v>811.05</v>
      </c>
      <c r="Q163" s="6">
        <v>1217.71</v>
      </c>
      <c r="R163" s="6" t="str">
        <f t="shared" si="32"/>
        <v>Medium</v>
      </c>
      <c r="S163" s="6">
        <v>7.1999999999999995E-2</v>
      </c>
      <c r="T163" s="6">
        <v>5</v>
      </c>
      <c r="U163">
        <f t="shared" si="33"/>
        <v>5650.1744000000008</v>
      </c>
      <c r="V163">
        <f t="shared" si="38"/>
        <v>1080685.7172399994</v>
      </c>
      <c r="W163">
        <f t="shared" si="34"/>
        <v>4055.25</v>
      </c>
      <c r="X163" s="6">
        <f t="shared" si="35"/>
        <v>1594.9244000000008</v>
      </c>
      <c r="Y163">
        <f t="shared" si="36"/>
        <v>0.28227879125288602</v>
      </c>
      <c r="Z163">
        <v>202410</v>
      </c>
      <c r="AA163" s="18">
        <v>202301</v>
      </c>
      <c r="AB163" t="str">
        <v>Oct-2023</v>
      </c>
      <c r="AC163">
        <f t="shared" si="37"/>
        <v>21</v>
      </c>
      <c r="AD163" t="str">
        <f t="shared" si="39"/>
        <v>Late</v>
      </c>
      <c r="AE163">
        <f t="shared" si="40"/>
        <v>0</v>
      </c>
      <c r="AF163">
        <f t="shared" si="41"/>
        <v>0</v>
      </c>
    </row>
    <row r="164" spans="1:32" x14ac:dyDescent="0.25">
      <c r="A164" s="3" t="s">
        <v>169</v>
      </c>
      <c r="B164" s="4">
        <v>45385</v>
      </c>
      <c r="C164" s="4" t="str">
        <f t="shared" si="28"/>
        <v>Apr-2024</v>
      </c>
      <c r="D164" s="4" t="str">
        <f t="shared" si="29"/>
        <v>Q2</v>
      </c>
      <c r="E164" s="4">
        <v>45389</v>
      </c>
      <c r="F164" s="10">
        <f t="shared" si="30"/>
        <v>4</v>
      </c>
      <c r="G164" s="3" t="s">
        <v>640</v>
      </c>
      <c r="H164" s="3" t="s">
        <v>647</v>
      </c>
      <c r="I164" s="3" t="s">
        <v>664</v>
      </c>
      <c r="J164" t="str">
        <f t="shared" si="31"/>
        <v>Americas &gt; Brazil &gt; Brasília</v>
      </c>
      <c r="K164" s="3" t="s">
        <v>695</v>
      </c>
      <c r="L164" s="3" t="s">
        <v>703</v>
      </c>
      <c r="M164" s="3" t="s">
        <v>717</v>
      </c>
      <c r="N164" s="3" t="s">
        <v>722</v>
      </c>
      <c r="O164" s="3" t="s">
        <v>887</v>
      </c>
      <c r="P164" s="6">
        <v>1023.27</v>
      </c>
      <c r="Q164" s="6">
        <v>1343.64</v>
      </c>
      <c r="R164" s="6" t="str">
        <f t="shared" si="32"/>
        <v>High</v>
      </c>
      <c r="S164" s="6">
        <v>0.13300000000000001</v>
      </c>
      <c r="T164" s="6">
        <v>7</v>
      </c>
      <c r="U164">
        <f t="shared" si="33"/>
        <v>8154.5511600000009</v>
      </c>
      <c r="V164">
        <f t="shared" si="38"/>
        <v>1075035.5428399993</v>
      </c>
      <c r="W164">
        <f t="shared" si="34"/>
        <v>7162.8899999999994</v>
      </c>
      <c r="X164" s="6">
        <f t="shared" si="35"/>
        <v>991.66116000000147</v>
      </c>
      <c r="Y164">
        <f t="shared" si="36"/>
        <v>0.12160830688810116</v>
      </c>
      <c r="Z164">
        <v>202404</v>
      </c>
      <c r="AA164" s="18">
        <v>202301</v>
      </c>
      <c r="AB164" t="str">
        <v>Apr-2023</v>
      </c>
      <c r="AC164">
        <f t="shared" si="37"/>
        <v>15</v>
      </c>
      <c r="AD164" t="str">
        <f t="shared" si="39"/>
        <v>On Time</v>
      </c>
      <c r="AE164">
        <f t="shared" si="40"/>
        <v>1</v>
      </c>
      <c r="AF164">
        <f t="shared" si="41"/>
        <v>0</v>
      </c>
    </row>
    <row r="165" spans="1:32" x14ac:dyDescent="0.25">
      <c r="A165" s="3" t="s">
        <v>170</v>
      </c>
      <c r="B165" s="4">
        <v>45010</v>
      </c>
      <c r="C165" s="4" t="str">
        <f t="shared" si="28"/>
        <v>Mar-2023</v>
      </c>
      <c r="D165" s="4" t="str">
        <f t="shared" si="29"/>
        <v>Q1</v>
      </c>
      <c r="E165" s="4">
        <v>45011</v>
      </c>
      <c r="F165" s="10">
        <f t="shared" si="30"/>
        <v>1</v>
      </c>
      <c r="G165" s="3" t="s">
        <v>639</v>
      </c>
      <c r="H165" s="3" t="s">
        <v>644</v>
      </c>
      <c r="I165" s="3" t="s">
        <v>658</v>
      </c>
      <c r="J165" t="str">
        <f t="shared" si="31"/>
        <v>Asia &gt; Japan &gt; Osaka</v>
      </c>
      <c r="K165" s="3" t="s">
        <v>697</v>
      </c>
      <c r="L165" s="3" t="s">
        <v>702</v>
      </c>
      <c r="M165" s="3" t="s">
        <v>706</v>
      </c>
      <c r="N165" s="3" t="s">
        <v>724</v>
      </c>
      <c r="O165" s="3" t="s">
        <v>888</v>
      </c>
      <c r="P165" s="6">
        <v>135.12</v>
      </c>
      <c r="Q165" s="6">
        <v>301.7</v>
      </c>
      <c r="R165" s="6" t="str">
        <f t="shared" si="32"/>
        <v>Low</v>
      </c>
      <c r="S165" s="6">
        <v>0.14000000000000001</v>
      </c>
      <c r="T165" s="6">
        <v>47</v>
      </c>
      <c r="U165">
        <f t="shared" si="33"/>
        <v>12194.714</v>
      </c>
      <c r="V165">
        <f t="shared" si="38"/>
        <v>1075035.5428399993</v>
      </c>
      <c r="W165">
        <f t="shared" si="34"/>
        <v>6350.64</v>
      </c>
      <c r="X165" s="6">
        <f t="shared" si="35"/>
        <v>5844.0739999999996</v>
      </c>
      <c r="Y165">
        <f t="shared" si="36"/>
        <v>0.47923009920527859</v>
      </c>
      <c r="Z165">
        <v>202303</v>
      </c>
      <c r="AA165" s="18">
        <v>202303</v>
      </c>
      <c r="AB165" t="str">
        <v>Mar-2023</v>
      </c>
      <c r="AC165">
        <f t="shared" si="37"/>
        <v>0</v>
      </c>
      <c r="AD165" t="str">
        <f t="shared" si="39"/>
        <v>On Time</v>
      </c>
      <c r="AE165">
        <f t="shared" si="40"/>
        <v>1</v>
      </c>
      <c r="AF165">
        <f t="shared" si="41"/>
        <v>0</v>
      </c>
    </row>
    <row r="166" spans="1:32" x14ac:dyDescent="0.25">
      <c r="A166" s="3" t="s">
        <v>171</v>
      </c>
      <c r="B166" s="4">
        <v>45447</v>
      </c>
      <c r="C166" s="4" t="str">
        <f t="shared" si="28"/>
        <v>Jun-2024</v>
      </c>
      <c r="D166" s="4" t="str">
        <f t="shared" si="29"/>
        <v>Q2</v>
      </c>
      <c r="E166" s="4">
        <v>45459</v>
      </c>
      <c r="F166" s="10">
        <f t="shared" si="30"/>
        <v>12</v>
      </c>
      <c r="G166" s="3" t="s">
        <v>639</v>
      </c>
      <c r="H166" s="3" t="s">
        <v>651</v>
      </c>
      <c r="I166" s="3" t="s">
        <v>677</v>
      </c>
      <c r="J166" t="str">
        <f t="shared" si="31"/>
        <v>Asia &gt; China &gt; Shanghai</v>
      </c>
      <c r="K166" s="3" t="s">
        <v>693</v>
      </c>
      <c r="L166" s="3" t="s">
        <v>699</v>
      </c>
      <c r="M166" s="3" t="s">
        <v>705</v>
      </c>
      <c r="N166" s="3" t="s">
        <v>720</v>
      </c>
      <c r="O166" s="3" t="s">
        <v>889</v>
      </c>
      <c r="P166" s="6">
        <v>918.42</v>
      </c>
      <c r="Q166" s="6">
        <v>1511.71</v>
      </c>
      <c r="R166" s="6" t="str">
        <f t="shared" si="32"/>
        <v>Medium</v>
      </c>
      <c r="S166" s="6">
        <v>0.02</v>
      </c>
      <c r="T166" s="6">
        <v>8</v>
      </c>
      <c r="U166">
        <f t="shared" si="33"/>
        <v>11851.806399999999</v>
      </c>
      <c r="V166">
        <f t="shared" si="38"/>
        <v>1075035.5428399993</v>
      </c>
      <c r="W166">
        <f t="shared" si="34"/>
        <v>7347.36</v>
      </c>
      <c r="X166" s="6">
        <f t="shared" si="35"/>
        <v>4504.4463999999998</v>
      </c>
      <c r="Y166">
        <f t="shared" si="36"/>
        <v>0.38006412254590999</v>
      </c>
      <c r="Z166">
        <v>202406</v>
      </c>
      <c r="AA166" s="18">
        <v>202301</v>
      </c>
      <c r="AB166" t="str">
        <v>Jun-2023</v>
      </c>
      <c r="AC166">
        <f t="shared" si="37"/>
        <v>17</v>
      </c>
      <c r="AD166" t="str">
        <f t="shared" si="39"/>
        <v>Late</v>
      </c>
      <c r="AE166">
        <f t="shared" si="40"/>
        <v>0</v>
      </c>
      <c r="AF166">
        <f t="shared" si="41"/>
        <v>0</v>
      </c>
    </row>
    <row r="167" spans="1:32" x14ac:dyDescent="0.25">
      <c r="A167" s="3" t="s">
        <v>172</v>
      </c>
      <c r="B167" s="4">
        <v>44976</v>
      </c>
      <c r="C167" s="4" t="str">
        <f t="shared" si="28"/>
        <v>Feb-2023</v>
      </c>
      <c r="D167" s="4" t="str">
        <f t="shared" si="29"/>
        <v>Q1</v>
      </c>
      <c r="E167" s="4">
        <v>44997</v>
      </c>
      <c r="F167" s="10">
        <f t="shared" si="30"/>
        <v>21</v>
      </c>
      <c r="G167" s="3" t="s">
        <v>641</v>
      </c>
      <c r="H167" s="3" t="s">
        <v>648</v>
      </c>
      <c r="I167" s="3" t="s">
        <v>663</v>
      </c>
      <c r="J167" t="str">
        <f t="shared" si="31"/>
        <v>Europe &gt; Germany &gt; Berlin</v>
      </c>
      <c r="K167" s="3" t="s">
        <v>697</v>
      </c>
      <c r="L167" s="3" t="s">
        <v>703</v>
      </c>
      <c r="M167" s="3" t="s">
        <v>708</v>
      </c>
      <c r="N167" s="3" t="s">
        <v>724</v>
      </c>
      <c r="O167" s="3" t="s">
        <v>890</v>
      </c>
      <c r="P167" s="6">
        <v>1234.81</v>
      </c>
      <c r="Q167" s="6">
        <v>2055.2399999999998</v>
      </c>
      <c r="R167" s="6" t="str">
        <f t="shared" si="32"/>
        <v>High</v>
      </c>
      <c r="S167" s="6">
        <v>5.2999999999999999E-2</v>
      </c>
      <c r="T167" s="6">
        <v>44</v>
      </c>
      <c r="U167">
        <f t="shared" si="33"/>
        <v>85637.740319999997</v>
      </c>
      <c r="V167">
        <f t="shared" si="38"/>
        <v>1075035.5428399993</v>
      </c>
      <c r="W167">
        <f t="shared" si="34"/>
        <v>54331.64</v>
      </c>
      <c r="X167" s="6">
        <f t="shared" si="35"/>
        <v>31306.100319999998</v>
      </c>
      <c r="Y167">
        <f t="shared" si="36"/>
        <v>0.36556429680441616</v>
      </c>
      <c r="Z167">
        <v>202302</v>
      </c>
      <c r="AA167" s="18">
        <v>202301</v>
      </c>
      <c r="AB167" t="str">
        <v>Feb-2023</v>
      </c>
      <c r="AC167">
        <f t="shared" si="37"/>
        <v>1</v>
      </c>
      <c r="AD167" t="str">
        <f t="shared" si="39"/>
        <v>Late</v>
      </c>
      <c r="AE167">
        <f t="shared" si="40"/>
        <v>0</v>
      </c>
      <c r="AF167">
        <f t="shared" si="41"/>
        <v>0</v>
      </c>
    </row>
    <row r="168" spans="1:32" x14ac:dyDescent="0.25">
      <c r="A168" s="3" t="s">
        <v>173</v>
      </c>
      <c r="B168" s="4">
        <v>45034</v>
      </c>
      <c r="C168" s="4" t="str">
        <f t="shared" si="28"/>
        <v>Apr-2023</v>
      </c>
      <c r="D168" s="4" t="str">
        <f t="shared" si="29"/>
        <v>Q2</v>
      </c>
      <c r="E168" s="4">
        <v>45064</v>
      </c>
      <c r="F168" s="10">
        <f t="shared" si="30"/>
        <v>30</v>
      </c>
      <c r="G168" s="3" t="s">
        <v>639</v>
      </c>
      <c r="H168" s="3" t="s">
        <v>651</v>
      </c>
      <c r="I168" s="3" t="s">
        <v>668</v>
      </c>
      <c r="J168" t="str">
        <f t="shared" si="31"/>
        <v>Asia &gt; China &gt; Shenzhen</v>
      </c>
      <c r="K168" s="3" t="s">
        <v>695</v>
      </c>
      <c r="L168" s="3" t="s">
        <v>699</v>
      </c>
      <c r="M168" s="3" t="s">
        <v>714</v>
      </c>
      <c r="N168" s="3" t="s">
        <v>723</v>
      </c>
      <c r="O168" s="3" t="s">
        <v>891</v>
      </c>
      <c r="P168" s="6">
        <v>329.03</v>
      </c>
      <c r="Q168" s="6">
        <v>391.15</v>
      </c>
      <c r="R168" s="6" t="str">
        <f t="shared" si="32"/>
        <v>Low</v>
      </c>
      <c r="S168" s="6">
        <v>0.19700000000000001</v>
      </c>
      <c r="T168" s="6">
        <v>46</v>
      </c>
      <c r="U168">
        <f t="shared" si="33"/>
        <v>14448.298699999998</v>
      </c>
      <c r="V168">
        <f t="shared" si="38"/>
        <v>1075035.5428399993</v>
      </c>
      <c r="W168">
        <f t="shared" si="34"/>
        <v>15135.38</v>
      </c>
      <c r="X168" s="6">
        <f t="shared" si="35"/>
        <v>-687.08130000000165</v>
      </c>
      <c r="Y168">
        <f t="shared" si="36"/>
        <v>-4.7554477815440081E-2</v>
      </c>
      <c r="Z168">
        <v>202304</v>
      </c>
      <c r="AA168" s="18">
        <v>202301</v>
      </c>
      <c r="AB168" t="str">
        <v>Apr-2023</v>
      </c>
      <c r="AC168">
        <f t="shared" si="37"/>
        <v>3</v>
      </c>
      <c r="AD168" t="str">
        <f t="shared" si="39"/>
        <v>Late</v>
      </c>
      <c r="AE168">
        <f t="shared" si="40"/>
        <v>0</v>
      </c>
      <c r="AF168">
        <f t="shared" si="41"/>
        <v>0</v>
      </c>
    </row>
    <row r="169" spans="1:32" x14ac:dyDescent="0.25">
      <c r="A169" s="3" t="s">
        <v>174</v>
      </c>
      <c r="B169" s="4">
        <v>45435</v>
      </c>
      <c r="C169" s="4" t="str">
        <f t="shared" si="28"/>
        <v>May-2024</v>
      </c>
      <c r="D169" s="4" t="str">
        <f t="shared" si="29"/>
        <v>Q2</v>
      </c>
      <c r="E169" s="4">
        <v>45457</v>
      </c>
      <c r="F169" s="10">
        <f t="shared" si="30"/>
        <v>22</v>
      </c>
      <c r="G169" s="3" t="s">
        <v>641</v>
      </c>
      <c r="H169" s="3" t="s">
        <v>649</v>
      </c>
      <c r="I169" s="3" t="s">
        <v>665</v>
      </c>
      <c r="J169" t="str">
        <f t="shared" si="31"/>
        <v>Europe &gt; France &gt; Marseille</v>
      </c>
      <c r="K169" s="3" t="s">
        <v>697</v>
      </c>
      <c r="L169" s="3" t="s">
        <v>700</v>
      </c>
      <c r="M169" s="3" t="s">
        <v>717</v>
      </c>
      <c r="N169" s="3" t="s">
        <v>724</v>
      </c>
      <c r="O169" s="3" t="s">
        <v>892</v>
      </c>
      <c r="P169" s="6">
        <v>1481.74</v>
      </c>
      <c r="Q169" s="6">
        <v>1848.97</v>
      </c>
      <c r="R169" s="6" t="str">
        <f t="shared" si="32"/>
        <v>High</v>
      </c>
      <c r="S169" s="6">
        <v>0.254</v>
      </c>
      <c r="T169" s="6">
        <v>9</v>
      </c>
      <c r="U169">
        <f t="shared" si="33"/>
        <v>12413.98458</v>
      </c>
      <c r="V169">
        <f t="shared" si="38"/>
        <v>1075035.5428399993</v>
      </c>
      <c r="W169">
        <f t="shared" si="34"/>
        <v>13335.66</v>
      </c>
      <c r="X169" s="6">
        <f t="shared" si="35"/>
        <v>-921.67541999999958</v>
      </c>
      <c r="Y169">
        <f t="shared" si="36"/>
        <v>-7.4244930309072407E-2</v>
      </c>
      <c r="Z169">
        <v>202405</v>
      </c>
      <c r="AA169" s="18">
        <v>202301</v>
      </c>
      <c r="AB169" t="str">
        <v>May-2023</v>
      </c>
      <c r="AC169">
        <f t="shared" si="37"/>
        <v>16</v>
      </c>
      <c r="AD169" t="str">
        <f t="shared" si="39"/>
        <v>Late</v>
      </c>
      <c r="AE169">
        <f t="shared" si="40"/>
        <v>0</v>
      </c>
      <c r="AF169">
        <f t="shared" si="41"/>
        <v>1</v>
      </c>
    </row>
    <row r="170" spans="1:32" x14ac:dyDescent="0.25">
      <c r="A170" s="3" t="s">
        <v>175</v>
      </c>
      <c r="B170" s="4">
        <v>45206</v>
      </c>
      <c r="C170" s="4" t="str">
        <f t="shared" si="28"/>
        <v>Oct-2023</v>
      </c>
      <c r="D170" s="4" t="str">
        <f t="shared" si="29"/>
        <v>Q4</v>
      </c>
      <c r="E170" s="4">
        <v>45222</v>
      </c>
      <c r="F170" s="10">
        <f t="shared" si="30"/>
        <v>16</v>
      </c>
      <c r="G170" s="3" t="s">
        <v>639</v>
      </c>
      <c r="H170" s="3" t="s">
        <v>646</v>
      </c>
      <c r="I170" s="3" t="s">
        <v>688</v>
      </c>
      <c r="J170" t="str">
        <f t="shared" si="31"/>
        <v>Asia &gt; India &gt; Hyderabad</v>
      </c>
      <c r="K170" s="3" t="s">
        <v>696</v>
      </c>
      <c r="L170" s="3" t="s">
        <v>699</v>
      </c>
      <c r="M170" s="3" t="s">
        <v>707</v>
      </c>
      <c r="N170" s="3" t="s">
        <v>724</v>
      </c>
      <c r="O170" s="3" t="s">
        <v>893</v>
      </c>
      <c r="P170" s="6">
        <v>906.81</v>
      </c>
      <c r="Q170" s="6">
        <v>1395.56</v>
      </c>
      <c r="R170" s="6" t="str">
        <f t="shared" si="32"/>
        <v>Medium</v>
      </c>
      <c r="S170" s="6">
        <v>0.185</v>
      </c>
      <c r="T170" s="6">
        <v>6</v>
      </c>
      <c r="U170">
        <f t="shared" si="33"/>
        <v>6824.2884000000004</v>
      </c>
      <c r="V170">
        <f t="shared" si="38"/>
        <v>1075035.5428399993</v>
      </c>
      <c r="W170">
        <f t="shared" si="34"/>
        <v>5440.86</v>
      </c>
      <c r="X170" s="6">
        <f t="shared" si="35"/>
        <v>1383.4284000000007</v>
      </c>
      <c r="Y170">
        <f t="shared" si="36"/>
        <v>0.20272126834498974</v>
      </c>
      <c r="Z170">
        <v>202310</v>
      </c>
      <c r="AA170" s="18">
        <v>202301</v>
      </c>
      <c r="AB170" t="str">
        <v>Oct-2023</v>
      </c>
      <c r="AC170">
        <f t="shared" si="37"/>
        <v>9</v>
      </c>
      <c r="AD170" t="str">
        <f t="shared" si="39"/>
        <v>Late</v>
      </c>
      <c r="AE170">
        <f t="shared" si="40"/>
        <v>0</v>
      </c>
      <c r="AF170">
        <f t="shared" si="41"/>
        <v>0</v>
      </c>
    </row>
    <row r="171" spans="1:32" x14ac:dyDescent="0.25">
      <c r="A171" s="3" t="s">
        <v>176</v>
      </c>
      <c r="B171" s="4">
        <v>45574</v>
      </c>
      <c r="C171" s="4" t="str">
        <f t="shared" si="28"/>
        <v>Oct-2024</v>
      </c>
      <c r="D171" s="4" t="str">
        <f t="shared" si="29"/>
        <v>Q4</v>
      </c>
      <c r="E171" s="4">
        <v>45604</v>
      </c>
      <c r="F171" s="10">
        <f t="shared" si="30"/>
        <v>30</v>
      </c>
      <c r="G171" s="3" t="s">
        <v>641</v>
      </c>
      <c r="H171" s="3" t="s">
        <v>650</v>
      </c>
      <c r="I171" s="3" t="s">
        <v>685</v>
      </c>
      <c r="J171" t="str">
        <f t="shared" si="31"/>
        <v>Europe &gt; United Kingdom &gt; Manchester</v>
      </c>
      <c r="K171" s="3" t="s">
        <v>697</v>
      </c>
      <c r="L171" s="3" t="s">
        <v>702</v>
      </c>
      <c r="M171" s="3" t="s">
        <v>705</v>
      </c>
      <c r="N171" s="3" t="s">
        <v>719</v>
      </c>
      <c r="O171" s="3" t="s">
        <v>894</v>
      </c>
      <c r="P171" s="6">
        <v>343.85</v>
      </c>
      <c r="Q171" s="6">
        <v>538.04</v>
      </c>
      <c r="R171" s="6" t="str">
        <f t="shared" si="32"/>
        <v>Low</v>
      </c>
      <c r="S171" s="6">
        <v>0.13900000000000001</v>
      </c>
      <c r="T171" s="6">
        <v>5</v>
      </c>
      <c r="U171">
        <f t="shared" si="33"/>
        <v>2316.2621999999997</v>
      </c>
      <c r="V171">
        <f t="shared" si="38"/>
        <v>1075035.5428399993</v>
      </c>
      <c r="W171">
        <f t="shared" si="34"/>
        <v>1719.25</v>
      </c>
      <c r="X171" s="6">
        <f t="shared" si="35"/>
        <v>597.01219999999967</v>
      </c>
      <c r="Y171">
        <f t="shared" si="36"/>
        <v>0.25774810813732563</v>
      </c>
      <c r="Z171">
        <v>202410</v>
      </c>
      <c r="AA171" s="18">
        <v>202301</v>
      </c>
      <c r="AB171" t="str">
        <v>Oct-2023</v>
      </c>
      <c r="AC171">
        <f t="shared" si="37"/>
        <v>21</v>
      </c>
      <c r="AD171" t="str">
        <f t="shared" si="39"/>
        <v>Late</v>
      </c>
      <c r="AE171">
        <f t="shared" si="40"/>
        <v>0</v>
      </c>
      <c r="AF171">
        <f t="shared" si="41"/>
        <v>0</v>
      </c>
    </row>
    <row r="172" spans="1:32" x14ac:dyDescent="0.25">
      <c r="A172" s="3" t="s">
        <v>177</v>
      </c>
      <c r="B172" s="4">
        <v>45488</v>
      </c>
      <c r="C172" s="4" t="str">
        <f t="shared" si="28"/>
        <v>Jul-2024</v>
      </c>
      <c r="D172" s="4" t="str">
        <f t="shared" si="29"/>
        <v>Q3</v>
      </c>
      <c r="E172" s="4">
        <v>45488</v>
      </c>
      <c r="F172" s="10">
        <f t="shared" si="30"/>
        <v>0</v>
      </c>
      <c r="G172" s="3" t="s">
        <v>639</v>
      </c>
      <c r="H172" s="3" t="s">
        <v>644</v>
      </c>
      <c r="I172" s="3" t="s">
        <v>681</v>
      </c>
      <c r="J172" t="str">
        <f t="shared" si="31"/>
        <v>Asia &gt; Japan &gt; Tokyo</v>
      </c>
      <c r="K172" s="3" t="s">
        <v>697</v>
      </c>
      <c r="L172" s="3" t="s">
        <v>701</v>
      </c>
      <c r="M172" s="3" t="s">
        <v>707</v>
      </c>
      <c r="N172" s="3" t="s">
        <v>725</v>
      </c>
      <c r="O172" s="3" t="s">
        <v>895</v>
      </c>
      <c r="P172" s="6">
        <v>801.77</v>
      </c>
      <c r="Q172" s="6">
        <v>1218.92</v>
      </c>
      <c r="R172" s="6" t="str">
        <f t="shared" si="32"/>
        <v>Medium</v>
      </c>
      <c r="S172" s="6">
        <v>0.254</v>
      </c>
      <c r="T172" s="6">
        <v>16</v>
      </c>
      <c r="U172">
        <f t="shared" si="33"/>
        <v>14549.029120000001</v>
      </c>
      <c r="V172">
        <f t="shared" si="38"/>
        <v>1072719.2806399995</v>
      </c>
      <c r="W172">
        <f t="shared" si="34"/>
        <v>12828.32</v>
      </c>
      <c r="X172" s="6">
        <f t="shared" si="35"/>
        <v>1720.7091200000013</v>
      </c>
      <c r="Y172">
        <f t="shared" si="36"/>
        <v>0.11826968698788344</v>
      </c>
      <c r="Z172">
        <v>202407</v>
      </c>
      <c r="AA172" s="18">
        <v>202303</v>
      </c>
      <c r="AB172" t="str">
        <v>Jul-2023</v>
      </c>
      <c r="AC172">
        <f t="shared" si="37"/>
        <v>16</v>
      </c>
      <c r="AD172" t="str">
        <f t="shared" si="39"/>
        <v>On Time</v>
      </c>
      <c r="AE172">
        <f t="shared" si="40"/>
        <v>1</v>
      </c>
      <c r="AF172">
        <f t="shared" si="41"/>
        <v>1</v>
      </c>
    </row>
    <row r="173" spans="1:32" x14ac:dyDescent="0.25">
      <c r="A173" s="3" t="s">
        <v>178</v>
      </c>
      <c r="B173" s="4">
        <v>45190</v>
      </c>
      <c r="C173" s="4" t="str">
        <f t="shared" si="28"/>
        <v>Sept-2023</v>
      </c>
      <c r="D173" s="4" t="str">
        <f t="shared" si="29"/>
        <v>Q3</v>
      </c>
      <c r="E173" s="4">
        <v>45209</v>
      </c>
      <c r="F173" s="10">
        <f t="shared" si="30"/>
        <v>19</v>
      </c>
      <c r="G173" s="3" t="s">
        <v>639</v>
      </c>
      <c r="H173" s="3" t="s">
        <v>644</v>
      </c>
      <c r="I173" s="3" t="s">
        <v>681</v>
      </c>
      <c r="J173" t="str">
        <f t="shared" si="31"/>
        <v>Asia &gt; Japan &gt; Tokyo</v>
      </c>
      <c r="K173" s="3" t="s">
        <v>694</v>
      </c>
      <c r="L173" s="3" t="s">
        <v>700</v>
      </c>
      <c r="M173" s="3" t="s">
        <v>718</v>
      </c>
      <c r="N173" s="3" t="s">
        <v>719</v>
      </c>
      <c r="O173" s="3" t="s">
        <v>896</v>
      </c>
      <c r="P173" s="6">
        <v>845.63</v>
      </c>
      <c r="Q173" s="6">
        <v>2062.12</v>
      </c>
      <c r="R173" s="6" t="str">
        <f t="shared" si="32"/>
        <v>Medium</v>
      </c>
      <c r="S173" s="6">
        <v>0.13400000000000001</v>
      </c>
      <c r="T173" s="6">
        <v>5</v>
      </c>
      <c r="U173">
        <f t="shared" si="33"/>
        <v>8928.9795999999988</v>
      </c>
      <c r="V173">
        <f t="shared" si="38"/>
        <v>1072719.2806399995</v>
      </c>
      <c r="W173">
        <f t="shared" si="34"/>
        <v>4228.1499999999996</v>
      </c>
      <c r="X173" s="6">
        <f t="shared" si="35"/>
        <v>4700.8295999999991</v>
      </c>
      <c r="Y173">
        <f t="shared" si="36"/>
        <v>0.52646884757133949</v>
      </c>
      <c r="Z173">
        <v>202309</v>
      </c>
      <c r="AA173" s="18">
        <v>202303</v>
      </c>
      <c r="AB173" t="str">
        <v>Sept-2023</v>
      </c>
      <c r="AC173">
        <f t="shared" si="37"/>
        <v>6</v>
      </c>
      <c r="AD173" t="str">
        <f t="shared" si="39"/>
        <v>Late</v>
      </c>
      <c r="AE173">
        <f t="shared" si="40"/>
        <v>0</v>
      </c>
      <c r="AF173">
        <f t="shared" si="41"/>
        <v>0</v>
      </c>
    </row>
    <row r="174" spans="1:32" x14ac:dyDescent="0.25">
      <c r="A174" s="3" t="s">
        <v>179</v>
      </c>
      <c r="B174" s="4">
        <v>44981</v>
      </c>
      <c r="C174" s="4" t="str">
        <f t="shared" si="28"/>
        <v>Feb-2023</v>
      </c>
      <c r="D174" s="4" t="str">
        <f t="shared" si="29"/>
        <v>Q1</v>
      </c>
      <c r="E174" s="4">
        <v>44994</v>
      </c>
      <c r="F174" s="10">
        <f t="shared" si="30"/>
        <v>13</v>
      </c>
      <c r="G174" s="3" t="s">
        <v>640</v>
      </c>
      <c r="H174" s="3" t="s">
        <v>652</v>
      </c>
      <c r="I174" s="3" t="s">
        <v>692</v>
      </c>
      <c r="J174" t="str">
        <f t="shared" si="31"/>
        <v>Americas &gt; USA &gt; New York</v>
      </c>
      <c r="K174" s="3" t="s">
        <v>698</v>
      </c>
      <c r="L174" s="3" t="s">
        <v>700</v>
      </c>
      <c r="M174" s="3" t="s">
        <v>716</v>
      </c>
      <c r="N174" s="3" t="s">
        <v>719</v>
      </c>
      <c r="O174" s="3" t="s">
        <v>897</v>
      </c>
      <c r="P174" s="6">
        <v>6.85</v>
      </c>
      <c r="Q174" s="6">
        <v>10.18</v>
      </c>
      <c r="R174" s="6" t="str">
        <f t="shared" si="32"/>
        <v>Low</v>
      </c>
      <c r="S174" s="6">
        <v>4.7E-2</v>
      </c>
      <c r="T174" s="6">
        <v>10</v>
      </c>
      <c r="U174">
        <f t="shared" si="33"/>
        <v>97.0154</v>
      </c>
      <c r="V174">
        <f t="shared" si="38"/>
        <v>1063790.3010399996</v>
      </c>
      <c r="W174">
        <f t="shared" si="34"/>
        <v>68.5</v>
      </c>
      <c r="X174" s="6">
        <f t="shared" si="35"/>
        <v>28.5154</v>
      </c>
      <c r="Y174">
        <f t="shared" si="36"/>
        <v>0.2939265312517394</v>
      </c>
      <c r="Z174">
        <v>202302</v>
      </c>
      <c r="AA174" s="18">
        <v>202301</v>
      </c>
      <c r="AB174" t="str">
        <v>Feb-2023</v>
      </c>
      <c r="AC174">
        <f t="shared" si="37"/>
        <v>1</v>
      </c>
      <c r="AD174" t="str">
        <f t="shared" si="39"/>
        <v>Late</v>
      </c>
      <c r="AE174">
        <f t="shared" si="40"/>
        <v>0</v>
      </c>
      <c r="AF174">
        <f t="shared" si="41"/>
        <v>0</v>
      </c>
    </row>
    <row r="175" spans="1:32" x14ac:dyDescent="0.25">
      <c r="A175" s="3" t="s">
        <v>180</v>
      </c>
      <c r="B175" s="4">
        <v>45798</v>
      </c>
      <c r="C175" s="4" t="str">
        <f t="shared" si="28"/>
        <v>May-2025</v>
      </c>
      <c r="D175" s="4" t="str">
        <f t="shared" si="29"/>
        <v>Q2</v>
      </c>
      <c r="E175" s="4">
        <v>45800</v>
      </c>
      <c r="F175" s="10">
        <f t="shared" si="30"/>
        <v>2</v>
      </c>
      <c r="G175" s="3" t="s">
        <v>638</v>
      </c>
      <c r="H175" s="3" t="s">
        <v>653</v>
      </c>
      <c r="I175" s="3" t="s">
        <v>674</v>
      </c>
      <c r="J175" t="str">
        <f t="shared" si="31"/>
        <v>Africa &gt; South Africa &gt; Johannesburg</v>
      </c>
      <c r="K175" s="3" t="s">
        <v>695</v>
      </c>
      <c r="L175" s="3" t="s">
        <v>702</v>
      </c>
      <c r="M175" s="3" t="s">
        <v>711</v>
      </c>
      <c r="N175" s="3" t="s">
        <v>723</v>
      </c>
      <c r="O175" s="3" t="s">
        <v>898</v>
      </c>
      <c r="P175" s="6">
        <v>1263.8399999999999</v>
      </c>
      <c r="Q175" s="6">
        <v>2281.7199999999998</v>
      </c>
      <c r="R175" s="6" t="str">
        <f t="shared" si="32"/>
        <v>High</v>
      </c>
      <c r="S175" s="6">
        <v>7.8E-2</v>
      </c>
      <c r="T175" s="6">
        <v>15</v>
      </c>
      <c r="U175">
        <f t="shared" si="33"/>
        <v>31556.187599999997</v>
      </c>
      <c r="V175">
        <f t="shared" si="38"/>
        <v>1063693.2856399994</v>
      </c>
      <c r="W175">
        <f t="shared" si="34"/>
        <v>18957.599999999999</v>
      </c>
      <c r="X175" s="6">
        <f t="shared" si="35"/>
        <v>12598.587599999999</v>
      </c>
      <c r="Y175">
        <f t="shared" si="36"/>
        <v>0.39924301882398494</v>
      </c>
      <c r="Z175">
        <v>202505</v>
      </c>
      <c r="AA175" s="18">
        <v>202301</v>
      </c>
      <c r="AB175" t="str">
        <v>May-2023</v>
      </c>
      <c r="AC175">
        <f t="shared" si="37"/>
        <v>28</v>
      </c>
      <c r="AD175" t="str">
        <f t="shared" si="39"/>
        <v>On Time</v>
      </c>
      <c r="AE175">
        <f t="shared" si="40"/>
        <v>1</v>
      </c>
      <c r="AF175">
        <f t="shared" si="41"/>
        <v>0</v>
      </c>
    </row>
    <row r="176" spans="1:32" x14ac:dyDescent="0.25">
      <c r="A176" s="3" t="s">
        <v>181</v>
      </c>
      <c r="B176" s="4">
        <v>45435</v>
      </c>
      <c r="C176" s="4" t="str">
        <f t="shared" si="28"/>
        <v>May-2024</v>
      </c>
      <c r="D176" s="4" t="str">
        <f t="shared" si="29"/>
        <v>Q2</v>
      </c>
      <c r="E176" s="4">
        <v>45446</v>
      </c>
      <c r="F176" s="10">
        <f t="shared" si="30"/>
        <v>11</v>
      </c>
      <c r="G176" s="3" t="s">
        <v>638</v>
      </c>
      <c r="H176" s="3" t="s">
        <v>653</v>
      </c>
      <c r="I176" s="3" t="s">
        <v>674</v>
      </c>
      <c r="J176" t="str">
        <f t="shared" si="31"/>
        <v>Africa &gt; South Africa &gt; Johannesburg</v>
      </c>
      <c r="K176" s="3" t="s">
        <v>697</v>
      </c>
      <c r="L176" s="3" t="s">
        <v>702</v>
      </c>
      <c r="M176" s="3" t="s">
        <v>713</v>
      </c>
      <c r="N176" s="3" t="s">
        <v>720</v>
      </c>
      <c r="O176" s="3" t="s">
        <v>899</v>
      </c>
      <c r="P176" s="6">
        <v>180.89</v>
      </c>
      <c r="Q176" s="6">
        <v>249.57</v>
      </c>
      <c r="R176" s="6" t="str">
        <f t="shared" si="32"/>
        <v>Low</v>
      </c>
      <c r="S176" s="6">
        <v>2.1999999999999999E-2</v>
      </c>
      <c r="T176" s="6">
        <v>8</v>
      </c>
      <c r="U176">
        <f t="shared" si="33"/>
        <v>1952.6356799999999</v>
      </c>
      <c r="V176">
        <f t="shared" si="38"/>
        <v>1063693.2856399994</v>
      </c>
      <c r="W176">
        <f t="shared" si="34"/>
        <v>1447.12</v>
      </c>
      <c r="X176" s="6">
        <f t="shared" si="35"/>
        <v>505.51567999999997</v>
      </c>
      <c r="Y176">
        <f t="shared" si="36"/>
        <v>0.25888888806948362</v>
      </c>
      <c r="Z176">
        <v>202405</v>
      </c>
      <c r="AA176" s="18">
        <v>202301</v>
      </c>
      <c r="AB176" t="str">
        <v>May-2023</v>
      </c>
      <c r="AC176">
        <f t="shared" si="37"/>
        <v>16</v>
      </c>
      <c r="AD176" t="str">
        <f t="shared" si="39"/>
        <v>Late</v>
      </c>
      <c r="AE176">
        <f t="shared" si="40"/>
        <v>0</v>
      </c>
      <c r="AF176">
        <f t="shared" si="41"/>
        <v>0</v>
      </c>
    </row>
    <row r="177" spans="1:32" x14ac:dyDescent="0.25">
      <c r="A177" s="3" t="s">
        <v>182</v>
      </c>
      <c r="B177" s="4">
        <v>45761</v>
      </c>
      <c r="C177" s="4" t="str">
        <f t="shared" si="28"/>
        <v>Apr-2025</v>
      </c>
      <c r="D177" s="4" t="str">
        <f t="shared" si="29"/>
        <v>Q2</v>
      </c>
      <c r="E177" s="4">
        <v>45781</v>
      </c>
      <c r="F177" s="10">
        <f t="shared" si="30"/>
        <v>20</v>
      </c>
      <c r="G177" s="3" t="s">
        <v>641</v>
      </c>
      <c r="H177" s="3" t="s">
        <v>650</v>
      </c>
      <c r="I177" s="3" t="s">
        <v>666</v>
      </c>
      <c r="J177" t="str">
        <f t="shared" si="31"/>
        <v>Europe &gt; United Kingdom &gt; Birmingham</v>
      </c>
      <c r="K177" s="3" t="s">
        <v>698</v>
      </c>
      <c r="L177" s="3" t="s">
        <v>701</v>
      </c>
      <c r="M177" s="3" t="s">
        <v>715</v>
      </c>
      <c r="N177" s="3" t="s">
        <v>724</v>
      </c>
      <c r="O177" s="3" t="s">
        <v>900</v>
      </c>
      <c r="P177" s="6">
        <v>1413.87</v>
      </c>
      <c r="Q177" s="6">
        <v>3275</v>
      </c>
      <c r="R177" s="6" t="str">
        <f t="shared" si="32"/>
        <v>High</v>
      </c>
      <c r="S177" s="6">
        <v>0.255</v>
      </c>
      <c r="T177" s="6">
        <v>38</v>
      </c>
      <c r="U177">
        <f t="shared" si="33"/>
        <v>92715.25</v>
      </c>
      <c r="V177">
        <f t="shared" si="38"/>
        <v>1063693.2856399994</v>
      </c>
      <c r="W177">
        <f t="shared" si="34"/>
        <v>53727.06</v>
      </c>
      <c r="X177" s="6">
        <f t="shared" si="35"/>
        <v>38988.19</v>
      </c>
      <c r="Y177">
        <f t="shared" si="36"/>
        <v>0.42051539525590453</v>
      </c>
      <c r="Z177">
        <v>202504</v>
      </c>
      <c r="AA177" s="18">
        <v>202301</v>
      </c>
      <c r="AB177" t="str">
        <v>Apr-2023</v>
      </c>
      <c r="AC177">
        <f t="shared" si="37"/>
        <v>27</v>
      </c>
      <c r="AD177" t="str">
        <f t="shared" si="39"/>
        <v>Late</v>
      </c>
      <c r="AE177">
        <f t="shared" si="40"/>
        <v>0</v>
      </c>
      <c r="AF177">
        <f t="shared" si="41"/>
        <v>1</v>
      </c>
    </row>
    <row r="178" spans="1:32" x14ac:dyDescent="0.25">
      <c r="A178" s="3" t="s">
        <v>183</v>
      </c>
      <c r="B178" s="4">
        <v>45165</v>
      </c>
      <c r="C178" s="4" t="str">
        <f t="shared" si="28"/>
        <v>Aug-2023</v>
      </c>
      <c r="D178" s="4" t="str">
        <f t="shared" si="29"/>
        <v>Q3</v>
      </c>
      <c r="E178" s="4">
        <v>45180</v>
      </c>
      <c r="F178" s="10">
        <f t="shared" si="30"/>
        <v>15</v>
      </c>
      <c r="G178" s="3" t="s">
        <v>641</v>
      </c>
      <c r="H178" s="3" t="s">
        <v>650</v>
      </c>
      <c r="I178" s="3" t="s">
        <v>675</v>
      </c>
      <c r="J178" t="str">
        <f t="shared" si="31"/>
        <v>Europe &gt; United Kingdom &gt; London</v>
      </c>
      <c r="K178" s="3" t="s">
        <v>696</v>
      </c>
      <c r="L178" s="3" t="s">
        <v>701</v>
      </c>
      <c r="M178" s="3" t="s">
        <v>717</v>
      </c>
      <c r="N178" s="3" t="s">
        <v>720</v>
      </c>
      <c r="O178" s="3" t="s">
        <v>901</v>
      </c>
      <c r="P178" s="6">
        <v>943.79</v>
      </c>
      <c r="Q178" s="6">
        <v>1913.76</v>
      </c>
      <c r="R178" s="6" t="str">
        <f t="shared" si="32"/>
        <v>Medium</v>
      </c>
      <c r="S178" s="6">
        <v>9.0999999999999998E-2</v>
      </c>
      <c r="T178" s="6">
        <v>9</v>
      </c>
      <c r="U178">
        <f t="shared" si="33"/>
        <v>15656.47056</v>
      </c>
      <c r="V178">
        <f t="shared" si="38"/>
        <v>1063693.2856399994</v>
      </c>
      <c r="W178">
        <f t="shared" si="34"/>
        <v>8494.11</v>
      </c>
      <c r="X178" s="6">
        <f t="shared" si="35"/>
        <v>7162.3605599999992</v>
      </c>
      <c r="Y178">
        <f t="shared" si="36"/>
        <v>0.45746967891338081</v>
      </c>
      <c r="Z178">
        <v>202308</v>
      </c>
      <c r="AA178" s="18">
        <v>202301</v>
      </c>
      <c r="AB178" t="str">
        <v>Aug-2023</v>
      </c>
      <c r="AC178">
        <f t="shared" si="37"/>
        <v>7</v>
      </c>
      <c r="AD178" t="str">
        <f t="shared" si="39"/>
        <v>Late</v>
      </c>
      <c r="AE178">
        <f t="shared" si="40"/>
        <v>0</v>
      </c>
      <c r="AF178">
        <f t="shared" si="41"/>
        <v>0</v>
      </c>
    </row>
    <row r="179" spans="1:32" x14ac:dyDescent="0.25">
      <c r="A179" s="3" t="s">
        <v>184</v>
      </c>
      <c r="B179" s="4">
        <v>45325</v>
      </c>
      <c r="C179" s="4" t="str">
        <f t="shared" si="28"/>
        <v>Feb-2024</v>
      </c>
      <c r="D179" s="4" t="str">
        <f t="shared" si="29"/>
        <v>Q1</v>
      </c>
      <c r="E179" s="4">
        <v>45343</v>
      </c>
      <c r="F179" s="10">
        <f t="shared" si="30"/>
        <v>18</v>
      </c>
      <c r="G179" s="3" t="s">
        <v>641</v>
      </c>
      <c r="H179" s="3" t="s">
        <v>648</v>
      </c>
      <c r="I179" s="3" t="s">
        <v>690</v>
      </c>
      <c r="J179" t="str">
        <f t="shared" si="31"/>
        <v>Europe &gt; Germany &gt; Frankfurt</v>
      </c>
      <c r="K179" s="3" t="s">
        <v>693</v>
      </c>
      <c r="L179" s="3" t="s">
        <v>699</v>
      </c>
      <c r="M179" s="3" t="s">
        <v>714</v>
      </c>
      <c r="N179" s="3" t="s">
        <v>719</v>
      </c>
      <c r="O179" s="3" t="s">
        <v>902</v>
      </c>
      <c r="P179" s="6">
        <v>39.229999999999997</v>
      </c>
      <c r="Q179" s="6">
        <v>30.09</v>
      </c>
      <c r="R179" s="6" t="str">
        <f t="shared" si="32"/>
        <v>Low</v>
      </c>
      <c r="S179" s="6">
        <v>0.17699999999999999</v>
      </c>
      <c r="T179" s="6">
        <v>13</v>
      </c>
      <c r="U179">
        <f t="shared" si="33"/>
        <v>321.93290999999999</v>
      </c>
      <c r="V179">
        <f t="shared" si="38"/>
        <v>1063693.2856399994</v>
      </c>
      <c r="W179">
        <f t="shared" si="34"/>
        <v>509.98999999999995</v>
      </c>
      <c r="X179" s="6">
        <f t="shared" si="35"/>
        <v>-188.05708999999996</v>
      </c>
      <c r="Y179">
        <f t="shared" si="36"/>
        <v>-0.58414993981199359</v>
      </c>
      <c r="Z179">
        <v>202402</v>
      </c>
      <c r="AA179" s="18">
        <v>202301</v>
      </c>
      <c r="AB179" t="str">
        <v>Feb-2023</v>
      </c>
      <c r="AC179">
        <f t="shared" si="37"/>
        <v>13</v>
      </c>
      <c r="AD179" t="str">
        <f t="shared" si="39"/>
        <v>Late</v>
      </c>
      <c r="AE179">
        <f t="shared" si="40"/>
        <v>0</v>
      </c>
      <c r="AF179">
        <f t="shared" si="41"/>
        <v>0</v>
      </c>
    </row>
    <row r="180" spans="1:32" x14ac:dyDescent="0.25">
      <c r="A180" s="3" t="s">
        <v>185</v>
      </c>
      <c r="B180" s="4">
        <v>45021</v>
      </c>
      <c r="C180" s="4" t="str">
        <f t="shared" si="28"/>
        <v>Apr-2023</v>
      </c>
      <c r="D180" s="4" t="str">
        <f t="shared" si="29"/>
        <v>Q2</v>
      </c>
      <c r="E180" s="4">
        <v>45032</v>
      </c>
      <c r="F180" s="10">
        <f t="shared" si="30"/>
        <v>11</v>
      </c>
      <c r="G180" s="3" t="s">
        <v>640</v>
      </c>
      <c r="H180" s="3" t="s">
        <v>645</v>
      </c>
      <c r="I180" s="3" t="s">
        <v>680</v>
      </c>
      <c r="J180" t="str">
        <f t="shared" si="31"/>
        <v>Americas &gt; Canada &gt; Vancouver</v>
      </c>
      <c r="K180" s="3" t="s">
        <v>695</v>
      </c>
      <c r="L180" s="3" t="s">
        <v>700</v>
      </c>
      <c r="M180" s="3" t="s">
        <v>711</v>
      </c>
      <c r="N180" s="3" t="s">
        <v>724</v>
      </c>
      <c r="O180" s="3" t="s">
        <v>903</v>
      </c>
      <c r="P180" s="6">
        <v>213.1</v>
      </c>
      <c r="Q180" s="6">
        <v>501.31</v>
      </c>
      <c r="R180" s="6" t="str">
        <f t="shared" si="32"/>
        <v>Low</v>
      </c>
      <c r="S180" s="6">
        <v>5.6000000000000001E-2</v>
      </c>
      <c r="T180" s="6">
        <v>15</v>
      </c>
      <c r="U180">
        <f t="shared" si="33"/>
        <v>7098.5495999999994</v>
      </c>
      <c r="V180">
        <f t="shared" si="38"/>
        <v>1063371.3527299995</v>
      </c>
      <c r="W180">
        <f t="shared" si="34"/>
        <v>3196.5</v>
      </c>
      <c r="X180" s="6">
        <f t="shared" si="35"/>
        <v>3902.0495999999994</v>
      </c>
      <c r="Y180">
        <f t="shared" si="36"/>
        <v>0.54969674368409005</v>
      </c>
      <c r="Z180">
        <v>202304</v>
      </c>
      <c r="AA180" s="18">
        <v>202301</v>
      </c>
      <c r="AB180" t="str">
        <v>Apr-2023</v>
      </c>
      <c r="AC180">
        <f t="shared" si="37"/>
        <v>3</v>
      </c>
      <c r="AD180" t="str">
        <f t="shared" si="39"/>
        <v>Late</v>
      </c>
      <c r="AE180">
        <f t="shared" si="40"/>
        <v>0</v>
      </c>
      <c r="AF180">
        <f t="shared" si="41"/>
        <v>0</v>
      </c>
    </row>
    <row r="181" spans="1:32" x14ac:dyDescent="0.25">
      <c r="A181" s="3" t="s">
        <v>186</v>
      </c>
      <c r="B181" s="4">
        <v>45890</v>
      </c>
      <c r="C181" s="4" t="str">
        <f t="shared" si="28"/>
        <v>Aug-2025</v>
      </c>
      <c r="D181" s="4" t="str">
        <f t="shared" si="29"/>
        <v>Q3</v>
      </c>
      <c r="E181" s="4">
        <v>45912</v>
      </c>
      <c r="F181" s="10">
        <f t="shared" si="30"/>
        <v>22</v>
      </c>
      <c r="G181" s="3" t="s">
        <v>639</v>
      </c>
      <c r="H181" s="3" t="s">
        <v>651</v>
      </c>
      <c r="I181" s="3" t="s">
        <v>668</v>
      </c>
      <c r="J181" t="str">
        <f t="shared" si="31"/>
        <v>Asia &gt; China &gt; Shenzhen</v>
      </c>
      <c r="K181" s="3" t="s">
        <v>694</v>
      </c>
      <c r="L181" s="3" t="s">
        <v>699</v>
      </c>
      <c r="M181" s="3" t="s">
        <v>709</v>
      </c>
      <c r="N181" s="3" t="s">
        <v>720</v>
      </c>
      <c r="O181" s="3" t="s">
        <v>904</v>
      </c>
      <c r="P181" s="6">
        <v>352.66</v>
      </c>
      <c r="Q181" s="6">
        <v>411.18</v>
      </c>
      <c r="R181" s="6" t="str">
        <f t="shared" si="32"/>
        <v>Low</v>
      </c>
      <c r="S181" s="6">
        <v>0.17299999999999999</v>
      </c>
      <c r="T181" s="6">
        <v>13</v>
      </c>
      <c r="U181">
        <f t="shared" si="33"/>
        <v>4420.5961799999995</v>
      </c>
      <c r="V181">
        <f t="shared" si="38"/>
        <v>1063371.3527299995</v>
      </c>
      <c r="W181">
        <f t="shared" si="34"/>
        <v>4584.58</v>
      </c>
      <c r="X181" s="6">
        <f t="shared" si="35"/>
        <v>-163.98382000000038</v>
      </c>
      <c r="Y181">
        <f t="shared" si="36"/>
        <v>-3.7095408248758066E-2</v>
      </c>
      <c r="Z181">
        <v>202508</v>
      </c>
      <c r="AA181" s="18">
        <v>202301</v>
      </c>
      <c r="AB181" t="str">
        <v>Aug-2023</v>
      </c>
      <c r="AC181">
        <f t="shared" si="37"/>
        <v>31</v>
      </c>
      <c r="AD181" t="str">
        <f t="shared" si="39"/>
        <v>Late</v>
      </c>
      <c r="AE181">
        <f t="shared" si="40"/>
        <v>0</v>
      </c>
      <c r="AF181">
        <f t="shared" si="41"/>
        <v>0</v>
      </c>
    </row>
    <row r="182" spans="1:32" x14ac:dyDescent="0.25">
      <c r="A182" s="3" t="s">
        <v>187</v>
      </c>
      <c r="B182" s="4">
        <v>45915</v>
      </c>
      <c r="C182" s="4" t="str">
        <f t="shared" si="28"/>
        <v>Sept-2025</v>
      </c>
      <c r="D182" s="4" t="str">
        <f t="shared" si="29"/>
        <v>Q3</v>
      </c>
      <c r="E182" s="4">
        <v>45918</v>
      </c>
      <c r="F182" s="10">
        <f t="shared" si="30"/>
        <v>3</v>
      </c>
      <c r="G182" s="3" t="s">
        <v>640</v>
      </c>
      <c r="H182" s="3" t="s">
        <v>647</v>
      </c>
      <c r="I182" s="3" t="s">
        <v>684</v>
      </c>
      <c r="J182" t="str">
        <f t="shared" si="31"/>
        <v>Americas &gt; Brazil &gt; Rio de Janeiro</v>
      </c>
      <c r="K182" s="3" t="s">
        <v>695</v>
      </c>
      <c r="L182" s="3" t="s">
        <v>703</v>
      </c>
      <c r="M182" s="3" t="s">
        <v>708</v>
      </c>
      <c r="N182" s="3" t="s">
        <v>725</v>
      </c>
      <c r="O182" s="3" t="s">
        <v>905</v>
      </c>
      <c r="P182" s="6">
        <v>5.5</v>
      </c>
      <c r="Q182" s="6">
        <v>5.92</v>
      </c>
      <c r="R182" s="6" t="str">
        <f t="shared" si="32"/>
        <v>Low</v>
      </c>
      <c r="S182" s="6">
        <v>0.21199999999999999</v>
      </c>
      <c r="T182" s="6">
        <v>4</v>
      </c>
      <c r="U182">
        <f t="shared" si="33"/>
        <v>18.659839999999999</v>
      </c>
      <c r="V182">
        <f t="shared" si="38"/>
        <v>1063371.3527299995</v>
      </c>
      <c r="W182">
        <f t="shared" si="34"/>
        <v>22</v>
      </c>
      <c r="X182" s="6">
        <f t="shared" si="35"/>
        <v>-3.3401600000000009</v>
      </c>
      <c r="Y182">
        <f t="shared" si="36"/>
        <v>-0.17900260666758133</v>
      </c>
      <c r="Z182">
        <v>202509</v>
      </c>
      <c r="AA182" s="18">
        <v>202301</v>
      </c>
      <c r="AB182" t="str">
        <v>Sept-2023</v>
      </c>
      <c r="AC182">
        <f t="shared" si="37"/>
        <v>32</v>
      </c>
      <c r="AD182" t="str">
        <f t="shared" si="39"/>
        <v>On Time</v>
      </c>
      <c r="AE182">
        <f t="shared" si="40"/>
        <v>1</v>
      </c>
      <c r="AF182">
        <f t="shared" si="41"/>
        <v>1</v>
      </c>
    </row>
    <row r="183" spans="1:32" x14ac:dyDescent="0.25">
      <c r="A183" s="3" t="s">
        <v>188</v>
      </c>
      <c r="B183" s="4">
        <v>45568</v>
      </c>
      <c r="C183" s="4" t="str">
        <f t="shared" si="28"/>
        <v>Oct-2024</v>
      </c>
      <c r="D183" s="4" t="str">
        <f t="shared" si="29"/>
        <v>Q4</v>
      </c>
      <c r="E183" s="4">
        <v>45576</v>
      </c>
      <c r="F183" s="10">
        <f t="shared" si="30"/>
        <v>8</v>
      </c>
      <c r="G183" s="3" t="s">
        <v>639</v>
      </c>
      <c r="H183" s="3" t="s">
        <v>651</v>
      </c>
      <c r="I183" s="3" t="s">
        <v>691</v>
      </c>
      <c r="J183" t="str">
        <f t="shared" si="31"/>
        <v>Asia &gt; China &gt; Beijing</v>
      </c>
      <c r="K183" s="3" t="s">
        <v>698</v>
      </c>
      <c r="L183" s="3" t="s">
        <v>703</v>
      </c>
      <c r="M183" s="3" t="s">
        <v>709</v>
      </c>
      <c r="N183" s="3" t="s">
        <v>722</v>
      </c>
      <c r="O183" s="3" t="s">
        <v>906</v>
      </c>
      <c r="P183" s="6">
        <v>1132.6099999999999</v>
      </c>
      <c r="Q183" s="6">
        <v>2206.63</v>
      </c>
      <c r="R183" s="6" t="str">
        <f t="shared" si="32"/>
        <v>High</v>
      </c>
      <c r="S183" s="6">
        <v>6.3E-2</v>
      </c>
      <c r="T183" s="6">
        <v>20</v>
      </c>
      <c r="U183">
        <f t="shared" si="33"/>
        <v>41352.246200000009</v>
      </c>
      <c r="V183">
        <f t="shared" si="38"/>
        <v>1063371.3527299995</v>
      </c>
      <c r="W183">
        <f t="shared" si="34"/>
        <v>22652.199999999997</v>
      </c>
      <c r="X183" s="6">
        <f t="shared" si="35"/>
        <v>18700.046200000012</v>
      </c>
      <c r="Y183">
        <f t="shared" si="36"/>
        <v>0.45221355351671338</v>
      </c>
      <c r="Z183">
        <v>202410</v>
      </c>
      <c r="AA183" s="18">
        <v>202301</v>
      </c>
      <c r="AB183" t="str">
        <v>Oct-2023</v>
      </c>
      <c r="AC183">
        <f t="shared" si="37"/>
        <v>21</v>
      </c>
      <c r="AD183" t="str">
        <f t="shared" si="39"/>
        <v>Late</v>
      </c>
      <c r="AE183">
        <f t="shared" si="40"/>
        <v>0</v>
      </c>
      <c r="AF183">
        <f t="shared" si="41"/>
        <v>0</v>
      </c>
    </row>
    <row r="184" spans="1:32" x14ac:dyDescent="0.25">
      <c r="A184" s="3" t="s">
        <v>189</v>
      </c>
      <c r="B184" s="4">
        <v>45690</v>
      </c>
      <c r="C184" s="4" t="str">
        <f t="shared" si="28"/>
        <v>Feb-2025</v>
      </c>
      <c r="D184" s="4" t="str">
        <f t="shared" si="29"/>
        <v>Q1</v>
      </c>
      <c r="E184" s="4">
        <v>45720</v>
      </c>
      <c r="F184" s="10">
        <f t="shared" si="30"/>
        <v>30</v>
      </c>
      <c r="G184" s="3" t="s">
        <v>639</v>
      </c>
      <c r="H184" s="3" t="s">
        <v>644</v>
      </c>
      <c r="I184" s="3" t="s">
        <v>658</v>
      </c>
      <c r="J184" t="str">
        <f t="shared" si="31"/>
        <v>Asia &gt; Japan &gt; Osaka</v>
      </c>
      <c r="K184" s="3" t="s">
        <v>694</v>
      </c>
      <c r="L184" s="3" t="s">
        <v>702</v>
      </c>
      <c r="M184" s="3" t="s">
        <v>708</v>
      </c>
      <c r="N184" s="3" t="s">
        <v>725</v>
      </c>
      <c r="O184" s="3" t="s">
        <v>907</v>
      </c>
      <c r="P184" s="6">
        <v>766.59</v>
      </c>
      <c r="Q184" s="6">
        <v>1912.8</v>
      </c>
      <c r="R184" s="6" t="str">
        <f t="shared" si="32"/>
        <v>Medium</v>
      </c>
      <c r="S184" s="6">
        <v>0.19600000000000001</v>
      </c>
      <c r="T184" s="6">
        <v>5</v>
      </c>
      <c r="U184">
        <f t="shared" si="33"/>
        <v>7689.4560000000001</v>
      </c>
      <c r="V184">
        <f t="shared" si="38"/>
        <v>1063371.3527299995</v>
      </c>
      <c r="W184">
        <f t="shared" si="34"/>
        <v>3832.9500000000003</v>
      </c>
      <c r="X184" s="6">
        <f t="shared" si="35"/>
        <v>3856.5059999999999</v>
      </c>
      <c r="Y184">
        <f t="shared" si="36"/>
        <v>0.50153170783472845</v>
      </c>
      <c r="Z184">
        <v>202502</v>
      </c>
      <c r="AA184" s="18">
        <v>202303</v>
      </c>
      <c r="AB184" t="str">
        <v>Feb-2023</v>
      </c>
      <c r="AC184">
        <f t="shared" si="37"/>
        <v>23</v>
      </c>
      <c r="AD184" t="str">
        <f t="shared" si="39"/>
        <v>Late</v>
      </c>
      <c r="AE184">
        <f t="shared" si="40"/>
        <v>0</v>
      </c>
      <c r="AF184">
        <f t="shared" si="41"/>
        <v>0</v>
      </c>
    </row>
    <row r="185" spans="1:32" x14ac:dyDescent="0.25">
      <c r="A185" s="3" t="s">
        <v>190</v>
      </c>
      <c r="B185" s="4">
        <v>45157</v>
      </c>
      <c r="C185" s="4" t="str">
        <f t="shared" si="28"/>
        <v>Aug-2023</v>
      </c>
      <c r="D185" s="4" t="str">
        <f t="shared" si="29"/>
        <v>Q3</v>
      </c>
      <c r="E185" s="4">
        <v>45161</v>
      </c>
      <c r="F185" s="10">
        <f t="shared" si="30"/>
        <v>4</v>
      </c>
      <c r="G185" s="3" t="s">
        <v>638</v>
      </c>
      <c r="H185" s="3" t="s">
        <v>643</v>
      </c>
      <c r="I185" s="3" t="s">
        <v>661</v>
      </c>
      <c r="J185" t="str">
        <f t="shared" si="31"/>
        <v>Africa &gt; Nigeria &gt; Abuja</v>
      </c>
      <c r="K185" s="3" t="s">
        <v>697</v>
      </c>
      <c r="L185" s="3" t="s">
        <v>700</v>
      </c>
      <c r="M185" s="3" t="s">
        <v>705</v>
      </c>
      <c r="N185" s="3" t="s">
        <v>724</v>
      </c>
      <c r="O185" s="3" t="s">
        <v>908</v>
      </c>
      <c r="P185" s="6">
        <v>790.63</v>
      </c>
      <c r="Q185" s="6">
        <v>1382.31</v>
      </c>
      <c r="R185" s="6" t="str">
        <f t="shared" si="32"/>
        <v>Medium</v>
      </c>
      <c r="S185" s="6">
        <v>0.10100000000000001</v>
      </c>
      <c r="T185" s="6">
        <v>7</v>
      </c>
      <c r="U185">
        <f t="shared" si="33"/>
        <v>8698.8768300000011</v>
      </c>
      <c r="V185">
        <f t="shared" si="38"/>
        <v>1063371.3527299995</v>
      </c>
      <c r="W185">
        <f t="shared" si="34"/>
        <v>5534.41</v>
      </c>
      <c r="X185" s="6">
        <f t="shared" si="35"/>
        <v>3164.4668300000012</v>
      </c>
      <c r="Y185">
        <f t="shared" si="36"/>
        <v>0.36377878338116448</v>
      </c>
      <c r="Z185">
        <v>202308</v>
      </c>
      <c r="AA185" s="18">
        <v>202301</v>
      </c>
      <c r="AB185" t="str">
        <v>Aug-2023</v>
      </c>
      <c r="AC185">
        <f t="shared" si="37"/>
        <v>7</v>
      </c>
      <c r="AD185" t="str">
        <f t="shared" si="39"/>
        <v>On Time</v>
      </c>
      <c r="AE185">
        <f t="shared" si="40"/>
        <v>1</v>
      </c>
      <c r="AF185">
        <f t="shared" si="41"/>
        <v>0</v>
      </c>
    </row>
    <row r="186" spans="1:32" x14ac:dyDescent="0.25">
      <c r="A186" s="3" t="s">
        <v>191</v>
      </c>
      <c r="B186" s="4">
        <v>45587</v>
      </c>
      <c r="C186" s="4" t="str">
        <f t="shared" si="28"/>
        <v>Oct-2024</v>
      </c>
      <c r="D186" s="4" t="str">
        <f t="shared" si="29"/>
        <v>Q4</v>
      </c>
      <c r="E186" s="4">
        <v>45594</v>
      </c>
      <c r="F186" s="10">
        <f t="shared" si="30"/>
        <v>7</v>
      </c>
      <c r="G186" s="3" t="s">
        <v>638</v>
      </c>
      <c r="H186" s="3" t="s">
        <v>643</v>
      </c>
      <c r="I186" s="3" t="s">
        <v>655</v>
      </c>
      <c r="J186" t="str">
        <f t="shared" si="31"/>
        <v>Africa &gt; Nigeria &gt; Port Harcourt</v>
      </c>
      <c r="K186" s="3" t="s">
        <v>698</v>
      </c>
      <c r="L186" s="3" t="s">
        <v>702</v>
      </c>
      <c r="M186" s="3" t="s">
        <v>716</v>
      </c>
      <c r="N186" s="3" t="s">
        <v>724</v>
      </c>
      <c r="O186" s="3" t="s">
        <v>909</v>
      </c>
      <c r="P186" s="6">
        <v>1023.06</v>
      </c>
      <c r="Q186" s="6">
        <v>1355.61</v>
      </c>
      <c r="R186" s="6" t="str">
        <f t="shared" si="32"/>
        <v>High</v>
      </c>
      <c r="S186" s="6">
        <v>0.153</v>
      </c>
      <c r="T186" s="6">
        <v>23</v>
      </c>
      <c r="U186">
        <f t="shared" si="33"/>
        <v>26408.63841</v>
      </c>
      <c r="V186">
        <f t="shared" si="38"/>
        <v>1063371.3527299995</v>
      </c>
      <c r="W186">
        <f t="shared" si="34"/>
        <v>23530.379999999997</v>
      </c>
      <c r="X186" s="6">
        <f t="shared" si="35"/>
        <v>2878.2584100000022</v>
      </c>
      <c r="Y186">
        <f t="shared" si="36"/>
        <v>0.10898927711888809</v>
      </c>
      <c r="Z186">
        <v>202410</v>
      </c>
      <c r="AA186" s="18">
        <v>202301</v>
      </c>
      <c r="AB186" t="str">
        <v>Oct-2023</v>
      </c>
      <c r="AC186">
        <f t="shared" si="37"/>
        <v>21</v>
      </c>
      <c r="AD186" t="str">
        <f t="shared" si="39"/>
        <v>On Time</v>
      </c>
      <c r="AE186">
        <f t="shared" si="40"/>
        <v>1</v>
      </c>
      <c r="AF186">
        <f t="shared" si="41"/>
        <v>0</v>
      </c>
    </row>
    <row r="187" spans="1:32" x14ac:dyDescent="0.25">
      <c r="A187" s="3" t="s">
        <v>192</v>
      </c>
      <c r="B187" s="4">
        <v>45099</v>
      </c>
      <c r="C187" s="4" t="str">
        <f t="shared" si="28"/>
        <v>Jun-2023</v>
      </c>
      <c r="D187" s="4" t="str">
        <f t="shared" si="29"/>
        <v>Q2</v>
      </c>
      <c r="E187" s="4">
        <v>45128</v>
      </c>
      <c r="F187" s="10">
        <f t="shared" si="30"/>
        <v>29</v>
      </c>
      <c r="G187" s="3" t="s">
        <v>641</v>
      </c>
      <c r="H187" s="3" t="s">
        <v>649</v>
      </c>
      <c r="I187" s="3" t="s">
        <v>671</v>
      </c>
      <c r="J187" t="str">
        <f t="shared" si="31"/>
        <v>Europe &gt; France &gt; Lyon</v>
      </c>
      <c r="K187" s="3" t="s">
        <v>693</v>
      </c>
      <c r="L187" s="3" t="s">
        <v>699</v>
      </c>
      <c r="M187" s="3" t="s">
        <v>705</v>
      </c>
      <c r="N187" s="3" t="s">
        <v>725</v>
      </c>
      <c r="O187" s="3" t="s">
        <v>910</v>
      </c>
      <c r="P187" s="6">
        <v>734.34</v>
      </c>
      <c r="Q187" s="6">
        <v>887.9</v>
      </c>
      <c r="R187" s="6" t="str">
        <f t="shared" si="32"/>
        <v>Medium</v>
      </c>
      <c r="S187" s="6">
        <v>2.5000000000000001E-2</v>
      </c>
      <c r="T187" s="6">
        <v>12</v>
      </c>
      <c r="U187">
        <f t="shared" si="33"/>
        <v>10388.429999999998</v>
      </c>
      <c r="V187">
        <f t="shared" si="38"/>
        <v>1063371.3527299995</v>
      </c>
      <c r="W187">
        <f t="shared" si="34"/>
        <v>8812.08</v>
      </c>
      <c r="X187" s="6">
        <f t="shared" si="35"/>
        <v>1576.3499999999985</v>
      </c>
      <c r="Y187">
        <f t="shared" si="36"/>
        <v>0.15174092716608753</v>
      </c>
      <c r="Z187">
        <v>202306</v>
      </c>
      <c r="AA187" s="18">
        <v>202301</v>
      </c>
      <c r="AB187" t="str">
        <v>Jun-2023</v>
      </c>
      <c r="AC187">
        <f t="shared" si="37"/>
        <v>5</v>
      </c>
      <c r="AD187" t="str">
        <f t="shared" si="39"/>
        <v>Late</v>
      </c>
      <c r="AE187">
        <f t="shared" si="40"/>
        <v>0</v>
      </c>
      <c r="AF187">
        <f t="shared" si="41"/>
        <v>0</v>
      </c>
    </row>
    <row r="188" spans="1:32" x14ac:dyDescent="0.25">
      <c r="A188" s="3" t="s">
        <v>193</v>
      </c>
      <c r="B188" s="4">
        <v>45670</v>
      </c>
      <c r="C188" s="4" t="str">
        <f t="shared" si="28"/>
        <v>Jan-2025</v>
      </c>
      <c r="D188" s="4" t="str">
        <f t="shared" si="29"/>
        <v>Q1</v>
      </c>
      <c r="E188" s="4">
        <v>45696</v>
      </c>
      <c r="F188" s="10">
        <f t="shared" si="30"/>
        <v>26</v>
      </c>
      <c r="G188" s="3" t="s">
        <v>641</v>
      </c>
      <c r="H188" s="3" t="s">
        <v>649</v>
      </c>
      <c r="I188" s="3" t="s">
        <v>682</v>
      </c>
      <c r="J188" t="str">
        <f t="shared" si="31"/>
        <v>Europe &gt; France &gt; Paris</v>
      </c>
      <c r="K188" s="3" t="s">
        <v>695</v>
      </c>
      <c r="L188" s="3" t="s">
        <v>1413</v>
      </c>
      <c r="M188" s="3" t="s">
        <v>710</v>
      </c>
      <c r="N188" s="3" t="s">
        <v>724</v>
      </c>
      <c r="O188" s="3" t="s">
        <v>911</v>
      </c>
      <c r="P188" s="6">
        <v>594.74</v>
      </c>
      <c r="Q188" s="6">
        <v>1020.69</v>
      </c>
      <c r="R188" s="6" t="str">
        <f t="shared" si="32"/>
        <v>Medium</v>
      </c>
      <c r="S188" s="6">
        <v>0.21099999999999999</v>
      </c>
      <c r="T188" s="6">
        <v>6</v>
      </c>
      <c r="U188">
        <f t="shared" si="33"/>
        <v>4831.9464600000001</v>
      </c>
      <c r="V188">
        <f t="shared" si="38"/>
        <v>1063371.3527299995</v>
      </c>
      <c r="W188">
        <f t="shared" si="34"/>
        <v>3568.44</v>
      </c>
      <c r="X188" s="6">
        <f t="shared" si="35"/>
        <v>1263.5064600000001</v>
      </c>
      <c r="Y188">
        <f t="shared" si="36"/>
        <v>0.26149016146176424</v>
      </c>
      <c r="Z188">
        <v>202501</v>
      </c>
      <c r="AA188" s="18">
        <v>202301</v>
      </c>
      <c r="AB188" t="str">
        <v>Jan-2023</v>
      </c>
      <c r="AC188">
        <f t="shared" si="37"/>
        <v>24</v>
      </c>
      <c r="AD188" t="str">
        <f t="shared" si="39"/>
        <v>Late</v>
      </c>
      <c r="AE188">
        <f t="shared" si="40"/>
        <v>0</v>
      </c>
      <c r="AF188">
        <f t="shared" si="41"/>
        <v>1</v>
      </c>
    </row>
    <row r="189" spans="1:32" x14ac:dyDescent="0.25">
      <c r="A189" s="3" t="s">
        <v>136</v>
      </c>
      <c r="B189" s="4">
        <v>44955</v>
      </c>
      <c r="C189" s="4" t="str">
        <f t="shared" si="28"/>
        <v>Jan-2023</v>
      </c>
      <c r="D189" s="4" t="str">
        <f t="shared" si="29"/>
        <v>Q1</v>
      </c>
      <c r="E189" s="4">
        <v>44985</v>
      </c>
      <c r="F189" s="10">
        <f t="shared" si="30"/>
        <v>30</v>
      </c>
      <c r="G189" s="3" t="s">
        <v>639</v>
      </c>
      <c r="H189" s="3" t="s">
        <v>646</v>
      </c>
      <c r="I189" s="3" t="s">
        <v>660</v>
      </c>
      <c r="J189" t="str">
        <f t="shared" si="31"/>
        <v>Asia &gt; India &gt; Bengaluru</v>
      </c>
      <c r="K189" s="3" t="s">
        <v>695</v>
      </c>
      <c r="L189" s="3" t="s">
        <v>699</v>
      </c>
      <c r="M189" s="3" t="s">
        <v>709</v>
      </c>
      <c r="N189" s="3" t="s">
        <v>725</v>
      </c>
      <c r="O189" s="3" t="s">
        <v>912</v>
      </c>
      <c r="P189" s="6">
        <v>1262.0999999999999</v>
      </c>
      <c r="Q189" s="6">
        <v>1395.53</v>
      </c>
      <c r="R189" s="6" t="str">
        <f t="shared" si="32"/>
        <v>High</v>
      </c>
      <c r="S189" s="6">
        <v>0.23300000000000001</v>
      </c>
      <c r="T189" s="6">
        <v>25</v>
      </c>
      <c r="U189">
        <f t="shared" si="33"/>
        <v>26759.28775</v>
      </c>
      <c r="V189">
        <f t="shared" si="38"/>
        <v>1063371.3527299995</v>
      </c>
      <c r="W189">
        <f t="shared" si="34"/>
        <v>31552.499999999996</v>
      </c>
      <c r="X189" s="6">
        <f t="shared" si="35"/>
        <v>-4793.2122499999969</v>
      </c>
      <c r="Y189">
        <f t="shared" si="36"/>
        <v>-0.17912331205452198</v>
      </c>
      <c r="Z189">
        <v>202301</v>
      </c>
      <c r="AA189" s="18">
        <v>202301</v>
      </c>
      <c r="AB189" t="str">
        <v>Jan-2023</v>
      </c>
      <c r="AC189">
        <f t="shared" si="37"/>
        <v>0</v>
      </c>
      <c r="AD189" t="str">
        <f t="shared" si="39"/>
        <v>Late</v>
      </c>
      <c r="AE189">
        <f t="shared" si="40"/>
        <v>0</v>
      </c>
      <c r="AF189">
        <f t="shared" si="41"/>
        <v>1</v>
      </c>
    </row>
    <row r="190" spans="1:32" x14ac:dyDescent="0.25">
      <c r="A190" s="3" t="s">
        <v>194</v>
      </c>
      <c r="B190" s="4">
        <v>45126</v>
      </c>
      <c r="C190" s="4" t="str">
        <f t="shared" si="28"/>
        <v>Jul-2023</v>
      </c>
      <c r="D190" s="4" t="str">
        <f t="shared" si="29"/>
        <v>Q3</v>
      </c>
      <c r="E190" s="4">
        <v>45138</v>
      </c>
      <c r="F190" s="10">
        <f t="shared" si="30"/>
        <v>12</v>
      </c>
      <c r="G190" s="3" t="s">
        <v>640</v>
      </c>
      <c r="H190" s="3" t="s">
        <v>647</v>
      </c>
      <c r="I190" s="3" t="s">
        <v>684</v>
      </c>
      <c r="J190" t="str">
        <f t="shared" si="31"/>
        <v>Americas &gt; Brazil &gt; Rio de Janeiro</v>
      </c>
      <c r="K190" s="3" t="s">
        <v>693</v>
      </c>
      <c r="L190" s="3" t="s">
        <v>699</v>
      </c>
      <c r="M190" s="3" t="s">
        <v>704</v>
      </c>
      <c r="N190" s="3" t="s">
        <v>724</v>
      </c>
      <c r="O190" s="3" t="s">
        <v>913</v>
      </c>
      <c r="P190" s="6">
        <v>1334.64</v>
      </c>
      <c r="Q190" s="6">
        <v>2273.42</v>
      </c>
      <c r="R190" s="6" t="str">
        <f t="shared" si="32"/>
        <v>High</v>
      </c>
      <c r="S190" s="6">
        <v>0.11799999999999999</v>
      </c>
      <c r="T190" s="6">
        <v>14</v>
      </c>
      <c r="U190">
        <f t="shared" si="33"/>
        <v>28072.190160000002</v>
      </c>
      <c r="V190">
        <f t="shared" si="38"/>
        <v>1063371.3527299995</v>
      </c>
      <c r="W190">
        <f t="shared" si="34"/>
        <v>18684.960000000003</v>
      </c>
      <c r="X190" s="6">
        <f t="shared" si="35"/>
        <v>9387.2301599999992</v>
      </c>
      <c r="Y190">
        <f t="shared" si="36"/>
        <v>0.33439607335575267</v>
      </c>
      <c r="Z190">
        <v>202307</v>
      </c>
      <c r="AA190" s="18">
        <v>202301</v>
      </c>
      <c r="AB190" t="str">
        <v>Jul-2023</v>
      </c>
      <c r="AC190">
        <f t="shared" si="37"/>
        <v>6</v>
      </c>
      <c r="AD190" t="str">
        <f t="shared" si="39"/>
        <v>Late</v>
      </c>
      <c r="AE190">
        <f t="shared" si="40"/>
        <v>0</v>
      </c>
      <c r="AF190">
        <f t="shared" si="41"/>
        <v>0</v>
      </c>
    </row>
    <row r="191" spans="1:32" x14ac:dyDescent="0.25">
      <c r="A191" s="3" t="s">
        <v>195</v>
      </c>
      <c r="B191" s="4">
        <v>45431</v>
      </c>
      <c r="C191" s="4" t="str">
        <f t="shared" si="28"/>
        <v>May-2024</v>
      </c>
      <c r="D191" s="4" t="str">
        <f t="shared" si="29"/>
        <v>Q2</v>
      </c>
      <c r="E191" s="4">
        <v>45451</v>
      </c>
      <c r="F191" s="10">
        <f t="shared" si="30"/>
        <v>20</v>
      </c>
      <c r="G191" s="3" t="s">
        <v>640</v>
      </c>
      <c r="H191" s="3" t="s">
        <v>647</v>
      </c>
      <c r="I191" s="3" t="s">
        <v>664</v>
      </c>
      <c r="J191" t="str">
        <f t="shared" si="31"/>
        <v>Americas &gt; Brazil &gt; Brasília</v>
      </c>
      <c r="K191" s="3" t="s">
        <v>697</v>
      </c>
      <c r="L191" s="3" t="s">
        <v>699</v>
      </c>
      <c r="M191" s="3" t="s">
        <v>710</v>
      </c>
      <c r="N191" s="3" t="s">
        <v>724</v>
      </c>
      <c r="O191" s="3" t="s">
        <v>914</v>
      </c>
      <c r="P191" s="6">
        <v>1075.9000000000001</v>
      </c>
      <c r="Q191" s="6">
        <v>1242.1500000000001</v>
      </c>
      <c r="R191" s="6" t="str">
        <f t="shared" si="32"/>
        <v>High</v>
      </c>
      <c r="S191" s="6">
        <v>1.2E-2</v>
      </c>
      <c r="T191" s="6">
        <v>7</v>
      </c>
      <c r="U191">
        <f t="shared" si="33"/>
        <v>8590.7094000000016</v>
      </c>
      <c r="V191">
        <f t="shared" si="38"/>
        <v>1063371.3527299995</v>
      </c>
      <c r="W191">
        <f t="shared" si="34"/>
        <v>7531.3000000000011</v>
      </c>
      <c r="X191" s="6">
        <f t="shared" si="35"/>
        <v>1059.4094000000005</v>
      </c>
      <c r="Y191">
        <f t="shared" si="36"/>
        <v>0.12332036280961853</v>
      </c>
      <c r="Z191">
        <v>202405</v>
      </c>
      <c r="AA191" s="18">
        <v>202301</v>
      </c>
      <c r="AB191" t="str">
        <v>May-2023</v>
      </c>
      <c r="AC191">
        <f t="shared" si="37"/>
        <v>16</v>
      </c>
      <c r="AD191" t="str">
        <f t="shared" si="39"/>
        <v>Late</v>
      </c>
      <c r="AE191">
        <f t="shared" si="40"/>
        <v>0</v>
      </c>
      <c r="AF191">
        <f t="shared" si="41"/>
        <v>0</v>
      </c>
    </row>
    <row r="192" spans="1:32" x14ac:dyDescent="0.25">
      <c r="A192" s="3" t="s">
        <v>196</v>
      </c>
      <c r="B192" s="4">
        <v>45325</v>
      </c>
      <c r="C192" s="4" t="str">
        <f t="shared" si="28"/>
        <v>Feb-2024</v>
      </c>
      <c r="D192" s="4" t="str">
        <f t="shared" si="29"/>
        <v>Q1</v>
      </c>
      <c r="E192" s="4">
        <v>45341</v>
      </c>
      <c r="F192" s="10">
        <f t="shared" si="30"/>
        <v>16</v>
      </c>
      <c r="G192" s="3" t="s">
        <v>639</v>
      </c>
      <c r="H192" s="3" t="s">
        <v>651</v>
      </c>
      <c r="I192" s="3" t="s">
        <v>668</v>
      </c>
      <c r="J192" t="str">
        <f t="shared" si="31"/>
        <v>Asia &gt; China &gt; Shenzhen</v>
      </c>
      <c r="K192" s="3" t="s">
        <v>697</v>
      </c>
      <c r="L192" s="3" t="s">
        <v>700</v>
      </c>
      <c r="M192" s="3" t="s">
        <v>714</v>
      </c>
      <c r="N192" s="3" t="s">
        <v>723</v>
      </c>
      <c r="O192" s="3" t="s">
        <v>915</v>
      </c>
      <c r="P192" s="6">
        <v>993.75</v>
      </c>
      <c r="Q192" s="6">
        <v>1310.29</v>
      </c>
      <c r="R192" s="6" t="str">
        <f t="shared" si="32"/>
        <v>Medium</v>
      </c>
      <c r="S192" s="6">
        <v>0.215</v>
      </c>
      <c r="T192" s="6">
        <v>19</v>
      </c>
      <c r="U192">
        <f t="shared" si="33"/>
        <v>19542.975350000001</v>
      </c>
      <c r="V192">
        <f t="shared" si="38"/>
        <v>1063371.3527299995</v>
      </c>
      <c r="W192">
        <f t="shared" si="34"/>
        <v>18881.25</v>
      </c>
      <c r="X192" s="6">
        <f t="shared" si="35"/>
        <v>661.72535000000062</v>
      </c>
      <c r="Y192">
        <f t="shared" si="36"/>
        <v>3.3860010471742245E-2</v>
      </c>
      <c r="Z192">
        <v>202402</v>
      </c>
      <c r="AA192" s="18">
        <v>202301</v>
      </c>
      <c r="AB192" t="str">
        <v>Feb-2023</v>
      </c>
      <c r="AC192">
        <f t="shared" si="37"/>
        <v>13</v>
      </c>
      <c r="AD192" t="str">
        <f t="shared" si="39"/>
        <v>Late</v>
      </c>
      <c r="AE192">
        <f t="shared" si="40"/>
        <v>0</v>
      </c>
      <c r="AF192">
        <f t="shared" si="41"/>
        <v>1</v>
      </c>
    </row>
    <row r="193" spans="1:32" x14ac:dyDescent="0.25">
      <c r="A193" s="3" t="s">
        <v>197</v>
      </c>
      <c r="B193" s="4">
        <v>45146</v>
      </c>
      <c r="C193" s="4" t="str">
        <f t="shared" si="28"/>
        <v>Aug-2023</v>
      </c>
      <c r="D193" s="4" t="str">
        <f t="shared" si="29"/>
        <v>Q3</v>
      </c>
      <c r="E193" s="4">
        <v>45160</v>
      </c>
      <c r="F193" s="10">
        <f t="shared" si="30"/>
        <v>14</v>
      </c>
      <c r="G193" s="3" t="s">
        <v>641</v>
      </c>
      <c r="H193" s="3" t="s">
        <v>650</v>
      </c>
      <c r="I193" s="3" t="s">
        <v>666</v>
      </c>
      <c r="J193" t="str">
        <f t="shared" si="31"/>
        <v>Europe &gt; United Kingdom &gt; Birmingham</v>
      </c>
      <c r="K193" s="3" t="s">
        <v>695</v>
      </c>
      <c r="L193" s="3" t="s">
        <v>703</v>
      </c>
      <c r="M193" s="3" t="s">
        <v>717</v>
      </c>
      <c r="N193" s="3" t="s">
        <v>724</v>
      </c>
      <c r="O193" s="3" t="s">
        <v>916</v>
      </c>
      <c r="P193" s="6">
        <v>446.69</v>
      </c>
      <c r="Q193" s="6">
        <v>967.25</v>
      </c>
      <c r="R193" s="6" t="str">
        <f t="shared" si="32"/>
        <v>Low</v>
      </c>
      <c r="S193" s="6">
        <v>9.4E-2</v>
      </c>
      <c r="T193" s="6">
        <v>10</v>
      </c>
      <c r="U193">
        <f t="shared" si="33"/>
        <v>8763.2849999999999</v>
      </c>
      <c r="V193">
        <f t="shared" si="38"/>
        <v>1063371.3527299995</v>
      </c>
      <c r="W193">
        <f t="shared" si="34"/>
        <v>4466.8999999999996</v>
      </c>
      <c r="X193" s="6">
        <f t="shared" si="35"/>
        <v>4296.3850000000002</v>
      </c>
      <c r="Y193">
        <f t="shared" si="36"/>
        <v>0.49027105702941309</v>
      </c>
      <c r="Z193">
        <v>202308</v>
      </c>
      <c r="AA193" s="18">
        <v>202301</v>
      </c>
      <c r="AB193" t="str">
        <v>Aug-2023</v>
      </c>
      <c r="AC193">
        <f t="shared" si="37"/>
        <v>7</v>
      </c>
      <c r="AD193" t="str">
        <f t="shared" si="39"/>
        <v>Late</v>
      </c>
      <c r="AE193">
        <f t="shared" si="40"/>
        <v>0</v>
      </c>
      <c r="AF193">
        <f t="shared" si="41"/>
        <v>0</v>
      </c>
    </row>
    <row r="194" spans="1:32" x14ac:dyDescent="0.25">
      <c r="A194" s="3" t="s">
        <v>198</v>
      </c>
      <c r="B194" s="4">
        <v>45516</v>
      </c>
      <c r="C194" s="4" t="str">
        <f t="shared" ref="C194:C257" si="42">TEXT(B194,"MMM-YYYY")</f>
        <v>Aug-2024</v>
      </c>
      <c r="D194" s="4" t="str">
        <f t="shared" ref="D194:D257" si="43">IF(MONTH(B194)&lt;=3,"Q1",IF(MONTH(B194)&lt;=6,"Q2",IF(MONTH(B194)&lt;=9,"Q3","Q4")))</f>
        <v>Q3</v>
      </c>
      <c r="E194" s="4">
        <v>45538</v>
      </c>
      <c r="F194" s="10">
        <f t="shared" ref="F194:F257" si="44">ABS(E194-B194)</f>
        <v>22</v>
      </c>
      <c r="G194" s="3" t="s">
        <v>640</v>
      </c>
      <c r="H194" s="3" t="s">
        <v>652</v>
      </c>
      <c r="I194" s="3" t="s">
        <v>689</v>
      </c>
      <c r="J194" t="str">
        <f t="shared" ref="J194:J257" si="45">G194 &amp; " &gt; " &amp; H194 &amp; " &gt; " &amp; I194</f>
        <v>Americas &gt; USA &gt; Austin</v>
      </c>
      <c r="K194" s="3" t="s">
        <v>696</v>
      </c>
      <c r="L194" s="3" t="s">
        <v>702</v>
      </c>
      <c r="M194" s="3" t="s">
        <v>706</v>
      </c>
      <c r="N194" s="3" t="s">
        <v>723</v>
      </c>
      <c r="O194" s="3" t="s">
        <v>917</v>
      </c>
      <c r="P194" s="6">
        <v>797.8</v>
      </c>
      <c r="Q194" s="6">
        <v>886.22</v>
      </c>
      <c r="R194" s="6" t="str">
        <f t="shared" ref="R194:R257" si="46">IF(P194&lt;=500,"Low",IF(P194&lt;=1000,"Medium","High"))</f>
        <v>Medium</v>
      </c>
      <c r="S194" s="6">
        <v>0.23599999999999999</v>
      </c>
      <c r="T194" s="6">
        <v>36</v>
      </c>
      <c r="U194">
        <f t="shared" ref="U194:U257" si="47">(Q194*T194*(1-S194))</f>
        <v>24374.594880000001</v>
      </c>
      <c r="V194">
        <f t="shared" si="38"/>
        <v>1063371.3527299995</v>
      </c>
      <c r="W194">
        <f t="shared" ref="W194:W257" si="48">(P194*T194)</f>
        <v>28720.799999999999</v>
      </c>
      <c r="X194" s="6">
        <f t="shared" ref="X194:X257" si="49">(U194-W194)</f>
        <v>-4346.2051199999987</v>
      </c>
      <c r="Y194">
        <f t="shared" ref="Y194:Y257" si="50">IF(U194=0,0,X194/U194)</f>
        <v>-0.17830881462428633</v>
      </c>
      <c r="Z194">
        <v>202408</v>
      </c>
      <c r="AA194" s="18">
        <v>202301</v>
      </c>
      <c r="AB194" t="str">
        <v>Aug-2023</v>
      </c>
      <c r="AC194">
        <f t="shared" ref="AC194:AC257" si="51">DATEDIF(DATE(LEFT(AA194,4),RIGHT(AA194,2),1),B194,"M")</f>
        <v>19</v>
      </c>
      <c r="AD194" t="str">
        <f t="shared" si="39"/>
        <v>Late</v>
      </c>
      <c r="AE194">
        <f t="shared" si="40"/>
        <v>0</v>
      </c>
      <c r="AF194">
        <f t="shared" si="41"/>
        <v>1</v>
      </c>
    </row>
    <row r="195" spans="1:32" x14ac:dyDescent="0.25">
      <c r="A195" s="3" t="s">
        <v>199</v>
      </c>
      <c r="B195" s="4">
        <v>45214</v>
      </c>
      <c r="C195" s="4" t="str">
        <f t="shared" si="42"/>
        <v>Oct-2023</v>
      </c>
      <c r="D195" s="4" t="str">
        <f t="shared" si="43"/>
        <v>Q4</v>
      </c>
      <c r="E195" s="4">
        <v>45243</v>
      </c>
      <c r="F195" s="10">
        <f t="shared" si="44"/>
        <v>29</v>
      </c>
      <c r="G195" s="3" t="s">
        <v>639</v>
      </c>
      <c r="H195" s="3" t="s">
        <v>651</v>
      </c>
      <c r="I195" s="3" t="s">
        <v>668</v>
      </c>
      <c r="J195" t="str">
        <f t="shared" si="45"/>
        <v>Asia &gt; China &gt; Shenzhen</v>
      </c>
      <c r="K195" s="3" t="s">
        <v>695</v>
      </c>
      <c r="L195" s="3" t="s">
        <v>702</v>
      </c>
      <c r="M195" s="3" t="s">
        <v>705</v>
      </c>
      <c r="N195" s="3" t="s">
        <v>720</v>
      </c>
      <c r="O195" s="3" t="s">
        <v>918</v>
      </c>
      <c r="P195" s="6">
        <v>986.44</v>
      </c>
      <c r="Q195" s="6">
        <v>790.61</v>
      </c>
      <c r="R195" s="6" t="str">
        <f t="shared" si="46"/>
        <v>Medium</v>
      </c>
      <c r="S195" s="6">
        <v>7.1999999999999995E-2</v>
      </c>
      <c r="T195" s="6">
        <v>6</v>
      </c>
      <c r="U195">
        <f t="shared" si="47"/>
        <v>4402.1164799999997</v>
      </c>
      <c r="V195">
        <f t="shared" ref="V195:V258" si="52">SUMIFS(U195:U826,N195:N826,"Components")</f>
        <v>1063371.3527299995</v>
      </c>
      <c r="W195">
        <f t="shared" si="48"/>
        <v>5918.64</v>
      </c>
      <c r="X195" s="6">
        <f t="shared" si="49"/>
        <v>-1516.5235200000006</v>
      </c>
      <c r="Y195">
        <f t="shared" si="50"/>
        <v>-0.34449872621271499</v>
      </c>
      <c r="Z195">
        <v>202310</v>
      </c>
      <c r="AA195" s="18">
        <v>202301</v>
      </c>
      <c r="AB195" t="str">
        <v>Oct-2023</v>
      </c>
      <c r="AC195">
        <f t="shared" si="51"/>
        <v>9</v>
      </c>
      <c r="AD195" t="str">
        <f t="shared" ref="AD195:AD258" si="53">IF(F195&lt;=7,"On Time","Late")</f>
        <v>Late</v>
      </c>
      <c r="AE195">
        <f t="shared" ref="AE195:AE258" si="54">IF(F195&lt;=7,1,0)</f>
        <v>0</v>
      </c>
      <c r="AF195">
        <f t="shared" ref="AF195:AF258" si="55">IF(S195&gt;0.2,1,0)</f>
        <v>0</v>
      </c>
    </row>
    <row r="196" spans="1:32" x14ac:dyDescent="0.25">
      <c r="A196" s="3" t="s">
        <v>200</v>
      </c>
      <c r="B196" s="4">
        <v>45050</v>
      </c>
      <c r="C196" s="4" t="str">
        <f t="shared" si="42"/>
        <v>May-2023</v>
      </c>
      <c r="D196" s="4" t="str">
        <f t="shared" si="43"/>
        <v>Q2</v>
      </c>
      <c r="E196" s="4">
        <v>45072</v>
      </c>
      <c r="F196" s="10">
        <f t="shared" si="44"/>
        <v>22</v>
      </c>
      <c r="G196" s="3" t="s">
        <v>640</v>
      </c>
      <c r="H196" s="3" t="s">
        <v>652</v>
      </c>
      <c r="I196" s="3" t="s">
        <v>678</v>
      </c>
      <c r="J196" t="str">
        <f t="shared" si="45"/>
        <v>Americas &gt; USA &gt; San Francisco</v>
      </c>
      <c r="K196" s="3" t="s">
        <v>698</v>
      </c>
      <c r="L196" s="3" t="s">
        <v>700</v>
      </c>
      <c r="M196" s="3" t="s">
        <v>705</v>
      </c>
      <c r="N196" s="3" t="s">
        <v>721</v>
      </c>
      <c r="O196" s="3" t="s">
        <v>919</v>
      </c>
      <c r="P196" s="6">
        <v>249.71</v>
      </c>
      <c r="Q196" s="6">
        <v>361.33</v>
      </c>
      <c r="R196" s="6" t="str">
        <f t="shared" si="46"/>
        <v>Low</v>
      </c>
      <c r="S196" s="6">
        <v>9.4E-2</v>
      </c>
      <c r="T196" s="6">
        <v>12</v>
      </c>
      <c r="U196">
        <f t="shared" si="47"/>
        <v>3928.3797600000003</v>
      </c>
      <c r="V196">
        <f t="shared" si="52"/>
        <v>1063371.3527299995</v>
      </c>
      <c r="W196">
        <f t="shared" si="48"/>
        <v>2996.52</v>
      </c>
      <c r="X196" s="6">
        <f t="shared" si="49"/>
        <v>931.85976000000028</v>
      </c>
      <c r="Y196">
        <f t="shared" si="50"/>
        <v>0.23721223937881206</v>
      </c>
      <c r="Z196">
        <v>202305</v>
      </c>
      <c r="AA196" s="18">
        <v>202301</v>
      </c>
      <c r="AB196" t="str">
        <v>May-2023</v>
      </c>
      <c r="AC196">
        <f t="shared" si="51"/>
        <v>4</v>
      </c>
      <c r="AD196" t="str">
        <f t="shared" si="53"/>
        <v>Late</v>
      </c>
      <c r="AE196">
        <f t="shared" si="54"/>
        <v>0</v>
      </c>
      <c r="AF196">
        <f t="shared" si="55"/>
        <v>0</v>
      </c>
    </row>
    <row r="197" spans="1:32" x14ac:dyDescent="0.25">
      <c r="A197" s="3" t="s">
        <v>201</v>
      </c>
      <c r="B197" s="4">
        <v>45557</v>
      </c>
      <c r="C197" s="4" t="str">
        <f t="shared" si="42"/>
        <v>Sept-2024</v>
      </c>
      <c r="D197" s="4" t="str">
        <f t="shared" si="43"/>
        <v>Q3</v>
      </c>
      <c r="E197" s="4">
        <v>45566</v>
      </c>
      <c r="F197" s="10">
        <f t="shared" si="44"/>
        <v>9</v>
      </c>
      <c r="G197" s="3" t="s">
        <v>640</v>
      </c>
      <c r="H197" s="3" t="s">
        <v>647</v>
      </c>
      <c r="I197" s="3" t="s">
        <v>662</v>
      </c>
      <c r="J197" t="str">
        <f t="shared" si="45"/>
        <v>Americas &gt; Brazil &gt; São Paulo</v>
      </c>
      <c r="K197" s="3" t="s">
        <v>695</v>
      </c>
      <c r="L197" s="3" t="s">
        <v>700</v>
      </c>
      <c r="M197" s="3" t="s">
        <v>715</v>
      </c>
      <c r="N197" s="3" t="s">
        <v>724</v>
      </c>
      <c r="O197" s="3" t="s">
        <v>920</v>
      </c>
      <c r="P197" s="6">
        <v>1378.8</v>
      </c>
      <c r="Q197" s="6">
        <v>1952.04</v>
      </c>
      <c r="R197" s="6" t="str">
        <f t="shared" si="46"/>
        <v>High</v>
      </c>
      <c r="S197" s="6">
        <v>0.159</v>
      </c>
      <c r="T197" s="6">
        <v>19</v>
      </c>
      <c r="U197">
        <f t="shared" si="47"/>
        <v>31191.64716</v>
      </c>
      <c r="V197">
        <f t="shared" si="52"/>
        <v>1063371.3527299995</v>
      </c>
      <c r="W197">
        <f t="shared" si="48"/>
        <v>26197.200000000001</v>
      </c>
      <c r="X197" s="6">
        <f t="shared" si="49"/>
        <v>4994.4471599999997</v>
      </c>
      <c r="Y197">
        <f t="shared" si="50"/>
        <v>0.16012130216723058</v>
      </c>
      <c r="Z197">
        <v>202409</v>
      </c>
      <c r="AA197" s="18">
        <v>202301</v>
      </c>
      <c r="AB197" t="str">
        <v>Sept-2023</v>
      </c>
      <c r="AC197">
        <f t="shared" si="51"/>
        <v>20</v>
      </c>
      <c r="AD197" t="str">
        <f t="shared" si="53"/>
        <v>Late</v>
      </c>
      <c r="AE197">
        <f t="shared" si="54"/>
        <v>0</v>
      </c>
      <c r="AF197">
        <f t="shared" si="55"/>
        <v>0</v>
      </c>
    </row>
    <row r="198" spans="1:32" x14ac:dyDescent="0.25">
      <c r="A198" s="3" t="s">
        <v>202</v>
      </c>
      <c r="B198" s="4">
        <v>45588</v>
      </c>
      <c r="C198" s="4" t="str">
        <f t="shared" si="42"/>
        <v>Oct-2024</v>
      </c>
      <c r="D198" s="4" t="str">
        <f t="shared" si="43"/>
        <v>Q4</v>
      </c>
      <c r="E198" s="4">
        <v>45610</v>
      </c>
      <c r="F198" s="10">
        <f t="shared" si="44"/>
        <v>22</v>
      </c>
      <c r="G198" s="3" t="s">
        <v>639</v>
      </c>
      <c r="H198" s="3" t="s">
        <v>644</v>
      </c>
      <c r="I198" s="3" t="s">
        <v>658</v>
      </c>
      <c r="J198" t="str">
        <f t="shared" si="45"/>
        <v>Asia &gt; Japan &gt; Osaka</v>
      </c>
      <c r="K198" s="3" t="s">
        <v>695</v>
      </c>
      <c r="L198" s="3" t="s">
        <v>703</v>
      </c>
      <c r="M198" s="3" t="s">
        <v>709</v>
      </c>
      <c r="N198" s="3" t="s">
        <v>722</v>
      </c>
      <c r="O198" s="3" t="s">
        <v>921</v>
      </c>
      <c r="P198" s="6">
        <v>1406.4</v>
      </c>
      <c r="Q198" s="6">
        <v>1564.76</v>
      </c>
      <c r="R198" s="6" t="str">
        <f t="shared" si="46"/>
        <v>High</v>
      </c>
      <c r="S198" s="6">
        <v>0.185</v>
      </c>
      <c r="T198" s="6">
        <v>17</v>
      </c>
      <c r="U198">
        <f t="shared" si="47"/>
        <v>21679.749799999998</v>
      </c>
      <c r="V198">
        <f t="shared" si="52"/>
        <v>1063371.3527299995</v>
      </c>
      <c r="W198">
        <f t="shared" si="48"/>
        <v>23908.800000000003</v>
      </c>
      <c r="X198" s="6">
        <f t="shared" si="49"/>
        <v>-2229.0502000000051</v>
      </c>
      <c r="Y198">
        <f t="shared" si="50"/>
        <v>-0.10281715520536151</v>
      </c>
      <c r="Z198">
        <v>202410</v>
      </c>
      <c r="AA198" s="18">
        <v>202303</v>
      </c>
      <c r="AB198" t="str">
        <v>Oct-2023</v>
      </c>
      <c r="AC198">
        <f t="shared" si="51"/>
        <v>19</v>
      </c>
      <c r="AD198" t="str">
        <f t="shared" si="53"/>
        <v>Late</v>
      </c>
      <c r="AE198">
        <f t="shared" si="54"/>
        <v>0</v>
      </c>
      <c r="AF198">
        <f t="shared" si="55"/>
        <v>0</v>
      </c>
    </row>
    <row r="199" spans="1:32" x14ac:dyDescent="0.25">
      <c r="A199" s="3" t="s">
        <v>203</v>
      </c>
      <c r="B199" s="4">
        <v>45333</v>
      </c>
      <c r="C199" s="4" t="str">
        <f t="shared" si="42"/>
        <v>Feb-2024</v>
      </c>
      <c r="D199" s="4" t="str">
        <f t="shared" si="43"/>
        <v>Q1</v>
      </c>
      <c r="E199" s="4">
        <v>45354</v>
      </c>
      <c r="F199" s="10">
        <f t="shared" si="44"/>
        <v>21</v>
      </c>
      <c r="G199" s="3" t="s">
        <v>638</v>
      </c>
      <c r="H199" s="3" t="s">
        <v>642</v>
      </c>
      <c r="I199" s="3" t="s">
        <v>654</v>
      </c>
      <c r="J199" t="str">
        <f t="shared" si="45"/>
        <v>Africa &gt; Kenya &gt; Kisumu</v>
      </c>
      <c r="K199" s="3" t="s">
        <v>698</v>
      </c>
      <c r="L199" s="3" t="s">
        <v>700</v>
      </c>
      <c r="M199" s="3" t="s">
        <v>709</v>
      </c>
      <c r="N199" s="3" t="s">
        <v>722</v>
      </c>
      <c r="O199" s="3" t="s">
        <v>922</v>
      </c>
      <c r="P199" s="6">
        <v>516.86</v>
      </c>
      <c r="Q199" s="6">
        <v>852.54</v>
      </c>
      <c r="R199" s="6" t="str">
        <f t="shared" si="46"/>
        <v>Medium</v>
      </c>
      <c r="S199" s="6">
        <v>5.0999999999999997E-2</v>
      </c>
      <c r="T199" s="6">
        <v>14</v>
      </c>
      <c r="U199">
        <f t="shared" si="47"/>
        <v>11326.846439999999</v>
      </c>
      <c r="V199">
        <f t="shared" si="52"/>
        <v>1063371.3527299995</v>
      </c>
      <c r="W199">
        <f t="shared" si="48"/>
        <v>7236.04</v>
      </c>
      <c r="X199" s="6">
        <f t="shared" si="49"/>
        <v>4090.8064399999994</v>
      </c>
      <c r="Y199">
        <f t="shared" si="50"/>
        <v>0.36116022775355994</v>
      </c>
      <c r="Z199">
        <v>202402</v>
      </c>
      <c r="AA199" s="18">
        <v>202301</v>
      </c>
      <c r="AB199" t="str">
        <v>Feb-2023</v>
      </c>
      <c r="AC199">
        <f t="shared" si="51"/>
        <v>13</v>
      </c>
      <c r="AD199" t="str">
        <f t="shared" si="53"/>
        <v>Late</v>
      </c>
      <c r="AE199">
        <f t="shared" si="54"/>
        <v>0</v>
      </c>
      <c r="AF199">
        <f t="shared" si="55"/>
        <v>0</v>
      </c>
    </row>
    <row r="200" spans="1:32" x14ac:dyDescent="0.25">
      <c r="A200" s="3" t="s">
        <v>204</v>
      </c>
      <c r="B200" s="4">
        <v>44956</v>
      </c>
      <c r="C200" s="4" t="str">
        <f t="shared" si="42"/>
        <v>Jan-2023</v>
      </c>
      <c r="D200" s="4" t="str">
        <f t="shared" si="43"/>
        <v>Q1</v>
      </c>
      <c r="E200" s="4">
        <v>44978</v>
      </c>
      <c r="F200" s="10">
        <f t="shared" si="44"/>
        <v>22</v>
      </c>
      <c r="G200" s="3" t="s">
        <v>641</v>
      </c>
      <c r="H200" s="3" t="s">
        <v>648</v>
      </c>
      <c r="I200" s="3" t="s">
        <v>676</v>
      </c>
      <c r="J200" t="str">
        <f t="shared" si="45"/>
        <v>Europe &gt; Germany &gt; Munich</v>
      </c>
      <c r="K200" s="3" t="s">
        <v>697</v>
      </c>
      <c r="L200" s="3" t="s">
        <v>701</v>
      </c>
      <c r="M200" s="3" t="s">
        <v>707</v>
      </c>
      <c r="N200" s="3" t="s">
        <v>721</v>
      </c>
      <c r="O200" s="3" t="s">
        <v>923</v>
      </c>
      <c r="P200" s="6">
        <v>1142.8800000000001</v>
      </c>
      <c r="Q200" s="6">
        <v>1465.29</v>
      </c>
      <c r="R200" s="6" t="str">
        <f t="shared" si="46"/>
        <v>High</v>
      </c>
      <c r="S200" s="6">
        <v>0.186</v>
      </c>
      <c r="T200" s="6">
        <v>7</v>
      </c>
      <c r="U200">
        <f t="shared" si="47"/>
        <v>8349.2224200000001</v>
      </c>
      <c r="V200">
        <f t="shared" si="52"/>
        <v>1063371.3527299995</v>
      </c>
      <c r="W200">
        <f t="shared" si="48"/>
        <v>8000.1600000000008</v>
      </c>
      <c r="X200" s="6">
        <f t="shared" si="49"/>
        <v>349.06241999999929</v>
      </c>
      <c r="Y200">
        <f t="shared" si="50"/>
        <v>4.1807775915017401E-2</v>
      </c>
      <c r="Z200">
        <v>202301</v>
      </c>
      <c r="AA200" s="18">
        <v>202301</v>
      </c>
      <c r="AB200" t="str">
        <v>Jan-2023</v>
      </c>
      <c r="AC200">
        <f t="shared" si="51"/>
        <v>0</v>
      </c>
      <c r="AD200" t="str">
        <f t="shared" si="53"/>
        <v>Late</v>
      </c>
      <c r="AE200">
        <f t="shared" si="54"/>
        <v>0</v>
      </c>
      <c r="AF200">
        <f t="shared" si="55"/>
        <v>0</v>
      </c>
    </row>
    <row r="201" spans="1:32" x14ac:dyDescent="0.25">
      <c r="A201" s="3" t="s">
        <v>205</v>
      </c>
      <c r="B201" s="4">
        <v>45030</v>
      </c>
      <c r="C201" s="4" t="str">
        <f t="shared" si="42"/>
        <v>Apr-2023</v>
      </c>
      <c r="D201" s="4" t="str">
        <f t="shared" si="43"/>
        <v>Q2</v>
      </c>
      <c r="E201" s="4">
        <v>45059</v>
      </c>
      <c r="F201" s="10">
        <f t="shared" si="44"/>
        <v>29</v>
      </c>
      <c r="G201" s="3" t="s">
        <v>641</v>
      </c>
      <c r="H201" s="3" t="s">
        <v>648</v>
      </c>
      <c r="I201" s="3" t="s">
        <v>690</v>
      </c>
      <c r="J201" t="str">
        <f t="shared" si="45"/>
        <v>Europe &gt; Germany &gt; Frankfurt</v>
      </c>
      <c r="K201" s="3" t="s">
        <v>696</v>
      </c>
      <c r="L201" s="3" t="s">
        <v>703</v>
      </c>
      <c r="M201" s="3" t="s">
        <v>705</v>
      </c>
      <c r="N201" s="3" t="s">
        <v>720</v>
      </c>
      <c r="O201" s="3" t="s">
        <v>924</v>
      </c>
      <c r="P201" s="6">
        <v>1320.33</v>
      </c>
      <c r="Q201" s="6">
        <v>2645.23</v>
      </c>
      <c r="R201" s="6" t="str">
        <f t="shared" si="46"/>
        <v>High</v>
      </c>
      <c r="S201" s="6">
        <v>0.155</v>
      </c>
      <c r="T201" s="6">
        <v>25</v>
      </c>
      <c r="U201">
        <f t="shared" si="47"/>
        <v>55880.483749999999</v>
      </c>
      <c r="V201">
        <f t="shared" si="52"/>
        <v>1063371.3527299995</v>
      </c>
      <c r="W201">
        <f t="shared" si="48"/>
        <v>33008.25</v>
      </c>
      <c r="X201" s="6">
        <f t="shared" si="49"/>
        <v>22872.233749999999</v>
      </c>
      <c r="Y201">
        <f t="shared" si="50"/>
        <v>0.40930629470436536</v>
      </c>
      <c r="Z201">
        <v>202304</v>
      </c>
      <c r="AA201" s="18">
        <v>202301</v>
      </c>
      <c r="AB201" t="str">
        <v>Apr-2023</v>
      </c>
      <c r="AC201">
        <f t="shared" si="51"/>
        <v>3</v>
      </c>
      <c r="AD201" t="str">
        <f t="shared" si="53"/>
        <v>Late</v>
      </c>
      <c r="AE201">
        <f t="shared" si="54"/>
        <v>0</v>
      </c>
      <c r="AF201">
        <f t="shared" si="55"/>
        <v>0</v>
      </c>
    </row>
    <row r="202" spans="1:32" x14ac:dyDescent="0.25">
      <c r="A202" s="3" t="s">
        <v>206</v>
      </c>
      <c r="B202" s="4">
        <v>44939</v>
      </c>
      <c r="C202" s="4" t="str">
        <f t="shared" si="42"/>
        <v>Jan-2023</v>
      </c>
      <c r="D202" s="4" t="str">
        <f t="shared" si="43"/>
        <v>Q1</v>
      </c>
      <c r="E202" s="4">
        <v>44945</v>
      </c>
      <c r="F202" s="10">
        <f t="shared" si="44"/>
        <v>6</v>
      </c>
      <c r="G202" s="3" t="s">
        <v>640</v>
      </c>
      <c r="H202" s="3" t="s">
        <v>652</v>
      </c>
      <c r="I202" s="3" t="s">
        <v>669</v>
      </c>
      <c r="J202" t="str">
        <f t="shared" si="45"/>
        <v>Americas &gt; USA &gt; Chicago</v>
      </c>
      <c r="K202" s="3" t="s">
        <v>693</v>
      </c>
      <c r="L202" s="3" t="s">
        <v>703</v>
      </c>
      <c r="M202" s="3" t="s">
        <v>714</v>
      </c>
      <c r="N202" s="3" t="s">
        <v>722</v>
      </c>
      <c r="O202" s="3" t="s">
        <v>925</v>
      </c>
      <c r="P202" s="6">
        <v>833.57</v>
      </c>
      <c r="Q202" s="6">
        <v>881.57</v>
      </c>
      <c r="R202" s="6" t="str">
        <f t="shared" si="46"/>
        <v>Medium</v>
      </c>
      <c r="S202" s="6">
        <v>5.7000000000000002E-2</v>
      </c>
      <c r="T202" s="6">
        <v>18</v>
      </c>
      <c r="U202">
        <f t="shared" si="47"/>
        <v>14963.769179999999</v>
      </c>
      <c r="V202">
        <f t="shared" si="52"/>
        <v>1063371.3527299995</v>
      </c>
      <c r="W202">
        <f t="shared" si="48"/>
        <v>15004.26</v>
      </c>
      <c r="X202" s="6">
        <f t="shared" si="49"/>
        <v>-40.490820000000895</v>
      </c>
      <c r="Y202">
        <f t="shared" si="50"/>
        <v>-2.7059238560107821E-3</v>
      </c>
      <c r="Z202">
        <v>202301</v>
      </c>
      <c r="AA202" s="18">
        <v>202301</v>
      </c>
      <c r="AB202" t="str">
        <v>Jan-2023</v>
      </c>
      <c r="AC202">
        <f t="shared" si="51"/>
        <v>0</v>
      </c>
      <c r="AD202" t="str">
        <f t="shared" si="53"/>
        <v>On Time</v>
      </c>
      <c r="AE202">
        <f t="shared" si="54"/>
        <v>1</v>
      </c>
      <c r="AF202">
        <f t="shared" si="55"/>
        <v>0</v>
      </c>
    </row>
    <row r="203" spans="1:32" x14ac:dyDescent="0.25">
      <c r="A203" s="3" t="s">
        <v>207</v>
      </c>
      <c r="B203" s="4">
        <v>45303</v>
      </c>
      <c r="C203" s="4" t="str">
        <f t="shared" si="42"/>
        <v>Jan-2024</v>
      </c>
      <c r="D203" s="4" t="str">
        <f t="shared" si="43"/>
        <v>Q1</v>
      </c>
      <c r="E203" s="4">
        <v>45320</v>
      </c>
      <c r="F203" s="10">
        <f t="shared" si="44"/>
        <v>17</v>
      </c>
      <c r="G203" s="3" t="s">
        <v>640</v>
      </c>
      <c r="H203" s="3" t="s">
        <v>652</v>
      </c>
      <c r="I203" s="3" t="s">
        <v>669</v>
      </c>
      <c r="J203" t="str">
        <f t="shared" si="45"/>
        <v>Americas &gt; USA &gt; Chicago</v>
      </c>
      <c r="K203" s="3" t="s">
        <v>694</v>
      </c>
      <c r="L203" s="3" t="s">
        <v>702</v>
      </c>
      <c r="M203" s="3" t="s">
        <v>712</v>
      </c>
      <c r="N203" s="3" t="s">
        <v>720</v>
      </c>
      <c r="O203" s="3" t="s">
        <v>926</v>
      </c>
      <c r="P203" s="6">
        <v>493.76</v>
      </c>
      <c r="Q203" s="6">
        <v>625.04</v>
      </c>
      <c r="R203" s="6" t="str">
        <f t="shared" si="46"/>
        <v>Low</v>
      </c>
      <c r="S203" s="6">
        <v>0.25800000000000001</v>
      </c>
      <c r="T203" s="6">
        <v>10</v>
      </c>
      <c r="U203">
        <f t="shared" si="47"/>
        <v>4637.7968000000001</v>
      </c>
      <c r="V203">
        <f t="shared" si="52"/>
        <v>1063371.3527299995</v>
      </c>
      <c r="W203">
        <f t="shared" si="48"/>
        <v>4937.6000000000004</v>
      </c>
      <c r="X203" s="6">
        <f t="shared" si="49"/>
        <v>-299.80320000000029</v>
      </c>
      <c r="Y203">
        <f t="shared" si="50"/>
        <v>-6.464345311549663E-2</v>
      </c>
      <c r="Z203">
        <v>202401</v>
      </c>
      <c r="AA203" s="18">
        <v>202301</v>
      </c>
      <c r="AB203" t="str">
        <v>Jan-2023</v>
      </c>
      <c r="AC203">
        <f t="shared" si="51"/>
        <v>12</v>
      </c>
      <c r="AD203" t="str">
        <f t="shared" si="53"/>
        <v>Late</v>
      </c>
      <c r="AE203">
        <f t="shared" si="54"/>
        <v>0</v>
      </c>
      <c r="AF203">
        <f t="shared" si="55"/>
        <v>1</v>
      </c>
    </row>
    <row r="204" spans="1:32" x14ac:dyDescent="0.25">
      <c r="A204" s="3" t="s">
        <v>208</v>
      </c>
      <c r="B204" s="4">
        <v>45153</v>
      </c>
      <c r="C204" s="4" t="str">
        <f t="shared" si="42"/>
        <v>Aug-2023</v>
      </c>
      <c r="D204" s="4" t="str">
        <f t="shared" si="43"/>
        <v>Q3</v>
      </c>
      <c r="E204" s="4">
        <v>45176</v>
      </c>
      <c r="F204" s="10">
        <f t="shared" si="44"/>
        <v>23</v>
      </c>
      <c r="G204" s="3" t="s">
        <v>640</v>
      </c>
      <c r="H204" s="3" t="s">
        <v>652</v>
      </c>
      <c r="I204" s="3" t="s">
        <v>692</v>
      </c>
      <c r="J204" t="str">
        <f t="shared" si="45"/>
        <v>Americas &gt; USA &gt; New York</v>
      </c>
      <c r="K204" s="3" t="s">
        <v>698</v>
      </c>
      <c r="L204" s="3" t="s">
        <v>700</v>
      </c>
      <c r="M204" s="3" t="s">
        <v>715</v>
      </c>
      <c r="N204" s="3" t="s">
        <v>722</v>
      </c>
      <c r="O204" s="3" t="s">
        <v>927</v>
      </c>
      <c r="P204" s="6">
        <v>590.33000000000004</v>
      </c>
      <c r="Q204" s="6">
        <v>973.04</v>
      </c>
      <c r="R204" s="6" t="str">
        <f t="shared" si="46"/>
        <v>Medium</v>
      </c>
      <c r="S204" s="6">
        <v>0</v>
      </c>
      <c r="T204" s="6">
        <v>26</v>
      </c>
      <c r="U204">
        <f t="shared" si="47"/>
        <v>25299.040000000001</v>
      </c>
      <c r="V204">
        <f t="shared" si="52"/>
        <v>1063371.3527299995</v>
      </c>
      <c r="W204">
        <f t="shared" si="48"/>
        <v>15348.580000000002</v>
      </c>
      <c r="X204" s="6">
        <f t="shared" si="49"/>
        <v>9950.4599999999991</v>
      </c>
      <c r="Y204">
        <f t="shared" si="50"/>
        <v>0.39331373838691108</v>
      </c>
      <c r="Z204">
        <v>202308</v>
      </c>
      <c r="AA204" s="18">
        <v>202301</v>
      </c>
      <c r="AB204" t="str">
        <v>Aug-2023</v>
      </c>
      <c r="AC204">
        <f t="shared" si="51"/>
        <v>7</v>
      </c>
      <c r="AD204" t="str">
        <f t="shared" si="53"/>
        <v>Late</v>
      </c>
      <c r="AE204">
        <f t="shared" si="54"/>
        <v>0</v>
      </c>
      <c r="AF204">
        <f t="shared" si="55"/>
        <v>0</v>
      </c>
    </row>
    <row r="205" spans="1:32" x14ac:dyDescent="0.25">
      <c r="A205" s="3" t="s">
        <v>209</v>
      </c>
      <c r="B205" s="4">
        <v>44946</v>
      </c>
      <c r="C205" s="4" t="str">
        <f t="shared" si="42"/>
        <v>Jan-2023</v>
      </c>
      <c r="D205" s="4" t="str">
        <f t="shared" si="43"/>
        <v>Q1</v>
      </c>
      <c r="E205" s="4">
        <v>44960</v>
      </c>
      <c r="F205" s="10">
        <f t="shared" si="44"/>
        <v>14</v>
      </c>
      <c r="G205" s="3" t="s">
        <v>638</v>
      </c>
      <c r="H205" s="3" t="s">
        <v>642</v>
      </c>
      <c r="I205" s="3" t="s">
        <v>654</v>
      </c>
      <c r="J205" t="str">
        <f t="shared" si="45"/>
        <v>Africa &gt; Kenya &gt; Kisumu</v>
      </c>
      <c r="K205" s="3" t="s">
        <v>693</v>
      </c>
      <c r="L205" s="3" t="s">
        <v>699</v>
      </c>
      <c r="M205" s="3" t="s">
        <v>716</v>
      </c>
      <c r="N205" s="3" t="s">
        <v>721</v>
      </c>
      <c r="O205" s="3" t="s">
        <v>928</v>
      </c>
      <c r="P205" s="6">
        <v>884.36</v>
      </c>
      <c r="Q205" s="6">
        <v>1545.34</v>
      </c>
      <c r="R205" s="6" t="str">
        <f t="shared" si="46"/>
        <v>Medium</v>
      </c>
      <c r="S205" s="6">
        <v>0.24299999999999999</v>
      </c>
      <c r="T205" s="6">
        <v>41</v>
      </c>
      <c r="U205">
        <f t="shared" si="47"/>
        <v>47962.717579999997</v>
      </c>
      <c r="V205">
        <f t="shared" si="52"/>
        <v>1063371.3527299995</v>
      </c>
      <c r="W205">
        <f t="shared" si="48"/>
        <v>36258.76</v>
      </c>
      <c r="X205" s="6">
        <f t="shared" si="49"/>
        <v>11703.957579999995</v>
      </c>
      <c r="Y205">
        <f t="shared" si="50"/>
        <v>0.24402198562827965</v>
      </c>
      <c r="Z205">
        <v>202301</v>
      </c>
      <c r="AA205" s="18">
        <v>202301</v>
      </c>
      <c r="AB205" t="str">
        <v>Jan-2023</v>
      </c>
      <c r="AC205">
        <f t="shared" si="51"/>
        <v>0</v>
      </c>
      <c r="AD205" t="str">
        <f t="shared" si="53"/>
        <v>Late</v>
      </c>
      <c r="AE205">
        <f t="shared" si="54"/>
        <v>0</v>
      </c>
      <c r="AF205">
        <f t="shared" si="55"/>
        <v>1</v>
      </c>
    </row>
    <row r="206" spans="1:32" x14ac:dyDescent="0.25">
      <c r="A206" s="3" t="s">
        <v>210</v>
      </c>
      <c r="B206" s="4">
        <v>45692</v>
      </c>
      <c r="C206" s="4" t="str">
        <f t="shared" si="42"/>
        <v>Feb-2025</v>
      </c>
      <c r="D206" s="4" t="str">
        <f t="shared" si="43"/>
        <v>Q1</v>
      </c>
      <c r="E206" s="4">
        <v>45713</v>
      </c>
      <c r="F206" s="10">
        <f t="shared" si="44"/>
        <v>21</v>
      </c>
      <c r="G206" s="3" t="s">
        <v>641</v>
      </c>
      <c r="H206" s="3" t="s">
        <v>650</v>
      </c>
      <c r="I206" s="3" t="s">
        <v>666</v>
      </c>
      <c r="J206" t="str">
        <f t="shared" si="45"/>
        <v>Europe &gt; United Kingdom &gt; Birmingham</v>
      </c>
      <c r="K206" s="3" t="s">
        <v>693</v>
      </c>
      <c r="L206" s="3" t="s">
        <v>701</v>
      </c>
      <c r="M206" s="3" t="s">
        <v>718</v>
      </c>
      <c r="N206" s="3" t="s">
        <v>724</v>
      </c>
      <c r="O206" s="3" t="s">
        <v>929</v>
      </c>
      <c r="P206" s="6">
        <v>1016.32</v>
      </c>
      <c r="Q206" s="6">
        <v>2253.42</v>
      </c>
      <c r="R206" s="6" t="str">
        <f t="shared" si="46"/>
        <v>High</v>
      </c>
      <c r="S206" s="6">
        <v>5.5E-2</v>
      </c>
      <c r="T206" s="6">
        <v>12</v>
      </c>
      <c r="U206">
        <f t="shared" si="47"/>
        <v>25553.782800000001</v>
      </c>
      <c r="V206">
        <f t="shared" si="52"/>
        <v>1063371.3527299995</v>
      </c>
      <c r="W206">
        <f t="shared" si="48"/>
        <v>12195.84</v>
      </c>
      <c r="X206" s="6">
        <f t="shared" si="49"/>
        <v>13357.942800000001</v>
      </c>
      <c r="Y206">
        <f t="shared" si="50"/>
        <v>0.52273837124419797</v>
      </c>
      <c r="Z206">
        <v>202502</v>
      </c>
      <c r="AA206" s="18">
        <v>202301</v>
      </c>
      <c r="AB206" t="str">
        <v>Feb-2023</v>
      </c>
      <c r="AC206">
        <f t="shared" si="51"/>
        <v>25</v>
      </c>
      <c r="AD206" t="str">
        <f t="shared" si="53"/>
        <v>Late</v>
      </c>
      <c r="AE206">
        <f t="shared" si="54"/>
        <v>0</v>
      </c>
      <c r="AF206">
        <f t="shared" si="55"/>
        <v>0</v>
      </c>
    </row>
    <row r="207" spans="1:32" x14ac:dyDescent="0.25">
      <c r="A207" s="3" t="s">
        <v>211</v>
      </c>
      <c r="B207" s="4">
        <v>45035</v>
      </c>
      <c r="C207" s="4" t="str">
        <f t="shared" si="42"/>
        <v>Apr-2023</v>
      </c>
      <c r="D207" s="4" t="str">
        <f t="shared" si="43"/>
        <v>Q2</v>
      </c>
      <c r="E207" s="4">
        <v>45044</v>
      </c>
      <c r="F207" s="10">
        <f t="shared" si="44"/>
        <v>9</v>
      </c>
      <c r="G207" s="3" t="s">
        <v>641</v>
      </c>
      <c r="H207" s="3" t="s">
        <v>648</v>
      </c>
      <c r="I207" s="3" t="s">
        <v>663</v>
      </c>
      <c r="J207" t="str">
        <f t="shared" si="45"/>
        <v>Europe &gt; Germany &gt; Berlin</v>
      </c>
      <c r="K207" s="3" t="s">
        <v>694</v>
      </c>
      <c r="L207" s="3" t="s">
        <v>700</v>
      </c>
      <c r="M207" s="3" t="s">
        <v>710</v>
      </c>
      <c r="N207" s="3" t="s">
        <v>724</v>
      </c>
      <c r="O207" s="3" t="s">
        <v>930</v>
      </c>
      <c r="P207" s="6">
        <v>1178.42</v>
      </c>
      <c r="Q207" s="6">
        <v>2446.56</v>
      </c>
      <c r="R207" s="6" t="str">
        <f t="shared" si="46"/>
        <v>High</v>
      </c>
      <c r="S207" s="6">
        <v>2.9000000000000001E-2</v>
      </c>
      <c r="T207" s="6">
        <v>11</v>
      </c>
      <c r="U207">
        <f t="shared" si="47"/>
        <v>26131.70736</v>
      </c>
      <c r="V207">
        <f t="shared" si="52"/>
        <v>1063371.3527299995</v>
      </c>
      <c r="W207">
        <f t="shared" si="48"/>
        <v>12962.62</v>
      </c>
      <c r="X207" s="6">
        <f t="shared" si="49"/>
        <v>13169.08736</v>
      </c>
      <c r="Y207">
        <f t="shared" si="50"/>
        <v>0.5039505141618883</v>
      </c>
      <c r="Z207">
        <v>202304</v>
      </c>
      <c r="AA207" s="18">
        <v>202301</v>
      </c>
      <c r="AB207" t="str">
        <v>Apr-2023</v>
      </c>
      <c r="AC207">
        <f t="shared" si="51"/>
        <v>3</v>
      </c>
      <c r="AD207" t="str">
        <f t="shared" si="53"/>
        <v>Late</v>
      </c>
      <c r="AE207">
        <f t="shared" si="54"/>
        <v>0</v>
      </c>
      <c r="AF207">
        <f t="shared" si="55"/>
        <v>0</v>
      </c>
    </row>
    <row r="208" spans="1:32" x14ac:dyDescent="0.25">
      <c r="A208" s="3" t="s">
        <v>212</v>
      </c>
      <c r="B208" s="4">
        <v>45109</v>
      </c>
      <c r="C208" s="4" t="str">
        <f t="shared" si="42"/>
        <v>Jul-2023</v>
      </c>
      <c r="D208" s="4" t="str">
        <f t="shared" si="43"/>
        <v>Q3</v>
      </c>
      <c r="E208" s="4">
        <v>45139</v>
      </c>
      <c r="F208" s="10">
        <f t="shared" si="44"/>
        <v>30</v>
      </c>
      <c r="G208" s="3" t="s">
        <v>641</v>
      </c>
      <c r="H208" s="3" t="s">
        <v>650</v>
      </c>
      <c r="I208" s="3" t="s">
        <v>666</v>
      </c>
      <c r="J208" t="str">
        <f t="shared" si="45"/>
        <v>Europe &gt; United Kingdom &gt; Birmingham</v>
      </c>
      <c r="K208" s="3" t="s">
        <v>697</v>
      </c>
      <c r="L208" s="3" t="s">
        <v>699</v>
      </c>
      <c r="M208" s="3" t="s">
        <v>709</v>
      </c>
      <c r="N208" s="3" t="s">
        <v>719</v>
      </c>
      <c r="O208" s="3" t="s">
        <v>931</v>
      </c>
      <c r="P208" s="6">
        <v>137.46</v>
      </c>
      <c r="Q208" s="6">
        <v>188.3</v>
      </c>
      <c r="R208" s="6" t="str">
        <f t="shared" si="46"/>
        <v>Low</v>
      </c>
      <c r="S208" s="6">
        <v>3.7999999999999999E-2</v>
      </c>
      <c r="T208" s="6">
        <v>37</v>
      </c>
      <c r="U208">
        <f t="shared" si="47"/>
        <v>6702.3501999999999</v>
      </c>
      <c r="V208">
        <f t="shared" si="52"/>
        <v>1063371.3527299995</v>
      </c>
      <c r="W208">
        <f t="shared" si="48"/>
        <v>5086.0200000000004</v>
      </c>
      <c r="X208" s="6">
        <f t="shared" si="49"/>
        <v>1616.3301999999994</v>
      </c>
      <c r="Y208">
        <f t="shared" si="50"/>
        <v>0.24115872071262398</v>
      </c>
      <c r="Z208">
        <v>202307</v>
      </c>
      <c r="AA208" s="18">
        <v>202301</v>
      </c>
      <c r="AB208" t="str">
        <v>Jul-2023</v>
      </c>
      <c r="AC208">
        <f t="shared" si="51"/>
        <v>6</v>
      </c>
      <c r="AD208" t="str">
        <f t="shared" si="53"/>
        <v>Late</v>
      </c>
      <c r="AE208">
        <f t="shared" si="54"/>
        <v>0</v>
      </c>
      <c r="AF208">
        <f t="shared" si="55"/>
        <v>0</v>
      </c>
    </row>
    <row r="209" spans="1:32" x14ac:dyDescent="0.25">
      <c r="A209" s="3" t="s">
        <v>213</v>
      </c>
      <c r="B209" s="4">
        <v>45678</v>
      </c>
      <c r="C209" s="4" t="str">
        <f t="shared" si="42"/>
        <v>Jan-2025</v>
      </c>
      <c r="D209" s="4" t="str">
        <f t="shared" si="43"/>
        <v>Q1</v>
      </c>
      <c r="E209" s="4">
        <v>45702</v>
      </c>
      <c r="F209" s="10">
        <f t="shared" si="44"/>
        <v>24</v>
      </c>
      <c r="G209" s="3" t="s">
        <v>638</v>
      </c>
      <c r="H209" s="3" t="s">
        <v>642</v>
      </c>
      <c r="I209" s="3" t="s">
        <v>656</v>
      </c>
      <c r="J209" t="str">
        <f t="shared" si="45"/>
        <v>Africa &gt; Kenya &gt; Nairobi</v>
      </c>
      <c r="K209" s="3" t="s">
        <v>697</v>
      </c>
      <c r="L209" s="3" t="s">
        <v>699</v>
      </c>
      <c r="M209" s="3" t="s">
        <v>705</v>
      </c>
      <c r="N209" s="3" t="s">
        <v>725</v>
      </c>
      <c r="O209" s="3" t="s">
        <v>932</v>
      </c>
      <c r="P209" s="6">
        <v>1030.44</v>
      </c>
      <c r="Q209" s="6">
        <v>2562.84</v>
      </c>
      <c r="R209" s="6" t="str">
        <f t="shared" si="46"/>
        <v>High</v>
      </c>
      <c r="S209" s="6">
        <v>0.14799999999999999</v>
      </c>
      <c r="T209" s="6">
        <v>13</v>
      </c>
      <c r="U209">
        <f t="shared" si="47"/>
        <v>28386.015839999996</v>
      </c>
      <c r="V209">
        <f t="shared" si="52"/>
        <v>1056669.0025299995</v>
      </c>
      <c r="W209">
        <f t="shared" si="48"/>
        <v>13395.720000000001</v>
      </c>
      <c r="X209" s="6">
        <f t="shared" si="49"/>
        <v>14990.295839999995</v>
      </c>
      <c r="Y209">
        <f t="shared" si="50"/>
        <v>0.52808734852027039</v>
      </c>
      <c r="Z209">
        <v>202501</v>
      </c>
      <c r="AA209" s="18">
        <v>202301</v>
      </c>
      <c r="AB209" t="str">
        <v>Jan-2023</v>
      </c>
      <c r="AC209">
        <f t="shared" si="51"/>
        <v>24</v>
      </c>
      <c r="AD209" t="str">
        <f t="shared" si="53"/>
        <v>Late</v>
      </c>
      <c r="AE209">
        <f t="shared" si="54"/>
        <v>0</v>
      </c>
      <c r="AF209">
        <f t="shared" si="55"/>
        <v>0</v>
      </c>
    </row>
    <row r="210" spans="1:32" x14ac:dyDescent="0.25">
      <c r="A210" s="3" t="s">
        <v>214</v>
      </c>
      <c r="B210" s="4">
        <v>45545</v>
      </c>
      <c r="C210" s="4" t="str">
        <f t="shared" si="42"/>
        <v>Sept-2024</v>
      </c>
      <c r="D210" s="4" t="str">
        <f t="shared" si="43"/>
        <v>Q3</v>
      </c>
      <c r="E210" s="4">
        <v>45572</v>
      </c>
      <c r="F210" s="10">
        <f t="shared" si="44"/>
        <v>27</v>
      </c>
      <c r="G210" s="3" t="s">
        <v>638</v>
      </c>
      <c r="H210" s="3" t="s">
        <v>642</v>
      </c>
      <c r="I210" s="3" t="s">
        <v>654</v>
      </c>
      <c r="J210" t="str">
        <f t="shared" si="45"/>
        <v>Africa &gt; Kenya &gt; Kisumu</v>
      </c>
      <c r="K210" s="3" t="s">
        <v>696</v>
      </c>
      <c r="L210" s="3" t="s">
        <v>699</v>
      </c>
      <c r="M210" s="3" t="s">
        <v>708</v>
      </c>
      <c r="N210" s="3" t="s">
        <v>720</v>
      </c>
      <c r="O210" s="3" t="s">
        <v>933</v>
      </c>
      <c r="P210" s="6">
        <v>1248.3900000000001</v>
      </c>
      <c r="Q210" s="6">
        <v>1805.11</v>
      </c>
      <c r="R210" s="6" t="str">
        <f t="shared" si="46"/>
        <v>High</v>
      </c>
      <c r="S210" s="6">
        <v>0.20300000000000001</v>
      </c>
      <c r="T210" s="6">
        <v>11</v>
      </c>
      <c r="U210">
        <f t="shared" si="47"/>
        <v>15825.399369999997</v>
      </c>
      <c r="V210">
        <f t="shared" si="52"/>
        <v>1056669.0025299995</v>
      </c>
      <c r="W210">
        <f t="shared" si="48"/>
        <v>13732.29</v>
      </c>
      <c r="X210" s="6">
        <f t="shared" si="49"/>
        <v>2093.1093699999965</v>
      </c>
      <c r="Y210">
        <f t="shared" si="50"/>
        <v>0.13226265707820786</v>
      </c>
      <c r="Z210">
        <v>202409</v>
      </c>
      <c r="AA210" s="18">
        <v>202301</v>
      </c>
      <c r="AB210" t="str">
        <v>Sept-2023</v>
      </c>
      <c r="AC210">
        <f t="shared" si="51"/>
        <v>20</v>
      </c>
      <c r="AD210" t="str">
        <f t="shared" si="53"/>
        <v>Late</v>
      </c>
      <c r="AE210">
        <f t="shared" si="54"/>
        <v>0</v>
      </c>
      <c r="AF210">
        <f t="shared" si="55"/>
        <v>1</v>
      </c>
    </row>
    <row r="211" spans="1:32" x14ac:dyDescent="0.25">
      <c r="A211" s="3" t="s">
        <v>215</v>
      </c>
      <c r="B211" s="4">
        <v>45859</v>
      </c>
      <c r="C211" s="4" t="str">
        <f t="shared" si="42"/>
        <v>Jul-2025</v>
      </c>
      <c r="D211" s="4" t="str">
        <f t="shared" si="43"/>
        <v>Q3</v>
      </c>
      <c r="E211" s="4">
        <v>45876</v>
      </c>
      <c r="F211" s="10">
        <f t="shared" si="44"/>
        <v>17</v>
      </c>
      <c r="G211" s="3" t="s">
        <v>638</v>
      </c>
      <c r="H211" s="3" t="s">
        <v>643</v>
      </c>
      <c r="I211" s="3" t="s">
        <v>657</v>
      </c>
      <c r="J211" t="str">
        <f t="shared" si="45"/>
        <v>Africa &gt; Nigeria &gt; Lagos</v>
      </c>
      <c r="K211" s="3" t="s">
        <v>698</v>
      </c>
      <c r="L211" s="3" t="s">
        <v>703</v>
      </c>
      <c r="M211" s="3" t="s">
        <v>716</v>
      </c>
      <c r="N211" s="3" t="s">
        <v>725</v>
      </c>
      <c r="O211" s="3" t="s">
        <v>934</v>
      </c>
      <c r="P211" s="6">
        <v>1204.95</v>
      </c>
      <c r="Q211" s="6">
        <v>2065.73</v>
      </c>
      <c r="R211" s="6" t="str">
        <f t="shared" si="46"/>
        <v>High</v>
      </c>
      <c r="S211" s="6">
        <v>0.13600000000000001</v>
      </c>
      <c r="T211" s="6">
        <v>10</v>
      </c>
      <c r="U211">
        <f t="shared" si="47"/>
        <v>17847.907199999998</v>
      </c>
      <c r="V211">
        <f t="shared" si="52"/>
        <v>1056669.0025299995</v>
      </c>
      <c r="W211">
        <f t="shared" si="48"/>
        <v>12049.5</v>
      </c>
      <c r="X211" s="6">
        <f t="shared" si="49"/>
        <v>5798.4071999999978</v>
      </c>
      <c r="Y211">
        <f t="shared" si="50"/>
        <v>0.32487882949100039</v>
      </c>
      <c r="Z211">
        <v>202507</v>
      </c>
      <c r="AA211" s="18">
        <v>202301</v>
      </c>
      <c r="AB211" t="str">
        <v>Jul-2023</v>
      </c>
      <c r="AC211">
        <f t="shared" si="51"/>
        <v>30</v>
      </c>
      <c r="AD211" t="str">
        <f t="shared" si="53"/>
        <v>Late</v>
      </c>
      <c r="AE211">
        <f t="shared" si="54"/>
        <v>0</v>
      </c>
      <c r="AF211">
        <f t="shared" si="55"/>
        <v>0</v>
      </c>
    </row>
    <row r="212" spans="1:32" x14ac:dyDescent="0.25">
      <c r="A212" s="3" t="s">
        <v>216</v>
      </c>
      <c r="B212" s="4">
        <v>45567</v>
      </c>
      <c r="C212" s="4" t="str">
        <f t="shared" si="42"/>
        <v>Oct-2024</v>
      </c>
      <c r="D212" s="4" t="str">
        <f t="shared" si="43"/>
        <v>Q4</v>
      </c>
      <c r="E212" s="4">
        <v>45588</v>
      </c>
      <c r="F212" s="10">
        <f t="shared" si="44"/>
        <v>21</v>
      </c>
      <c r="G212" s="3" t="s">
        <v>638</v>
      </c>
      <c r="H212" s="3" t="s">
        <v>653</v>
      </c>
      <c r="I212" s="3" t="s">
        <v>679</v>
      </c>
      <c r="J212" t="str">
        <f t="shared" si="45"/>
        <v>Africa &gt; South Africa &gt; Durban</v>
      </c>
      <c r="K212" s="3" t="s">
        <v>693</v>
      </c>
      <c r="L212" s="3" t="s">
        <v>701</v>
      </c>
      <c r="M212" s="3" t="s">
        <v>712</v>
      </c>
      <c r="N212" s="3" t="s">
        <v>719</v>
      </c>
      <c r="O212" s="3" t="s">
        <v>935</v>
      </c>
      <c r="P212" s="6">
        <v>1095.6099999999999</v>
      </c>
      <c r="Q212" s="6">
        <v>2366.5100000000002</v>
      </c>
      <c r="R212" s="6" t="str">
        <f t="shared" si="46"/>
        <v>High</v>
      </c>
      <c r="S212" s="6">
        <v>0.152</v>
      </c>
      <c r="T212" s="6">
        <v>9</v>
      </c>
      <c r="U212">
        <f t="shared" si="47"/>
        <v>18061.204320000004</v>
      </c>
      <c r="V212">
        <f t="shared" si="52"/>
        <v>1056669.0025299995</v>
      </c>
      <c r="W212">
        <f t="shared" si="48"/>
        <v>9860.49</v>
      </c>
      <c r="X212" s="6">
        <f t="shared" si="49"/>
        <v>8200.7143200000046</v>
      </c>
      <c r="Y212">
        <f t="shared" si="50"/>
        <v>0.4540513564158607</v>
      </c>
      <c r="Z212">
        <v>202410</v>
      </c>
      <c r="AA212" s="18">
        <v>202301</v>
      </c>
      <c r="AB212" t="str">
        <v>Oct-2023</v>
      </c>
      <c r="AC212">
        <f t="shared" si="51"/>
        <v>21</v>
      </c>
      <c r="AD212" t="str">
        <f t="shared" si="53"/>
        <v>Late</v>
      </c>
      <c r="AE212">
        <f t="shared" si="54"/>
        <v>0</v>
      </c>
      <c r="AF212">
        <f t="shared" si="55"/>
        <v>0</v>
      </c>
    </row>
    <row r="213" spans="1:32" x14ac:dyDescent="0.25">
      <c r="A213" s="3" t="s">
        <v>217</v>
      </c>
      <c r="B213" s="4">
        <v>45852</v>
      </c>
      <c r="C213" s="4" t="str">
        <f t="shared" si="42"/>
        <v>Jul-2025</v>
      </c>
      <c r="D213" s="4" t="str">
        <f t="shared" si="43"/>
        <v>Q3</v>
      </c>
      <c r="E213" s="4">
        <v>45873</v>
      </c>
      <c r="F213" s="10">
        <f t="shared" si="44"/>
        <v>21</v>
      </c>
      <c r="G213" s="3" t="s">
        <v>640</v>
      </c>
      <c r="H213" s="3" t="s">
        <v>645</v>
      </c>
      <c r="I213" s="3" t="s">
        <v>673</v>
      </c>
      <c r="J213" t="str">
        <f t="shared" si="45"/>
        <v>Americas &gt; Canada &gt; Montreal</v>
      </c>
      <c r="K213" s="3" t="s">
        <v>696</v>
      </c>
      <c r="L213" s="3" t="s">
        <v>700</v>
      </c>
      <c r="M213" s="3" t="s">
        <v>714</v>
      </c>
      <c r="N213" s="3" t="s">
        <v>724</v>
      </c>
      <c r="O213" s="3" t="s">
        <v>936</v>
      </c>
      <c r="P213" s="6">
        <v>90.3</v>
      </c>
      <c r="Q213" s="6">
        <v>131.76</v>
      </c>
      <c r="R213" s="6" t="str">
        <f t="shared" si="46"/>
        <v>Low</v>
      </c>
      <c r="S213" s="6">
        <v>0.10199999999999999</v>
      </c>
      <c r="T213" s="6">
        <v>15</v>
      </c>
      <c r="U213">
        <f t="shared" si="47"/>
        <v>1774.8072</v>
      </c>
      <c r="V213">
        <f t="shared" si="52"/>
        <v>1038607.7982099996</v>
      </c>
      <c r="W213">
        <f t="shared" si="48"/>
        <v>1354.5</v>
      </c>
      <c r="X213" s="6">
        <f t="shared" si="49"/>
        <v>420.30719999999997</v>
      </c>
      <c r="Y213">
        <f t="shared" si="50"/>
        <v>0.23681851189244668</v>
      </c>
      <c r="Z213">
        <v>202507</v>
      </c>
      <c r="AA213" s="18">
        <v>202301</v>
      </c>
      <c r="AB213" t="str">
        <v>Jul-2023</v>
      </c>
      <c r="AC213">
        <f t="shared" si="51"/>
        <v>30</v>
      </c>
      <c r="AD213" t="str">
        <f t="shared" si="53"/>
        <v>Late</v>
      </c>
      <c r="AE213">
        <f t="shared" si="54"/>
        <v>0</v>
      </c>
      <c r="AF213">
        <f t="shared" si="55"/>
        <v>0</v>
      </c>
    </row>
    <row r="214" spans="1:32" x14ac:dyDescent="0.25">
      <c r="A214" s="3" t="s">
        <v>218</v>
      </c>
      <c r="B214" s="4">
        <v>45544</v>
      </c>
      <c r="C214" s="4" t="str">
        <f t="shared" si="42"/>
        <v>Sept-2024</v>
      </c>
      <c r="D214" s="4" t="str">
        <f t="shared" si="43"/>
        <v>Q3</v>
      </c>
      <c r="E214" s="4">
        <v>45566</v>
      </c>
      <c r="F214" s="10">
        <f t="shared" si="44"/>
        <v>22</v>
      </c>
      <c r="G214" s="3" t="s">
        <v>639</v>
      </c>
      <c r="H214" s="3" t="s">
        <v>651</v>
      </c>
      <c r="I214" s="3" t="s">
        <v>668</v>
      </c>
      <c r="J214" t="str">
        <f t="shared" si="45"/>
        <v>Asia &gt; China &gt; Shenzhen</v>
      </c>
      <c r="K214" s="3" t="s">
        <v>696</v>
      </c>
      <c r="L214" s="3" t="s">
        <v>703</v>
      </c>
      <c r="M214" s="3" t="s">
        <v>708</v>
      </c>
      <c r="N214" s="3" t="s">
        <v>720</v>
      </c>
      <c r="O214" s="3" t="s">
        <v>937</v>
      </c>
      <c r="P214" s="6">
        <v>1166.18</v>
      </c>
      <c r="Q214" s="6">
        <v>1335.02</v>
      </c>
      <c r="R214" s="6" t="str">
        <f t="shared" si="46"/>
        <v>High</v>
      </c>
      <c r="S214" s="6">
        <v>0.128</v>
      </c>
      <c r="T214" s="6">
        <v>6</v>
      </c>
      <c r="U214">
        <f t="shared" si="47"/>
        <v>6984.8246399999998</v>
      </c>
      <c r="V214">
        <f t="shared" si="52"/>
        <v>1038607.7982099996</v>
      </c>
      <c r="W214">
        <f t="shared" si="48"/>
        <v>6997.08</v>
      </c>
      <c r="X214" s="6">
        <f t="shared" si="49"/>
        <v>-12.25536000000011</v>
      </c>
      <c r="Y214">
        <f t="shared" si="50"/>
        <v>-1.7545694604582242E-3</v>
      </c>
      <c r="Z214">
        <v>202409</v>
      </c>
      <c r="AA214" s="18">
        <v>202301</v>
      </c>
      <c r="AB214" t="str">
        <v>Sept-2023</v>
      </c>
      <c r="AC214">
        <f t="shared" si="51"/>
        <v>20</v>
      </c>
      <c r="AD214" t="str">
        <f t="shared" si="53"/>
        <v>Late</v>
      </c>
      <c r="AE214">
        <f t="shared" si="54"/>
        <v>0</v>
      </c>
      <c r="AF214">
        <f t="shared" si="55"/>
        <v>0</v>
      </c>
    </row>
    <row r="215" spans="1:32" x14ac:dyDescent="0.25">
      <c r="A215" s="3" t="s">
        <v>219</v>
      </c>
      <c r="B215" s="4">
        <v>45686</v>
      </c>
      <c r="C215" s="4" t="str">
        <f t="shared" si="42"/>
        <v>Jan-2025</v>
      </c>
      <c r="D215" s="4" t="str">
        <f t="shared" si="43"/>
        <v>Q1</v>
      </c>
      <c r="E215" s="4">
        <v>45694</v>
      </c>
      <c r="F215" s="10">
        <f t="shared" si="44"/>
        <v>8</v>
      </c>
      <c r="G215" s="3" t="s">
        <v>638</v>
      </c>
      <c r="H215" s="3" t="s">
        <v>642</v>
      </c>
      <c r="I215" s="3" t="s">
        <v>654</v>
      </c>
      <c r="J215" t="str">
        <f t="shared" si="45"/>
        <v>Africa &gt; Kenya &gt; Kisumu</v>
      </c>
      <c r="K215" s="3" t="s">
        <v>694</v>
      </c>
      <c r="L215" s="3" t="s">
        <v>699</v>
      </c>
      <c r="M215" s="3" t="s">
        <v>709</v>
      </c>
      <c r="N215" s="3" t="s">
        <v>722</v>
      </c>
      <c r="O215" s="3" t="s">
        <v>938</v>
      </c>
      <c r="P215" s="6">
        <v>1445.27</v>
      </c>
      <c r="Q215" s="6">
        <v>2691.45</v>
      </c>
      <c r="R215" s="6" t="str">
        <f t="shared" si="46"/>
        <v>High</v>
      </c>
      <c r="S215" s="6">
        <v>0</v>
      </c>
      <c r="T215" s="6">
        <v>9</v>
      </c>
      <c r="U215">
        <f t="shared" si="47"/>
        <v>24223.05</v>
      </c>
      <c r="V215">
        <f t="shared" si="52"/>
        <v>1038607.7982099996</v>
      </c>
      <c r="W215">
        <f t="shared" si="48"/>
        <v>13007.43</v>
      </c>
      <c r="X215" s="6">
        <f t="shared" si="49"/>
        <v>11215.619999999999</v>
      </c>
      <c r="Y215">
        <f t="shared" si="50"/>
        <v>0.46301436028906351</v>
      </c>
      <c r="Z215">
        <v>202501</v>
      </c>
      <c r="AA215" s="18">
        <v>202301</v>
      </c>
      <c r="AB215" t="str">
        <v>Jan-2023</v>
      </c>
      <c r="AC215">
        <f t="shared" si="51"/>
        <v>24</v>
      </c>
      <c r="AD215" t="str">
        <f t="shared" si="53"/>
        <v>Late</v>
      </c>
      <c r="AE215">
        <f t="shared" si="54"/>
        <v>0</v>
      </c>
      <c r="AF215">
        <f t="shared" si="55"/>
        <v>0</v>
      </c>
    </row>
    <row r="216" spans="1:32" x14ac:dyDescent="0.25">
      <c r="A216" s="3" t="s">
        <v>220</v>
      </c>
      <c r="B216" s="4">
        <v>45240</v>
      </c>
      <c r="C216" s="4" t="str">
        <f t="shared" si="42"/>
        <v>Nov-2023</v>
      </c>
      <c r="D216" s="4" t="str">
        <f t="shared" si="43"/>
        <v>Q4</v>
      </c>
      <c r="E216" s="4">
        <v>45258</v>
      </c>
      <c r="F216" s="10">
        <f t="shared" si="44"/>
        <v>18</v>
      </c>
      <c r="G216" s="3" t="s">
        <v>640</v>
      </c>
      <c r="H216" s="3" t="s">
        <v>647</v>
      </c>
      <c r="I216" s="3" t="s">
        <v>664</v>
      </c>
      <c r="J216" t="str">
        <f t="shared" si="45"/>
        <v>Americas &gt; Brazil &gt; Brasília</v>
      </c>
      <c r="K216" s="3" t="s">
        <v>694</v>
      </c>
      <c r="L216" s="3" t="s">
        <v>701</v>
      </c>
      <c r="M216" s="3" t="s">
        <v>708</v>
      </c>
      <c r="N216" s="3" t="s">
        <v>725</v>
      </c>
      <c r="O216" s="3" t="s">
        <v>939</v>
      </c>
      <c r="P216" s="6">
        <v>388.51</v>
      </c>
      <c r="Q216" s="6">
        <v>776.46</v>
      </c>
      <c r="R216" s="6" t="str">
        <f t="shared" si="46"/>
        <v>Low</v>
      </c>
      <c r="S216" s="6">
        <v>0.157</v>
      </c>
      <c r="T216" s="6">
        <v>12</v>
      </c>
      <c r="U216">
        <f t="shared" si="47"/>
        <v>7854.6693599999999</v>
      </c>
      <c r="V216">
        <f t="shared" si="52"/>
        <v>1038607.7982099996</v>
      </c>
      <c r="W216">
        <f t="shared" si="48"/>
        <v>4662.12</v>
      </c>
      <c r="X216" s="6">
        <f t="shared" si="49"/>
        <v>3192.54936</v>
      </c>
      <c r="Y216">
        <f t="shared" si="50"/>
        <v>0.40645241876864946</v>
      </c>
      <c r="Z216">
        <v>202311</v>
      </c>
      <c r="AA216" s="18">
        <v>202301</v>
      </c>
      <c r="AB216" t="str">
        <v>Nov-2023</v>
      </c>
      <c r="AC216">
        <f t="shared" si="51"/>
        <v>10</v>
      </c>
      <c r="AD216" t="str">
        <f t="shared" si="53"/>
        <v>Late</v>
      </c>
      <c r="AE216">
        <f t="shared" si="54"/>
        <v>0</v>
      </c>
      <c r="AF216">
        <f t="shared" si="55"/>
        <v>0</v>
      </c>
    </row>
    <row r="217" spans="1:32" x14ac:dyDescent="0.25">
      <c r="A217" s="3" t="s">
        <v>221</v>
      </c>
      <c r="B217" s="4">
        <v>45351</v>
      </c>
      <c r="C217" s="4" t="str">
        <f t="shared" si="42"/>
        <v>Feb-2024</v>
      </c>
      <c r="D217" s="4" t="str">
        <f t="shared" si="43"/>
        <v>Q1</v>
      </c>
      <c r="E217" s="4">
        <v>45381</v>
      </c>
      <c r="F217" s="10">
        <f t="shared" si="44"/>
        <v>30</v>
      </c>
      <c r="G217" s="3" t="s">
        <v>639</v>
      </c>
      <c r="H217" s="3" t="s">
        <v>644</v>
      </c>
      <c r="I217" s="3" t="s">
        <v>686</v>
      </c>
      <c r="J217" t="str">
        <f t="shared" si="45"/>
        <v>Asia &gt; Japan &gt; Nagoya</v>
      </c>
      <c r="K217" s="3" t="s">
        <v>697</v>
      </c>
      <c r="L217" s="3" t="s">
        <v>703</v>
      </c>
      <c r="M217" s="3" t="s">
        <v>706</v>
      </c>
      <c r="N217" s="3" t="s">
        <v>721</v>
      </c>
      <c r="O217" s="3" t="s">
        <v>940</v>
      </c>
      <c r="P217" s="6">
        <v>231.11</v>
      </c>
      <c r="Q217" s="6">
        <v>318.17</v>
      </c>
      <c r="R217" s="6" t="str">
        <f t="shared" si="46"/>
        <v>Low</v>
      </c>
      <c r="S217" s="6">
        <v>0.20100000000000001</v>
      </c>
      <c r="T217" s="6">
        <v>60</v>
      </c>
      <c r="U217">
        <f t="shared" si="47"/>
        <v>15253.069799999999</v>
      </c>
      <c r="V217">
        <f t="shared" si="52"/>
        <v>1038607.7982099996</v>
      </c>
      <c r="W217">
        <f t="shared" si="48"/>
        <v>13866.6</v>
      </c>
      <c r="X217" s="6">
        <f t="shared" si="49"/>
        <v>1386.4697999999989</v>
      </c>
      <c r="Y217">
        <f t="shared" si="50"/>
        <v>9.0897754889969692E-2</v>
      </c>
      <c r="Z217">
        <v>202402</v>
      </c>
      <c r="AA217" s="18">
        <v>202303</v>
      </c>
      <c r="AB217" t="str">
        <v>Feb-2023</v>
      </c>
      <c r="AC217">
        <f t="shared" si="51"/>
        <v>11</v>
      </c>
      <c r="AD217" t="str">
        <f t="shared" si="53"/>
        <v>Late</v>
      </c>
      <c r="AE217">
        <f t="shared" si="54"/>
        <v>0</v>
      </c>
      <c r="AF217">
        <f t="shared" si="55"/>
        <v>1</v>
      </c>
    </row>
    <row r="218" spans="1:32" x14ac:dyDescent="0.25">
      <c r="A218" s="3" t="s">
        <v>222</v>
      </c>
      <c r="B218" s="4">
        <v>45280</v>
      </c>
      <c r="C218" s="4" t="str">
        <f t="shared" si="42"/>
        <v>Dec-2023</v>
      </c>
      <c r="D218" s="4" t="str">
        <f t="shared" si="43"/>
        <v>Q4</v>
      </c>
      <c r="E218" s="4">
        <v>45305</v>
      </c>
      <c r="F218" s="10">
        <f t="shared" si="44"/>
        <v>25</v>
      </c>
      <c r="G218" s="3" t="s">
        <v>639</v>
      </c>
      <c r="H218" s="3" t="s">
        <v>646</v>
      </c>
      <c r="I218" s="3" t="s">
        <v>683</v>
      </c>
      <c r="J218" t="str">
        <f t="shared" si="45"/>
        <v>Asia &gt; India &gt; Mumbai</v>
      </c>
      <c r="K218" s="3" t="s">
        <v>695</v>
      </c>
      <c r="L218" s="3" t="s">
        <v>701</v>
      </c>
      <c r="M218" s="3" t="s">
        <v>708</v>
      </c>
      <c r="N218" s="3" t="s">
        <v>724</v>
      </c>
      <c r="O218" s="3" t="s">
        <v>941</v>
      </c>
      <c r="P218" s="6">
        <v>1085.6099999999999</v>
      </c>
      <c r="Q218" s="6">
        <v>1246.4100000000001</v>
      </c>
      <c r="R218" s="6" t="str">
        <f t="shared" si="46"/>
        <v>High</v>
      </c>
      <c r="S218" s="6">
        <v>0.113</v>
      </c>
      <c r="T218" s="6">
        <v>7</v>
      </c>
      <c r="U218">
        <f t="shared" si="47"/>
        <v>7738.9596900000006</v>
      </c>
      <c r="V218">
        <f t="shared" si="52"/>
        <v>1038607.7982099996</v>
      </c>
      <c r="W218">
        <f t="shared" si="48"/>
        <v>7599.2699999999995</v>
      </c>
      <c r="X218" s="6">
        <f t="shared" si="49"/>
        <v>139.68969000000106</v>
      </c>
      <c r="Y218">
        <f t="shared" si="50"/>
        <v>1.8050189637310417E-2</v>
      </c>
      <c r="Z218">
        <v>202312</v>
      </c>
      <c r="AA218" s="18">
        <v>202301</v>
      </c>
      <c r="AB218" t="str">
        <v>Dec-2023</v>
      </c>
      <c r="AC218">
        <f t="shared" si="51"/>
        <v>11</v>
      </c>
      <c r="AD218" t="str">
        <f t="shared" si="53"/>
        <v>Late</v>
      </c>
      <c r="AE218">
        <f t="shared" si="54"/>
        <v>0</v>
      </c>
      <c r="AF218">
        <f t="shared" si="55"/>
        <v>0</v>
      </c>
    </row>
    <row r="219" spans="1:32" x14ac:dyDescent="0.25">
      <c r="A219" s="3" t="s">
        <v>223</v>
      </c>
      <c r="B219" s="4">
        <v>44948</v>
      </c>
      <c r="C219" s="4" t="str">
        <f t="shared" si="42"/>
        <v>Jan-2023</v>
      </c>
      <c r="D219" s="4" t="str">
        <f t="shared" si="43"/>
        <v>Q1</v>
      </c>
      <c r="E219" s="4">
        <v>44949</v>
      </c>
      <c r="F219" s="10">
        <f t="shared" si="44"/>
        <v>1</v>
      </c>
      <c r="G219" s="3" t="s">
        <v>641</v>
      </c>
      <c r="H219" s="3" t="s">
        <v>648</v>
      </c>
      <c r="I219" s="3" t="s">
        <v>676</v>
      </c>
      <c r="J219" t="str">
        <f t="shared" si="45"/>
        <v>Europe &gt; Germany &gt; Munich</v>
      </c>
      <c r="K219" s="3" t="s">
        <v>693</v>
      </c>
      <c r="L219" s="3" t="s">
        <v>703</v>
      </c>
      <c r="M219" s="3" t="s">
        <v>713</v>
      </c>
      <c r="N219" s="3" t="s">
        <v>724</v>
      </c>
      <c r="O219" s="3" t="s">
        <v>942</v>
      </c>
      <c r="P219" s="6">
        <v>150.86000000000001</v>
      </c>
      <c r="Q219" s="6">
        <v>346.96</v>
      </c>
      <c r="R219" s="6" t="str">
        <f t="shared" si="46"/>
        <v>Low</v>
      </c>
      <c r="S219" s="6">
        <v>0.19600000000000001</v>
      </c>
      <c r="T219" s="6">
        <v>8</v>
      </c>
      <c r="U219">
        <f t="shared" si="47"/>
        <v>2231.6467200000002</v>
      </c>
      <c r="V219">
        <f t="shared" si="52"/>
        <v>1038607.7982099996</v>
      </c>
      <c r="W219">
        <f t="shared" si="48"/>
        <v>1206.8800000000001</v>
      </c>
      <c r="X219" s="6">
        <f t="shared" si="49"/>
        <v>1024.7667200000001</v>
      </c>
      <c r="Y219">
        <f t="shared" si="50"/>
        <v>0.45919755614365343</v>
      </c>
      <c r="Z219">
        <v>202301</v>
      </c>
      <c r="AA219" s="18">
        <v>202301</v>
      </c>
      <c r="AB219" t="str">
        <v>Jan-2023</v>
      </c>
      <c r="AC219">
        <f t="shared" si="51"/>
        <v>0</v>
      </c>
      <c r="AD219" t="str">
        <f t="shared" si="53"/>
        <v>On Time</v>
      </c>
      <c r="AE219">
        <f t="shared" si="54"/>
        <v>1</v>
      </c>
      <c r="AF219">
        <f t="shared" si="55"/>
        <v>0</v>
      </c>
    </row>
    <row r="220" spans="1:32" x14ac:dyDescent="0.25">
      <c r="A220" s="3" t="s">
        <v>224</v>
      </c>
      <c r="B220" s="4">
        <v>45576</v>
      </c>
      <c r="C220" s="4" t="str">
        <f t="shared" si="42"/>
        <v>Oct-2024</v>
      </c>
      <c r="D220" s="4" t="str">
        <f t="shared" si="43"/>
        <v>Q4</v>
      </c>
      <c r="E220" s="4">
        <v>45605</v>
      </c>
      <c r="F220" s="10">
        <f t="shared" si="44"/>
        <v>29</v>
      </c>
      <c r="G220" s="3" t="s">
        <v>639</v>
      </c>
      <c r="H220" s="3" t="s">
        <v>651</v>
      </c>
      <c r="I220" s="3" t="s">
        <v>677</v>
      </c>
      <c r="J220" t="str">
        <f t="shared" si="45"/>
        <v>Asia &gt; China &gt; Shanghai</v>
      </c>
      <c r="K220" s="3" t="s">
        <v>695</v>
      </c>
      <c r="L220" s="3" t="s">
        <v>700</v>
      </c>
      <c r="M220" s="3" t="s">
        <v>713</v>
      </c>
      <c r="N220" s="3" t="s">
        <v>720</v>
      </c>
      <c r="O220" s="3" t="s">
        <v>943</v>
      </c>
      <c r="P220" s="6">
        <v>391.64</v>
      </c>
      <c r="Q220" s="6">
        <v>504.76</v>
      </c>
      <c r="R220" s="6" t="str">
        <f t="shared" si="46"/>
        <v>Low</v>
      </c>
      <c r="S220" s="6">
        <v>4.0000000000000001E-3</v>
      </c>
      <c r="T220" s="6">
        <v>13</v>
      </c>
      <c r="U220">
        <f t="shared" si="47"/>
        <v>6535.6324800000002</v>
      </c>
      <c r="V220">
        <f t="shared" si="52"/>
        <v>1038607.7982099996</v>
      </c>
      <c r="W220">
        <f t="shared" si="48"/>
        <v>5091.32</v>
      </c>
      <c r="X220" s="6">
        <f t="shared" si="49"/>
        <v>1444.3124800000005</v>
      </c>
      <c r="Y220">
        <f t="shared" si="50"/>
        <v>0.22099046793402319</v>
      </c>
      <c r="Z220">
        <v>202410</v>
      </c>
      <c r="AA220" s="18">
        <v>202301</v>
      </c>
      <c r="AB220" t="str">
        <v>Oct-2023</v>
      </c>
      <c r="AC220">
        <f t="shared" si="51"/>
        <v>21</v>
      </c>
      <c r="AD220" t="str">
        <f t="shared" si="53"/>
        <v>Late</v>
      </c>
      <c r="AE220">
        <f t="shared" si="54"/>
        <v>0</v>
      </c>
      <c r="AF220">
        <f t="shared" si="55"/>
        <v>0</v>
      </c>
    </row>
    <row r="221" spans="1:32" x14ac:dyDescent="0.25">
      <c r="A221" s="3" t="s">
        <v>225</v>
      </c>
      <c r="B221" s="4">
        <v>45554</v>
      </c>
      <c r="C221" s="4" t="str">
        <f t="shared" si="42"/>
        <v>Sept-2024</v>
      </c>
      <c r="D221" s="4" t="str">
        <f t="shared" si="43"/>
        <v>Q3</v>
      </c>
      <c r="E221" s="4">
        <v>45579</v>
      </c>
      <c r="F221" s="10">
        <f t="shared" si="44"/>
        <v>25</v>
      </c>
      <c r="G221" s="3" t="s">
        <v>640</v>
      </c>
      <c r="H221" s="3" t="s">
        <v>647</v>
      </c>
      <c r="I221" s="3" t="s">
        <v>684</v>
      </c>
      <c r="J221" t="str">
        <f t="shared" si="45"/>
        <v>Americas &gt; Brazil &gt; Rio de Janeiro</v>
      </c>
      <c r="K221" s="3" t="s">
        <v>697</v>
      </c>
      <c r="L221" s="3" t="s">
        <v>699</v>
      </c>
      <c r="M221" s="3" t="s">
        <v>715</v>
      </c>
      <c r="N221" s="3" t="s">
        <v>720</v>
      </c>
      <c r="O221" s="3" t="s">
        <v>944</v>
      </c>
      <c r="P221" s="6">
        <v>386.96</v>
      </c>
      <c r="Q221" s="6">
        <v>937.46</v>
      </c>
      <c r="R221" s="6" t="str">
        <f t="shared" si="46"/>
        <v>Low</v>
      </c>
      <c r="S221" s="6">
        <v>0.26600000000000001</v>
      </c>
      <c r="T221" s="6">
        <v>41</v>
      </c>
      <c r="U221">
        <f t="shared" si="47"/>
        <v>28211.92124</v>
      </c>
      <c r="V221">
        <f t="shared" si="52"/>
        <v>1038607.7982099996</v>
      </c>
      <c r="W221">
        <f t="shared" si="48"/>
        <v>15865.359999999999</v>
      </c>
      <c r="X221" s="6">
        <f t="shared" si="49"/>
        <v>12346.561240000001</v>
      </c>
      <c r="Y221">
        <f t="shared" si="50"/>
        <v>0.43763631462626335</v>
      </c>
      <c r="Z221">
        <v>202409</v>
      </c>
      <c r="AA221" s="18">
        <v>202301</v>
      </c>
      <c r="AB221" t="str">
        <v>Sept-2023</v>
      </c>
      <c r="AC221">
        <f t="shared" si="51"/>
        <v>20</v>
      </c>
      <c r="AD221" t="str">
        <f t="shared" si="53"/>
        <v>Late</v>
      </c>
      <c r="AE221">
        <f t="shared" si="54"/>
        <v>0</v>
      </c>
      <c r="AF221">
        <f t="shared" si="55"/>
        <v>1</v>
      </c>
    </row>
    <row r="222" spans="1:32" x14ac:dyDescent="0.25">
      <c r="A222" s="3" t="s">
        <v>226</v>
      </c>
      <c r="B222" s="4">
        <v>45894</v>
      </c>
      <c r="C222" s="4" t="str">
        <f t="shared" si="42"/>
        <v>Aug-2025</v>
      </c>
      <c r="D222" s="4" t="str">
        <f t="shared" si="43"/>
        <v>Q3</v>
      </c>
      <c r="E222" s="4">
        <v>45924</v>
      </c>
      <c r="F222" s="10">
        <f t="shared" si="44"/>
        <v>30</v>
      </c>
      <c r="G222" s="3" t="s">
        <v>638</v>
      </c>
      <c r="H222" s="3" t="s">
        <v>642</v>
      </c>
      <c r="I222" s="3" t="s">
        <v>656</v>
      </c>
      <c r="J222" t="str">
        <f t="shared" si="45"/>
        <v>Africa &gt; Kenya &gt; Nairobi</v>
      </c>
      <c r="K222" s="3" t="s">
        <v>696</v>
      </c>
      <c r="L222" s="3" t="s">
        <v>703</v>
      </c>
      <c r="M222" s="3" t="s">
        <v>709</v>
      </c>
      <c r="N222" s="3" t="s">
        <v>719</v>
      </c>
      <c r="O222" s="3" t="s">
        <v>945</v>
      </c>
      <c r="P222" s="6">
        <v>589.14</v>
      </c>
      <c r="Q222" s="6">
        <v>1300.58</v>
      </c>
      <c r="R222" s="6" t="str">
        <f t="shared" si="46"/>
        <v>Medium</v>
      </c>
      <c r="S222" s="6">
        <v>5.5E-2</v>
      </c>
      <c r="T222" s="6">
        <v>11</v>
      </c>
      <c r="U222">
        <f t="shared" si="47"/>
        <v>13519.529099999998</v>
      </c>
      <c r="V222">
        <f t="shared" si="52"/>
        <v>1038607.7982099996</v>
      </c>
      <c r="W222">
        <f t="shared" si="48"/>
        <v>6480.54</v>
      </c>
      <c r="X222" s="6">
        <f t="shared" si="49"/>
        <v>7038.989099999998</v>
      </c>
      <c r="Y222">
        <f t="shared" si="50"/>
        <v>0.52065342275863724</v>
      </c>
      <c r="Z222">
        <v>202508</v>
      </c>
      <c r="AA222" s="18">
        <v>202301</v>
      </c>
      <c r="AB222" t="str">
        <v>Aug-2023</v>
      </c>
      <c r="AC222">
        <f t="shared" si="51"/>
        <v>31</v>
      </c>
      <c r="AD222" t="str">
        <f t="shared" si="53"/>
        <v>Late</v>
      </c>
      <c r="AE222">
        <f t="shared" si="54"/>
        <v>0</v>
      </c>
      <c r="AF222">
        <f t="shared" si="55"/>
        <v>0</v>
      </c>
    </row>
    <row r="223" spans="1:32" x14ac:dyDescent="0.25">
      <c r="A223" s="3" t="s">
        <v>227</v>
      </c>
      <c r="B223" s="4">
        <v>45194</v>
      </c>
      <c r="C223" s="4" t="str">
        <f t="shared" si="42"/>
        <v>Sept-2023</v>
      </c>
      <c r="D223" s="4" t="str">
        <f t="shared" si="43"/>
        <v>Q3</v>
      </c>
      <c r="E223" s="4">
        <v>45201</v>
      </c>
      <c r="F223" s="10">
        <f t="shared" si="44"/>
        <v>7</v>
      </c>
      <c r="G223" s="3" t="s">
        <v>640</v>
      </c>
      <c r="H223" s="3" t="s">
        <v>652</v>
      </c>
      <c r="I223" s="3" t="s">
        <v>692</v>
      </c>
      <c r="J223" t="str">
        <f t="shared" si="45"/>
        <v>Americas &gt; USA &gt; New York</v>
      </c>
      <c r="K223" s="3" t="s">
        <v>694</v>
      </c>
      <c r="L223" s="3" t="s">
        <v>701</v>
      </c>
      <c r="M223" s="3" t="s">
        <v>706</v>
      </c>
      <c r="N223" s="3" t="s">
        <v>725</v>
      </c>
      <c r="O223" s="3" t="s">
        <v>946</v>
      </c>
      <c r="P223" s="6">
        <v>145.58000000000001</v>
      </c>
      <c r="Q223" s="6">
        <v>228.15</v>
      </c>
      <c r="R223" s="6" t="str">
        <f t="shared" si="46"/>
        <v>Low</v>
      </c>
      <c r="S223" s="6">
        <v>0.20399999999999999</v>
      </c>
      <c r="T223" s="6">
        <v>5</v>
      </c>
      <c r="U223">
        <f t="shared" si="47"/>
        <v>908.03700000000003</v>
      </c>
      <c r="V223">
        <f t="shared" si="52"/>
        <v>1025088.2691099996</v>
      </c>
      <c r="W223">
        <f t="shared" si="48"/>
        <v>727.90000000000009</v>
      </c>
      <c r="X223" s="6">
        <f t="shared" si="49"/>
        <v>180.13699999999994</v>
      </c>
      <c r="Y223">
        <f t="shared" si="50"/>
        <v>0.19838068272548359</v>
      </c>
      <c r="Z223">
        <v>202309</v>
      </c>
      <c r="AA223" s="18">
        <v>202301</v>
      </c>
      <c r="AB223" t="str">
        <v>Sept-2023</v>
      </c>
      <c r="AC223">
        <f t="shared" si="51"/>
        <v>8</v>
      </c>
      <c r="AD223" t="str">
        <f t="shared" si="53"/>
        <v>On Time</v>
      </c>
      <c r="AE223">
        <f t="shared" si="54"/>
        <v>1</v>
      </c>
      <c r="AF223">
        <f t="shared" si="55"/>
        <v>1</v>
      </c>
    </row>
    <row r="224" spans="1:32" x14ac:dyDescent="0.25">
      <c r="A224" s="3" t="s">
        <v>228</v>
      </c>
      <c r="B224" s="4">
        <v>45164</v>
      </c>
      <c r="C224" s="4" t="str">
        <f t="shared" si="42"/>
        <v>Aug-2023</v>
      </c>
      <c r="D224" s="4" t="str">
        <f t="shared" si="43"/>
        <v>Q3</v>
      </c>
      <c r="E224" s="4">
        <v>45179</v>
      </c>
      <c r="F224" s="10">
        <f t="shared" si="44"/>
        <v>15</v>
      </c>
      <c r="G224" s="3" t="s">
        <v>638</v>
      </c>
      <c r="H224" s="3" t="s">
        <v>653</v>
      </c>
      <c r="I224" s="3" t="s">
        <v>687</v>
      </c>
      <c r="J224" t="str">
        <f t="shared" si="45"/>
        <v>Africa &gt; South Africa &gt; Cape Town</v>
      </c>
      <c r="K224" s="3" t="s">
        <v>695</v>
      </c>
      <c r="L224" s="3" t="s">
        <v>703</v>
      </c>
      <c r="M224" s="3" t="s">
        <v>717</v>
      </c>
      <c r="N224" s="3" t="s">
        <v>719</v>
      </c>
      <c r="O224" s="3" t="s">
        <v>947</v>
      </c>
      <c r="P224" s="6">
        <v>241.14</v>
      </c>
      <c r="Q224" s="6">
        <v>496.52</v>
      </c>
      <c r="R224" s="6" t="str">
        <f t="shared" si="46"/>
        <v>Low</v>
      </c>
      <c r="S224" s="6">
        <v>9.2999999999999999E-2</v>
      </c>
      <c r="T224" s="6">
        <v>10</v>
      </c>
      <c r="U224">
        <f t="shared" si="47"/>
        <v>4503.4363999999996</v>
      </c>
      <c r="V224">
        <f t="shared" si="52"/>
        <v>1025088.2691099996</v>
      </c>
      <c r="W224">
        <f t="shared" si="48"/>
        <v>2411.3999999999996</v>
      </c>
      <c r="X224" s="6">
        <f t="shared" si="49"/>
        <v>2092.0364</v>
      </c>
      <c r="Y224">
        <f t="shared" si="50"/>
        <v>0.46454223268257994</v>
      </c>
      <c r="Z224">
        <v>202308</v>
      </c>
      <c r="AA224" s="18">
        <v>202301</v>
      </c>
      <c r="AB224" t="str">
        <v>Aug-2023</v>
      </c>
      <c r="AC224">
        <f t="shared" si="51"/>
        <v>7</v>
      </c>
      <c r="AD224" t="str">
        <f t="shared" si="53"/>
        <v>Late</v>
      </c>
      <c r="AE224">
        <f t="shared" si="54"/>
        <v>0</v>
      </c>
      <c r="AF224">
        <f t="shared" si="55"/>
        <v>0</v>
      </c>
    </row>
    <row r="225" spans="1:32" x14ac:dyDescent="0.25">
      <c r="A225" s="3" t="s">
        <v>229</v>
      </c>
      <c r="B225" s="4">
        <v>45854</v>
      </c>
      <c r="C225" s="4" t="str">
        <f t="shared" si="42"/>
        <v>Jul-2025</v>
      </c>
      <c r="D225" s="4" t="str">
        <f t="shared" si="43"/>
        <v>Q3</v>
      </c>
      <c r="E225" s="4">
        <v>45855</v>
      </c>
      <c r="F225" s="10">
        <f t="shared" si="44"/>
        <v>1</v>
      </c>
      <c r="G225" s="3" t="s">
        <v>638</v>
      </c>
      <c r="H225" s="3" t="s">
        <v>653</v>
      </c>
      <c r="I225" s="3" t="s">
        <v>679</v>
      </c>
      <c r="J225" t="str">
        <f t="shared" si="45"/>
        <v>Africa &gt; South Africa &gt; Durban</v>
      </c>
      <c r="K225" s="3" t="s">
        <v>697</v>
      </c>
      <c r="L225" s="3" t="s">
        <v>702</v>
      </c>
      <c r="M225" s="3" t="s">
        <v>709</v>
      </c>
      <c r="N225" s="3" t="s">
        <v>721</v>
      </c>
      <c r="O225" s="3" t="s">
        <v>948</v>
      </c>
      <c r="P225" s="6">
        <v>1198.9000000000001</v>
      </c>
      <c r="Q225" s="6">
        <v>2941.2</v>
      </c>
      <c r="R225" s="6" t="str">
        <f t="shared" si="46"/>
        <v>High</v>
      </c>
      <c r="S225" s="6">
        <v>5.0999999999999997E-2</v>
      </c>
      <c r="T225" s="6">
        <v>24</v>
      </c>
      <c r="U225">
        <f t="shared" si="47"/>
        <v>66988.771199999988</v>
      </c>
      <c r="V225">
        <f t="shared" si="52"/>
        <v>1020584.8327099996</v>
      </c>
      <c r="W225">
        <f t="shared" si="48"/>
        <v>28773.600000000002</v>
      </c>
      <c r="X225" s="6">
        <f t="shared" si="49"/>
        <v>38215.171199999982</v>
      </c>
      <c r="Y225">
        <f t="shared" si="50"/>
        <v>0.57047129713583977</v>
      </c>
      <c r="Z225">
        <v>202507</v>
      </c>
      <c r="AA225" s="18">
        <v>202301</v>
      </c>
      <c r="AB225" t="str">
        <v>Jul-2023</v>
      </c>
      <c r="AC225">
        <f t="shared" si="51"/>
        <v>30</v>
      </c>
      <c r="AD225" t="str">
        <f t="shared" si="53"/>
        <v>On Time</v>
      </c>
      <c r="AE225">
        <f t="shared" si="54"/>
        <v>1</v>
      </c>
      <c r="AF225">
        <f t="shared" si="55"/>
        <v>0</v>
      </c>
    </row>
    <row r="226" spans="1:32" x14ac:dyDescent="0.25">
      <c r="A226" s="3" t="s">
        <v>230</v>
      </c>
      <c r="B226" s="4">
        <v>45035</v>
      </c>
      <c r="C226" s="4" t="str">
        <f t="shared" si="42"/>
        <v>Apr-2023</v>
      </c>
      <c r="D226" s="4" t="str">
        <f t="shared" si="43"/>
        <v>Q2</v>
      </c>
      <c r="E226" s="4">
        <v>45053</v>
      </c>
      <c r="F226" s="10">
        <f t="shared" si="44"/>
        <v>18</v>
      </c>
      <c r="G226" s="3" t="s">
        <v>641</v>
      </c>
      <c r="H226" s="3" t="s">
        <v>650</v>
      </c>
      <c r="I226" s="3" t="s">
        <v>666</v>
      </c>
      <c r="J226" t="str">
        <f t="shared" si="45"/>
        <v>Europe &gt; United Kingdom &gt; Birmingham</v>
      </c>
      <c r="K226" s="3" t="s">
        <v>698</v>
      </c>
      <c r="L226" s="3" t="s">
        <v>699</v>
      </c>
      <c r="M226" s="3" t="s">
        <v>717</v>
      </c>
      <c r="N226" s="3" t="s">
        <v>723</v>
      </c>
      <c r="O226" s="3" t="s">
        <v>949</v>
      </c>
      <c r="P226" s="6">
        <v>1089.1500000000001</v>
      </c>
      <c r="Q226" s="6">
        <v>1088.2</v>
      </c>
      <c r="R226" s="6" t="str">
        <f t="shared" si="46"/>
        <v>High</v>
      </c>
      <c r="S226" s="6">
        <v>5.0999999999999997E-2</v>
      </c>
      <c r="T226" s="6">
        <v>15</v>
      </c>
      <c r="U226">
        <f t="shared" si="47"/>
        <v>15490.527</v>
      </c>
      <c r="V226">
        <f t="shared" si="52"/>
        <v>1020584.8327099996</v>
      </c>
      <c r="W226">
        <f t="shared" si="48"/>
        <v>16337.250000000002</v>
      </c>
      <c r="X226" s="6">
        <f t="shared" si="49"/>
        <v>-846.72300000000178</v>
      </c>
      <c r="Y226">
        <f t="shared" si="50"/>
        <v>-5.4660696824582002E-2</v>
      </c>
      <c r="Z226">
        <v>202304</v>
      </c>
      <c r="AA226" s="18">
        <v>202301</v>
      </c>
      <c r="AB226" t="str">
        <v>Apr-2023</v>
      </c>
      <c r="AC226">
        <f t="shared" si="51"/>
        <v>3</v>
      </c>
      <c r="AD226" t="str">
        <f t="shared" si="53"/>
        <v>Late</v>
      </c>
      <c r="AE226">
        <f t="shared" si="54"/>
        <v>0</v>
      </c>
      <c r="AF226">
        <f t="shared" si="55"/>
        <v>0</v>
      </c>
    </row>
    <row r="227" spans="1:32" x14ac:dyDescent="0.25">
      <c r="A227" s="3" t="s">
        <v>231</v>
      </c>
      <c r="B227" s="4">
        <v>45279</v>
      </c>
      <c r="C227" s="4" t="str">
        <f t="shared" si="42"/>
        <v>Dec-2023</v>
      </c>
      <c r="D227" s="4" t="str">
        <f t="shared" si="43"/>
        <v>Q4</v>
      </c>
      <c r="E227" s="4">
        <v>45280</v>
      </c>
      <c r="F227" s="10">
        <f t="shared" si="44"/>
        <v>1</v>
      </c>
      <c r="G227" s="3" t="s">
        <v>640</v>
      </c>
      <c r="H227" s="3" t="s">
        <v>647</v>
      </c>
      <c r="I227" s="3" t="s">
        <v>684</v>
      </c>
      <c r="J227" t="str">
        <f t="shared" si="45"/>
        <v>Americas &gt; Brazil &gt; Rio de Janeiro</v>
      </c>
      <c r="K227" s="3" t="s">
        <v>696</v>
      </c>
      <c r="L227" s="3" t="s">
        <v>702</v>
      </c>
      <c r="M227" s="3" t="s">
        <v>705</v>
      </c>
      <c r="N227" s="3" t="s">
        <v>722</v>
      </c>
      <c r="O227" s="3" t="s">
        <v>950</v>
      </c>
      <c r="P227" s="6">
        <v>1080.43</v>
      </c>
      <c r="Q227" s="6">
        <v>2529.15</v>
      </c>
      <c r="R227" s="6" t="str">
        <f t="shared" si="46"/>
        <v>High</v>
      </c>
      <c r="S227" s="6">
        <v>0.14699999999999999</v>
      </c>
      <c r="T227" s="6">
        <v>10</v>
      </c>
      <c r="U227">
        <f t="shared" si="47"/>
        <v>21573.6495</v>
      </c>
      <c r="V227">
        <f t="shared" si="52"/>
        <v>1020584.8327099996</v>
      </c>
      <c r="W227">
        <f t="shared" si="48"/>
        <v>10804.300000000001</v>
      </c>
      <c r="X227" s="6">
        <f t="shared" si="49"/>
        <v>10769.349499999998</v>
      </c>
      <c r="Y227">
        <f t="shared" si="50"/>
        <v>0.49918997247081437</v>
      </c>
      <c r="Z227">
        <v>202312</v>
      </c>
      <c r="AA227" s="18">
        <v>202301</v>
      </c>
      <c r="AB227" t="str">
        <v>Dec-2023</v>
      </c>
      <c r="AC227">
        <f t="shared" si="51"/>
        <v>11</v>
      </c>
      <c r="AD227" t="str">
        <f t="shared" si="53"/>
        <v>On Time</v>
      </c>
      <c r="AE227">
        <f t="shared" si="54"/>
        <v>1</v>
      </c>
      <c r="AF227">
        <f t="shared" si="55"/>
        <v>0</v>
      </c>
    </row>
    <row r="228" spans="1:32" x14ac:dyDescent="0.25">
      <c r="A228" s="3" t="s">
        <v>232</v>
      </c>
      <c r="B228" s="4">
        <v>45137</v>
      </c>
      <c r="C228" s="4" t="str">
        <f t="shared" si="42"/>
        <v>Jul-2023</v>
      </c>
      <c r="D228" s="4" t="str">
        <f t="shared" si="43"/>
        <v>Q3</v>
      </c>
      <c r="E228" s="4">
        <v>45145</v>
      </c>
      <c r="F228" s="10">
        <f t="shared" si="44"/>
        <v>8</v>
      </c>
      <c r="G228" s="3" t="s">
        <v>639</v>
      </c>
      <c r="H228" s="3" t="s">
        <v>644</v>
      </c>
      <c r="I228" s="3" t="s">
        <v>686</v>
      </c>
      <c r="J228" t="str">
        <f t="shared" si="45"/>
        <v>Asia &gt; Japan &gt; Nagoya</v>
      </c>
      <c r="K228" s="3" t="s">
        <v>694</v>
      </c>
      <c r="L228" s="3" t="s">
        <v>701</v>
      </c>
      <c r="M228" s="3" t="s">
        <v>712</v>
      </c>
      <c r="N228" s="3" t="s">
        <v>721</v>
      </c>
      <c r="O228" s="3" t="s">
        <v>951</v>
      </c>
      <c r="P228" s="6">
        <v>1352.44</v>
      </c>
      <c r="Q228" s="6">
        <v>2698.01</v>
      </c>
      <c r="R228" s="6" t="str">
        <f t="shared" si="46"/>
        <v>High</v>
      </c>
      <c r="S228" s="6">
        <v>0.13100000000000001</v>
      </c>
      <c r="T228" s="6">
        <v>13</v>
      </c>
      <c r="U228">
        <f t="shared" si="47"/>
        <v>30479.418970000002</v>
      </c>
      <c r="V228">
        <f t="shared" si="52"/>
        <v>1020584.8327099996</v>
      </c>
      <c r="W228">
        <f t="shared" si="48"/>
        <v>17581.72</v>
      </c>
      <c r="X228" s="6">
        <f t="shared" si="49"/>
        <v>12897.698970000001</v>
      </c>
      <c r="Y228">
        <f t="shared" si="50"/>
        <v>0.42316091992090887</v>
      </c>
      <c r="Z228">
        <v>202307</v>
      </c>
      <c r="AA228" s="18">
        <v>202303</v>
      </c>
      <c r="AB228" t="str">
        <v>Jul-2023</v>
      </c>
      <c r="AC228">
        <f t="shared" si="51"/>
        <v>4</v>
      </c>
      <c r="AD228" t="str">
        <f t="shared" si="53"/>
        <v>Late</v>
      </c>
      <c r="AE228">
        <f t="shared" si="54"/>
        <v>0</v>
      </c>
      <c r="AF228">
        <f t="shared" si="55"/>
        <v>0</v>
      </c>
    </row>
    <row r="229" spans="1:32" x14ac:dyDescent="0.25">
      <c r="A229" s="3" t="s">
        <v>233</v>
      </c>
      <c r="B229" s="4">
        <v>45203</v>
      </c>
      <c r="C229" s="4" t="str">
        <f t="shared" si="42"/>
        <v>Oct-2023</v>
      </c>
      <c r="D229" s="4" t="str">
        <f t="shared" si="43"/>
        <v>Q4</v>
      </c>
      <c r="E229" s="4">
        <v>45228</v>
      </c>
      <c r="F229" s="10">
        <f t="shared" si="44"/>
        <v>25</v>
      </c>
      <c r="G229" s="3" t="s">
        <v>640</v>
      </c>
      <c r="H229" s="3" t="s">
        <v>652</v>
      </c>
      <c r="I229" s="3" t="s">
        <v>678</v>
      </c>
      <c r="J229" t="str">
        <f t="shared" si="45"/>
        <v>Americas &gt; USA &gt; San Francisco</v>
      </c>
      <c r="K229" s="3" t="s">
        <v>697</v>
      </c>
      <c r="L229" s="3" t="s">
        <v>702</v>
      </c>
      <c r="M229" s="3" t="s">
        <v>711</v>
      </c>
      <c r="N229" s="3" t="s">
        <v>725</v>
      </c>
      <c r="O229" s="3" t="s">
        <v>952</v>
      </c>
      <c r="P229" s="6">
        <v>1239.8399999999999</v>
      </c>
      <c r="Q229" s="6">
        <v>1482.75</v>
      </c>
      <c r="R229" s="6" t="str">
        <f t="shared" si="46"/>
        <v>High</v>
      </c>
      <c r="S229" s="6">
        <v>6.7000000000000004E-2</v>
      </c>
      <c r="T229" s="6">
        <v>4</v>
      </c>
      <c r="U229">
        <f t="shared" si="47"/>
        <v>5533.6230000000005</v>
      </c>
      <c r="V229">
        <f t="shared" si="52"/>
        <v>1020584.8327099996</v>
      </c>
      <c r="W229">
        <f t="shared" si="48"/>
        <v>4959.3599999999997</v>
      </c>
      <c r="X229" s="6">
        <f t="shared" si="49"/>
        <v>574.26300000000083</v>
      </c>
      <c r="Y229">
        <f t="shared" si="50"/>
        <v>0.10377703721413634</v>
      </c>
      <c r="Z229">
        <v>202310</v>
      </c>
      <c r="AA229" s="18">
        <v>202301</v>
      </c>
      <c r="AB229" t="str">
        <v>Oct-2023</v>
      </c>
      <c r="AC229">
        <f t="shared" si="51"/>
        <v>9</v>
      </c>
      <c r="AD229" t="str">
        <f t="shared" si="53"/>
        <v>Late</v>
      </c>
      <c r="AE229">
        <f t="shared" si="54"/>
        <v>0</v>
      </c>
      <c r="AF229">
        <f t="shared" si="55"/>
        <v>0</v>
      </c>
    </row>
    <row r="230" spans="1:32" x14ac:dyDescent="0.25">
      <c r="A230" s="3" t="s">
        <v>234</v>
      </c>
      <c r="B230" s="4">
        <v>45879</v>
      </c>
      <c r="C230" s="4" t="str">
        <f t="shared" si="42"/>
        <v>Aug-2025</v>
      </c>
      <c r="D230" s="4" t="str">
        <f t="shared" si="43"/>
        <v>Q3</v>
      </c>
      <c r="E230" s="4">
        <v>45899</v>
      </c>
      <c r="F230" s="10">
        <f t="shared" si="44"/>
        <v>20</v>
      </c>
      <c r="G230" s="3" t="s">
        <v>640</v>
      </c>
      <c r="H230" s="3" t="s">
        <v>652</v>
      </c>
      <c r="I230" s="3" t="s">
        <v>678</v>
      </c>
      <c r="J230" t="str">
        <f t="shared" si="45"/>
        <v>Americas &gt; USA &gt; San Francisco</v>
      </c>
      <c r="K230" s="3" t="s">
        <v>693</v>
      </c>
      <c r="L230" s="3" t="s">
        <v>701</v>
      </c>
      <c r="M230" s="3" t="s">
        <v>715</v>
      </c>
      <c r="N230" s="3" t="s">
        <v>720</v>
      </c>
      <c r="O230" s="3" t="s">
        <v>953</v>
      </c>
      <c r="P230" s="6">
        <v>933.29</v>
      </c>
      <c r="Q230" s="6">
        <v>1456.81</v>
      </c>
      <c r="R230" s="6" t="str">
        <f t="shared" si="46"/>
        <v>Medium</v>
      </c>
      <c r="S230" s="6">
        <v>0.123</v>
      </c>
      <c r="T230" s="6">
        <v>13</v>
      </c>
      <c r="U230">
        <f t="shared" si="47"/>
        <v>16609.090809999998</v>
      </c>
      <c r="V230">
        <f t="shared" si="52"/>
        <v>1020584.8327099996</v>
      </c>
      <c r="W230">
        <f t="shared" si="48"/>
        <v>12132.77</v>
      </c>
      <c r="X230" s="6">
        <f t="shared" si="49"/>
        <v>4476.3208099999974</v>
      </c>
      <c r="Y230">
        <f t="shared" si="50"/>
        <v>0.26951028573489977</v>
      </c>
      <c r="Z230">
        <v>202508</v>
      </c>
      <c r="AA230" s="18">
        <v>202301</v>
      </c>
      <c r="AB230" t="str">
        <v>Aug-2023</v>
      </c>
      <c r="AC230">
        <f t="shared" si="51"/>
        <v>31</v>
      </c>
      <c r="AD230" t="str">
        <f t="shared" si="53"/>
        <v>Late</v>
      </c>
      <c r="AE230">
        <f t="shared" si="54"/>
        <v>0</v>
      </c>
      <c r="AF230">
        <f t="shared" si="55"/>
        <v>0</v>
      </c>
    </row>
    <row r="231" spans="1:32" x14ac:dyDescent="0.25">
      <c r="A231" s="3" t="s">
        <v>235</v>
      </c>
      <c r="B231" s="4">
        <v>44992</v>
      </c>
      <c r="C231" s="4" t="str">
        <f t="shared" si="42"/>
        <v>Mar-2023</v>
      </c>
      <c r="D231" s="4" t="str">
        <f t="shared" si="43"/>
        <v>Q1</v>
      </c>
      <c r="E231" s="4">
        <v>45017</v>
      </c>
      <c r="F231" s="10">
        <f t="shared" si="44"/>
        <v>25</v>
      </c>
      <c r="G231" s="3" t="s">
        <v>638</v>
      </c>
      <c r="H231" s="3" t="s">
        <v>642</v>
      </c>
      <c r="I231" s="3" t="s">
        <v>656</v>
      </c>
      <c r="J231" t="str">
        <f t="shared" si="45"/>
        <v>Africa &gt; Kenya &gt; Nairobi</v>
      </c>
      <c r="K231" s="3" t="s">
        <v>696</v>
      </c>
      <c r="L231" s="3" t="s">
        <v>701</v>
      </c>
      <c r="M231" s="3" t="s">
        <v>718</v>
      </c>
      <c r="N231" s="3" t="s">
        <v>720</v>
      </c>
      <c r="O231" s="3" t="s">
        <v>954</v>
      </c>
      <c r="P231" s="6">
        <v>1024.0999999999999</v>
      </c>
      <c r="Q231" s="6">
        <v>918.19</v>
      </c>
      <c r="R231" s="6" t="str">
        <f t="shared" si="46"/>
        <v>High</v>
      </c>
      <c r="S231" s="6">
        <v>0.189</v>
      </c>
      <c r="T231" s="6">
        <v>10</v>
      </c>
      <c r="U231">
        <f t="shared" si="47"/>
        <v>7446.5209000000004</v>
      </c>
      <c r="V231">
        <f t="shared" si="52"/>
        <v>1020584.8327099996</v>
      </c>
      <c r="W231">
        <f t="shared" si="48"/>
        <v>10241</v>
      </c>
      <c r="X231" s="6">
        <f t="shared" si="49"/>
        <v>-2794.4790999999996</v>
      </c>
      <c r="Y231">
        <f t="shared" si="50"/>
        <v>-0.37527311579827827</v>
      </c>
      <c r="Z231">
        <v>202303</v>
      </c>
      <c r="AA231" s="18">
        <v>202301</v>
      </c>
      <c r="AB231" t="str">
        <v>Mar-2023</v>
      </c>
      <c r="AC231">
        <f t="shared" si="51"/>
        <v>2</v>
      </c>
      <c r="AD231" t="str">
        <f t="shared" si="53"/>
        <v>Late</v>
      </c>
      <c r="AE231">
        <f t="shared" si="54"/>
        <v>0</v>
      </c>
      <c r="AF231">
        <f t="shared" si="55"/>
        <v>0</v>
      </c>
    </row>
    <row r="232" spans="1:32" x14ac:dyDescent="0.25">
      <c r="A232" s="3" t="s">
        <v>236</v>
      </c>
      <c r="B232" s="4">
        <v>45069</v>
      </c>
      <c r="C232" s="4" t="str">
        <f t="shared" si="42"/>
        <v>May-2023</v>
      </c>
      <c r="D232" s="4" t="str">
        <f t="shared" si="43"/>
        <v>Q2</v>
      </c>
      <c r="E232" s="4">
        <v>45087</v>
      </c>
      <c r="F232" s="10">
        <f t="shared" si="44"/>
        <v>18</v>
      </c>
      <c r="G232" s="3" t="s">
        <v>639</v>
      </c>
      <c r="H232" s="3" t="s">
        <v>651</v>
      </c>
      <c r="I232" s="3" t="s">
        <v>677</v>
      </c>
      <c r="J232" t="str">
        <f t="shared" si="45"/>
        <v>Asia &gt; China &gt; Shanghai</v>
      </c>
      <c r="K232" s="3" t="s">
        <v>693</v>
      </c>
      <c r="L232" s="3" t="s">
        <v>702</v>
      </c>
      <c r="M232" s="3" t="s">
        <v>710</v>
      </c>
      <c r="N232" s="3" t="s">
        <v>719</v>
      </c>
      <c r="O232" s="3" t="s">
        <v>955</v>
      </c>
      <c r="P232" s="6">
        <v>54.62</v>
      </c>
      <c r="Q232" s="6">
        <v>48.94</v>
      </c>
      <c r="R232" s="6" t="str">
        <f t="shared" si="46"/>
        <v>Low</v>
      </c>
      <c r="S232" s="6">
        <v>0.14799999999999999</v>
      </c>
      <c r="T232" s="6">
        <v>16</v>
      </c>
      <c r="U232">
        <f t="shared" si="47"/>
        <v>667.15008</v>
      </c>
      <c r="V232">
        <f t="shared" si="52"/>
        <v>1020584.8327099996</v>
      </c>
      <c r="W232">
        <f t="shared" si="48"/>
        <v>873.92</v>
      </c>
      <c r="X232" s="6">
        <f t="shared" si="49"/>
        <v>-206.76991999999996</v>
      </c>
      <c r="Y232">
        <f t="shared" si="50"/>
        <v>-0.3099301434543783</v>
      </c>
      <c r="Z232">
        <v>202305</v>
      </c>
      <c r="AA232" s="18">
        <v>202301</v>
      </c>
      <c r="AB232" t="str">
        <v>May-2023</v>
      </c>
      <c r="AC232">
        <f t="shared" si="51"/>
        <v>4</v>
      </c>
      <c r="AD232" t="str">
        <f t="shared" si="53"/>
        <v>Late</v>
      </c>
      <c r="AE232">
        <f t="shared" si="54"/>
        <v>0</v>
      </c>
      <c r="AF232">
        <f t="shared" si="55"/>
        <v>0</v>
      </c>
    </row>
    <row r="233" spans="1:32" x14ac:dyDescent="0.25">
      <c r="A233" s="3" t="s">
        <v>237</v>
      </c>
      <c r="B233" s="4">
        <v>45771</v>
      </c>
      <c r="C233" s="4" t="str">
        <f t="shared" si="42"/>
        <v>Apr-2025</v>
      </c>
      <c r="D233" s="4" t="str">
        <f t="shared" si="43"/>
        <v>Q2</v>
      </c>
      <c r="E233" s="4">
        <v>45783</v>
      </c>
      <c r="F233" s="10">
        <f t="shared" si="44"/>
        <v>12</v>
      </c>
      <c r="G233" s="3" t="s">
        <v>640</v>
      </c>
      <c r="H233" s="3" t="s">
        <v>647</v>
      </c>
      <c r="I233" s="3" t="s">
        <v>664</v>
      </c>
      <c r="J233" t="str">
        <f t="shared" si="45"/>
        <v>Americas &gt; Brazil &gt; Brasília</v>
      </c>
      <c r="K233" s="3" t="s">
        <v>696</v>
      </c>
      <c r="L233" s="3" t="s">
        <v>700</v>
      </c>
      <c r="M233" s="3" t="s">
        <v>704</v>
      </c>
      <c r="N233" s="3" t="s">
        <v>722</v>
      </c>
      <c r="O233" s="3" t="s">
        <v>956</v>
      </c>
      <c r="P233" s="6">
        <v>394.13</v>
      </c>
      <c r="Q233" s="6">
        <v>932.29</v>
      </c>
      <c r="R233" s="6" t="str">
        <f t="shared" si="46"/>
        <v>Low</v>
      </c>
      <c r="S233" s="6">
        <v>0.109</v>
      </c>
      <c r="T233" s="6">
        <v>7</v>
      </c>
      <c r="U233">
        <f t="shared" si="47"/>
        <v>5814.6927299999998</v>
      </c>
      <c r="V233">
        <f t="shared" si="52"/>
        <v>1019917.6826299996</v>
      </c>
      <c r="W233">
        <f t="shared" si="48"/>
        <v>2758.91</v>
      </c>
      <c r="X233" s="6">
        <f t="shared" si="49"/>
        <v>3055.7827299999999</v>
      </c>
      <c r="Y233">
        <f t="shared" si="50"/>
        <v>0.5255278089303268</v>
      </c>
      <c r="Z233">
        <v>202504</v>
      </c>
      <c r="AA233" s="18">
        <v>202301</v>
      </c>
      <c r="AB233" t="str">
        <v>Apr-2023</v>
      </c>
      <c r="AC233">
        <f t="shared" si="51"/>
        <v>27</v>
      </c>
      <c r="AD233" t="str">
        <f t="shared" si="53"/>
        <v>Late</v>
      </c>
      <c r="AE233">
        <f t="shared" si="54"/>
        <v>0</v>
      </c>
      <c r="AF233">
        <f t="shared" si="55"/>
        <v>0</v>
      </c>
    </row>
    <row r="234" spans="1:32" x14ac:dyDescent="0.25">
      <c r="A234" s="3" t="s">
        <v>238</v>
      </c>
      <c r="B234" s="4">
        <v>45538</v>
      </c>
      <c r="C234" s="4" t="str">
        <f t="shared" si="42"/>
        <v>Sept-2024</v>
      </c>
      <c r="D234" s="4" t="str">
        <f t="shared" si="43"/>
        <v>Q3</v>
      </c>
      <c r="E234" s="4">
        <v>45543</v>
      </c>
      <c r="F234" s="10">
        <f t="shared" si="44"/>
        <v>5</v>
      </c>
      <c r="G234" s="3" t="s">
        <v>638</v>
      </c>
      <c r="H234" s="3" t="s">
        <v>643</v>
      </c>
      <c r="I234" s="3" t="s">
        <v>657</v>
      </c>
      <c r="J234" t="str">
        <f t="shared" si="45"/>
        <v>Africa &gt; Nigeria &gt; Lagos</v>
      </c>
      <c r="K234" s="3" t="s">
        <v>697</v>
      </c>
      <c r="L234" s="3" t="s">
        <v>703</v>
      </c>
      <c r="M234" s="3" t="s">
        <v>715</v>
      </c>
      <c r="N234" s="3" t="s">
        <v>720</v>
      </c>
      <c r="O234" s="3" t="s">
        <v>957</v>
      </c>
      <c r="P234" s="6">
        <v>197.63</v>
      </c>
      <c r="Q234" s="6">
        <v>325.79000000000002</v>
      </c>
      <c r="R234" s="6" t="str">
        <f t="shared" si="46"/>
        <v>Low</v>
      </c>
      <c r="S234" s="6">
        <v>0.11600000000000001</v>
      </c>
      <c r="T234" s="6">
        <v>10</v>
      </c>
      <c r="U234">
        <f t="shared" si="47"/>
        <v>2879.9836</v>
      </c>
      <c r="V234">
        <f t="shared" si="52"/>
        <v>1019917.6826299996</v>
      </c>
      <c r="W234">
        <f t="shared" si="48"/>
        <v>1976.3</v>
      </c>
      <c r="X234" s="6">
        <f t="shared" si="49"/>
        <v>903.68360000000007</v>
      </c>
      <c r="Y234">
        <f t="shared" si="50"/>
        <v>0.31378081458519419</v>
      </c>
      <c r="Z234">
        <v>202409</v>
      </c>
      <c r="AA234" s="18">
        <v>202301</v>
      </c>
      <c r="AB234" t="str">
        <v>Sept-2023</v>
      </c>
      <c r="AC234">
        <f t="shared" si="51"/>
        <v>20</v>
      </c>
      <c r="AD234" t="str">
        <f t="shared" si="53"/>
        <v>On Time</v>
      </c>
      <c r="AE234">
        <f t="shared" si="54"/>
        <v>1</v>
      </c>
      <c r="AF234">
        <f t="shared" si="55"/>
        <v>0</v>
      </c>
    </row>
    <row r="235" spans="1:32" x14ac:dyDescent="0.25">
      <c r="A235" s="3" t="s">
        <v>239</v>
      </c>
      <c r="B235" s="4">
        <v>45540</v>
      </c>
      <c r="C235" s="4" t="str">
        <f t="shared" si="42"/>
        <v>Sept-2024</v>
      </c>
      <c r="D235" s="4" t="str">
        <f t="shared" si="43"/>
        <v>Q3</v>
      </c>
      <c r="E235" s="4">
        <v>45560</v>
      </c>
      <c r="F235" s="10">
        <f t="shared" si="44"/>
        <v>20</v>
      </c>
      <c r="G235" s="3" t="s">
        <v>639</v>
      </c>
      <c r="H235" s="3" t="s">
        <v>644</v>
      </c>
      <c r="I235" s="3" t="s">
        <v>658</v>
      </c>
      <c r="J235" t="str">
        <f t="shared" si="45"/>
        <v>Asia &gt; Japan &gt; Osaka</v>
      </c>
      <c r="K235" s="3" t="s">
        <v>698</v>
      </c>
      <c r="L235" s="3" t="s">
        <v>702</v>
      </c>
      <c r="M235" s="3" t="s">
        <v>718</v>
      </c>
      <c r="N235" s="3" t="s">
        <v>724</v>
      </c>
      <c r="O235" s="3" t="s">
        <v>958</v>
      </c>
      <c r="P235" s="6">
        <v>195.54</v>
      </c>
      <c r="Q235" s="6">
        <v>405.97</v>
      </c>
      <c r="R235" s="6" t="str">
        <f t="shared" si="46"/>
        <v>Low</v>
      </c>
      <c r="S235" s="6">
        <v>0.187</v>
      </c>
      <c r="T235" s="6">
        <v>16</v>
      </c>
      <c r="U235">
        <f t="shared" si="47"/>
        <v>5280.8577599999999</v>
      </c>
      <c r="V235">
        <f t="shared" si="52"/>
        <v>1019917.6826299996</v>
      </c>
      <c r="W235">
        <f t="shared" si="48"/>
        <v>3128.64</v>
      </c>
      <c r="X235" s="6">
        <f t="shared" si="49"/>
        <v>2152.21776</v>
      </c>
      <c r="Y235">
        <f t="shared" si="50"/>
        <v>0.40755079152141377</v>
      </c>
      <c r="Z235">
        <v>202409</v>
      </c>
      <c r="AA235" s="18">
        <v>202303</v>
      </c>
      <c r="AB235" t="str">
        <v>Sept-2023</v>
      </c>
      <c r="AC235">
        <f t="shared" si="51"/>
        <v>18</v>
      </c>
      <c r="AD235" t="str">
        <f t="shared" si="53"/>
        <v>Late</v>
      </c>
      <c r="AE235">
        <f t="shared" si="54"/>
        <v>0</v>
      </c>
      <c r="AF235">
        <f t="shared" si="55"/>
        <v>0</v>
      </c>
    </row>
    <row r="236" spans="1:32" x14ac:dyDescent="0.25">
      <c r="A236" s="3" t="s">
        <v>240</v>
      </c>
      <c r="B236" s="4">
        <v>44999</v>
      </c>
      <c r="C236" s="4" t="str">
        <f t="shared" si="42"/>
        <v>Mar-2023</v>
      </c>
      <c r="D236" s="4" t="str">
        <f t="shared" si="43"/>
        <v>Q1</v>
      </c>
      <c r="E236" s="4">
        <v>45015</v>
      </c>
      <c r="F236" s="10">
        <f t="shared" si="44"/>
        <v>16</v>
      </c>
      <c r="G236" s="3" t="s">
        <v>638</v>
      </c>
      <c r="H236" s="3" t="s">
        <v>653</v>
      </c>
      <c r="I236" s="3" t="s">
        <v>687</v>
      </c>
      <c r="J236" t="str">
        <f t="shared" si="45"/>
        <v>Africa &gt; South Africa &gt; Cape Town</v>
      </c>
      <c r="K236" s="3" t="s">
        <v>696</v>
      </c>
      <c r="L236" s="3" t="s">
        <v>702</v>
      </c>
      <c r="M236" s="3" t="s">
        <v>715</v>
      </c>
      <c r="N236" s="3" t="s">
        <v>719</v>
      </c>
      <c r="O236" s="3" t="s">
        <v>959</v>
      </c>
      <c r="P236" s="6">
        <v>1309.77</v>
      </c>
      <c r="Q236" s="6">
        <v>1589.07</v>
      </c>
      <c r="R236" s="6" t="str">
        <f t="shared" si="46"/>
        <v>High</v>
      </c>
      <c r="S236" s="6">
        <v>0.10199999999999999</v>
      </c>
      <c r="T236" s="6">
        <v>10</v>
      </c>
      <c r="U236">
        <f t="shared" si="47"/>
        <v>14269.848599999999</v>
      </c>
      <c r="V236">
        <f t="shared" si="52"/>
        <v>1019917.6826299996</v>
      </c>
      <c r="W236">
        <f t="shared" si="48"/>
        <v>13097.7</v>
      </c>
      <c r="X236" s="6">
        <f t="shared" si="49"/>
        <v>1172.1485999999986</v>
      </c>
      <c r="Y236">
        <f t="shared" si="50"/>
        <v>8.2141628328137886E-2</v>
      </c>
      <c r="Z236">
        <v>202303</v>
      </c>
      <c r="AA236" s="18">
        <v>202301</v>
      </c>
      <c r="AB236" t="str">
        <v>Mar-2023</v>
      </c>
      <c r="AC236">
        <f t="shared" si="51"/>
        <v>2</v>
      </c>
      <c r="AD236" t="str">
        <f t="shared" si="53"/>
        <v>Late</v>
      </c>
      <c r="AE236">
        <f t="shared" si="54"/>
        <v>0</v>
      </c>
      <c r="AF236">
        <f t="shared" si="55"/>
        <v>0</v>
      </c>
    </row>
    <row r="237" spans="1:32" x14ac:dyDescent="0.25">
      <c r="A237" s="3" t="s">
        <v>241</v>
      </c>
      <c r="B237" s="4">
        <v>45302</v>
      </c>
      <c r="C237" s="4" t="str">
        <f t="shared" si="42"/>
        <v>Jan-2024</v>
      </c>
      <c r="D237" s="4" t="str">
        <f t="shared" si="43"/>
        <v>Q1</v>
      </c>
      <c r="E237" s="4">
        <v>45324</v>
      </c>
      <c r="F237" s="10">
        <f t="shared" si="44"/>
        <v>22</v>
      </c>
      <c r="G237" s="3" t="s">
        <v>639</v>
      </c>
      <c r="H237" s="3" t="s">
        <v>644</v>
      </c>
      <c r="I237" s="3" t="s">
        <v>686</v>
      </c>
      <c r="J237" t="str">
        <f t="shared" si="45"/>
        <v>Asia &gt; Japan &gt; Nagoya</v>
      </c>
      <c r="K237" s="3" t="s">
        <v>697</v>
      </c>
      <c r="L237" s="3" t="s">
        <v>700</v>
      </c>
      <c r="M237" s="3" t="s">
        <v>1413</v>
      </c>
      <c r="N237" s="3" t="s">
        <v>720</v>
      </c>
      <c r="O237" s="3" t="s">
        <v>960</v>
      </c>
      <c r="P237" s="6">
        <v>1237.68</v>
      </c>
      <c r="Q237" s="6">
        <v>1432.8</v>
      </c>
      <c r="R237" s="6" t="str">
        <f t="shared" si="46"/>
        <v>High</v>
      </c>
      <c r="S237" s="6">
        <v>6.8000000000000005E-2</v>
      </c>
      <c r="T237" s="6">
        <v>13</v>
      </c>
      <c r="U237">
        <f t="shared" si="47"/>
        <v>17359.804799999998</v>
      </c>
      <c r="V237">
        <f t="shared" si="52"/>
        <v>1005647.8340299997</v>
      </c>
      <c r="W237">
        <f t="shared" si="48"/>
        <v>16089.84</v>
      </c>
      <c r="X237" s="6">
        <f t="shared" si="49"/>
        <v>1269.9647999999979</v>
      </c>
      <c r="Y237">
        <f t="shared" si="50"/>
        <v>7.315547695559331E-2</v>
      </c>
      <c r="Z237">
        <v>202401</v>
      </c>
      <c r="AA237" s="18">
        <v>202303</v>
      </c>
      <c r="AB237" t="str">
        <v>Jan-2023</v>
      </c>
      <c r="AC237">
        <f t="shared" si="51"/>
        <v>10</v>
      </c>
      <c r="AD237" t="str">
        <f t="shared" si="53"/>
        <v>Late</v>
      </c>
      <c r="AE237">
        <f t="shared" si="54"/>
        <v>0</v>
      </c>
      <c r="AF237">
        <f t="shared" si="55"/>
        <v>0</v>
      </c>
    </row>
    <row r="238" spans="1:32" x14ac:dyDescent="0.25">
      <c r="A238" s="3" t="s">
        <v>242</v>
      </c>
      <c r="B238" s="4">
        <v>45548</v>
      </c>
      <c r="C238" s="4" t="str">
        <f t="shared" si="42"/>
        <v>Sept-2024</v>
      </c>
      <c r="D238" s="4" t="str">
        <f t="shared" si="43"/>
        <v>Q3</v>
      </c>
      <c r="E238" s="4">
        <v>45567</v>
      </c>
      <c r="F238" s="10">
        <f t="shared" si="44"/>
        <v>19</v>
      </c>
      <c r="G238" s="3" t="s">
        <v>638</v>
      </c>
      <c r="H238" s="3" t="s">
        <v>642</v>
      </c>
      <c r="I238" s="3" t="s">
        <v>667</v>
      </c>
      <c r="J238" t="str">
        <f t="shared" si="45"/>
        <v>Africa &gt; Kenya &gt; Mombasa</v>
      </c>
      <c r="K238" s="3" t="s">
        <v>697</v>
      </c>
      <c r="L238" s="3" t="s">
        <v>699</v>
      </c>
      <c r="M238" s="3" t="s">
        <v>716</v>
      </c>
      <c r="N238" s="3" t="s">
        <v>722</v>
      </c>
      <c r="O238" s="3" t="s">
        <v>961</v>
      </c>
      <c r="P238" s="6">
        <v>1338.99</v>
      </c>
      <c r="Q238" s="6">
        <v>1765.76</v>
      </c>
      <c r="R238" s="6" t="str">
        <f t="shared" si="46"/>
        <v>High</v>
      </c>
      <c r="S238" s="6">
        <v>0.126</v>
      </c>
      <c r="T238" s="6">
        <v>24</v>
      </c>
      <c r="U238">
        <f t="shared" si="47"/>
        <v>37038.581760000001</v>
      </c>
      <c r="V238">
        <f t="shared" si="52"/>
        <v>1005647.8340299997</v>
      </c>
      <c r="W238">
        <f t="shared" si="48"/>
        <v>32135.760000000002</v>
      </c>
      <c r="X238" s="6">
        <f t="shared" si="49"/>
        <v>4902.8217599999989</v>
      </c>
      <c r="Y238">
        <f t="shared" si="50"/>
        <v>0.1323706666677725</v>
      </c>
      <c r="Z238">
        <v>202409</v>
      </c>
      <c r="AA238" s="18">
        <v>202301</v>
      </c>
      <c r="AB238" t="str">
        <v>Sept-2023</v>
      </c>
      <c r="AC238">
        <f t="shared" si="51"/>
        <v>20</v>
      </c>
      <c r="AD238" t="str">
        <f t="shared" si="53"/>
        <v>Late</v>
      </c>
      <c r="AE238">
        <f t="shared" si="54"/>
        <v>0</v>
      </c>
      <c r="AF238">
        <f t="shared" si="55"/>
        <v>0</v>
      </c>
    </row>
    <row r="239" spans="1:32" x14ac:dyDescent="0.25">
      <c r="A239" s="3" t="s">
        <v>243</v>
      </c>
      <c r="B239" s="4">
        <v>45855</v>
      </c>
      <c r="C239" s="4" t="str">
        <f t="shared" si="42"/>
        <v>Jul-2025</v>
      </c>
      <c r="D239" s="4" t="str">
        <f t="shared" si="43"/>
        <v>Q3</v>
      </c>
      <c r="E239" s="4">
        <v>45861</v>
      </c>
      <c r="F239" s="10">
        <f t="shared" si="44"/>
        <v>6</v>
      </c>
      <c r="G239" s="3" t="s">
        <v>640</v>
      </c>
      <c r="H239" s="3" t="s">
        <v>645</v>
      </c>
      <c r="I239" s="3" t="s">
        <v>680</v>
      </c>
      <c r="J239" t="str">
        <f t="shared" si="45"/>
        <v>Americas &gt; Canada &gt; Vancouver</v>
      </c>
      <c r="K239" s="3" t="s">
        <v>696</v>
      </c>
      <c r="L239" s="3" t="s">
        <v>700</v>
      </c>
      <c r="M239" s="3" t="s">
        <v>714</v>
      </c>
      <c r="N239" s="3" t="s">
        <v>719</v>
      </c>
      <c r="O239" s="3" t="s">
        <v>962</v>
      </c>
      <c r="P239" s="6">
        <v>1364.89</v>
      </c>
      <c r="Q239" s="6">
        <v>2757.54</v>
      </c>
      <c r="R239" s="6" t="str">
        <f t="shared" si="46"/>
        <v>High</v>
      </c>
      <c r="S239" s="6">
        <v>0.17199999999999999</v>
      </c>
      <c r="T239" s="6">
        <v>61</v>
      </c>
      <c r="U239">
        <f t="shared" si="47"/>
        <v>139277.83032000001</v>
      </c>
      <c r="V239">
        <f t="shared" si="52"/>
        <v>1005647.8340299997</v>
      </c>
      <c r="W239">
        <f t="shared" si="48"/>
        <v>83258.290000000008</v>
      </c>
      <c r="X239" s="6">
        <f t="shared" si="49"/>
        <v>56019.54032</v>
      </c>
      <c r="Y239">
        <f t="shared" si="50"/>
        <v>0.4022143379983118</v>
      </c>
      <c r="Z239">
        <v>202507</v>
      </c>
      <c r="AA239" s="18">
        <v>202301</v>
      </c>
      <c r="AB239" t="str">
        <v>Jul-2023</v>
      </c>
      <c r="AC239">
        <f t="shared" si="51"/>
        <v>30</v>
      </c>
      <c r="AD239" t="str">
        <f t="shared" si="53"/>
        <v>On Time</v>
      </c>
      <c r="AE239">
        <f t="shared" si="54"/>
        <v>1</v>
      </c>
      <c r="AF239">
        <f t="shared" si="55"/>
        <v>0</v>
      </c>
    </row>
    <row r="240" spans="1:32" x14ac:dyDescent="0.25">
      <c r="A240" s="3" t="s">
        <v>244</v>
      </c>
      <c r="B240" s="4">
        <v>45258</v>
      </c>
      <c r="C240" s="4" t="str">
        <f t="shared" si="42"/>
        <v>Nov-2023</v>
      </c>
      <c r="D240" s="4" t="str">
        <f t="shared" si="43"/>
        <v>Q4</v>
      </c>
      <c r="E240" s="4">
        <v>45267</v>
      </c>
      <c r="F240" s="10">
        <f t="shared" si="44"/>
        <v>9</v>
      </c>
      <c r="G240" s="3" t="s">
        <v>639</v>
      </c>
      <c r="H240" s="3" t="s">
        <v>646</v>
      </c>
      <c r="I240" s="3" t="s">
        <v>672</v>
      </c>
      <c r="J240" t="str">
        <f t="shared" si="45"/>
        <v>Asia &gt; India &gt; Delhi</v>
      </c>
      <c r="K240" s="3" t="s">
        <v>698</v>
      </c>
      <c r="L240" s="3" t="s">
        <v>701</v>
      </c>
      <c r="M240" s="3" t="s">
        <v>708</v>
      </c>
      <c r="N240" s="3" t="s">
        <v>722</v>
      </c>
      <c r="O240" s="3" t="s">
        <v>963</v>
      </c>
      <c r="P240" s="6">
        <v>699.33</v>
      </c>
      <c r="Q240" s="6">
        <v>873.75</v>
      </c>
      <c r="R240" s="6" t="str">
        <f t="shared" si="46"/>
        <v>Medium</v>
      </c>
      <c r="S240" s="6">
        <v>0.23499999999999999</v>
      </c>
      <c r="T240" s="6">
        <v>10</v>
      </c>
      <c r="U240">
        <f t="shared" si="47"/>
        <v>6684.1875</v>
      </c>
      <c r="V240">
        <f t="shared" si="52"/>
        <v>866370.00370999996</v>
      </c>
      <c r="W240">
        <f t="shared" si="48"/>
        <v>6993.3</v>
      </c>
      <c r="X240" s="6">
        <f t="shared" si="49"/>
        <v>-309.11250000000018</v>
      </c>
      <c r="Y240">
        <f t="shared" si="50"/>
        <v>-4.6245336475076469E-2</v>
      </c>
      <c r="Z240">
        <v>202311</v>
      </c>
      <c r="AA240" s="18">
        <v>202301</v>
      </c>
      <c r="AB240" t="str">
        <v>Nov-2023</v>
      </c>
      <c r="AC240">
        <f t="shared" si="51"/>
        <v>10</v>
      </c>
      <c r="AD240" t="str">
        <f t="shared" si="53"/>
        <v>Late</v>
      </c>
      <c r="AE240">
        <f t="shared" si="54"/>
        <v>0</v>
      </c>
      <c r="AF240">
        <f t="shared" si="55"/>
        <v>1</v>
      </c>
    </row>
    <row r="241" spans="1:32" x14ac:dyDescent="0.25">
      <c r="A241" s="3" t="s">
        <v>245</v>
      </c>
      <c r="B241" s="4">
        <v>45381</v>
      </c>
      <c r="C241" s="4" t="str">
        <f t="shared" si="42"/>
        <v>Mar-2024</v>
      </c>
      <c r="D241" s="4" t="str">
        <f t="shared" si="43"/>
        <v>Q1</v>
      </c>
      <c r="E241" s="4">
        <v>45406</v>
      </c>
      <c r="F241" s="10">
        <f t="shared" si="44"/>
        <v>25</v>
      </c>
      <c r="G241" s="3" t="s">
        <v>640</v>
      </c>
      <c r="H241" s="3" t="s">
        <v>652</v>
      </c>
      <c r="I241" s="3" t="s">
        <v>689</v>
      </c>
      <c r="J241" t="str">
        <f t="shared" si="45"/>
        <v>Americas &gt; USA &gt; Austin</v>
      </c>
      <c r="K241" s="3" t="s">
        <v>695</v>
      </c>
      <c r="L241" s="3" t="s">
        <v>700</v>
      </c>
      <c r="M241" s="3" t="s">
        <v>707</v>
      </c>
      <c r="N241" s="3" t="s">
        <v>723</v>
      </c>
      <c r="O241" s="3" t="s">
        <v>964</v>
      </c>
      <c r="P241" s="6">
        <v>160.82</v>
      </c>
      <c r="Q241" s="6">
        <v>258.52</v>
      </c>
      <c r="R241" s="6" t="str">
        <f t="shared" si="46"/>
        <v>Low</v>
      </c>
      <c r="S241" s="6">
        <v>0.13</v>
      </c>
      <c r="T241" s="6">
        <v>17</v>
      </c>
      <c r="U241">
        <f t="shared" si="47"/>
        <v>3823.5108</v>
      </c>
      <c r="V241">
        <f t="shared" si="52"/>
        <v>866370.00370999996</v>
      </c>
      <c r="W241">
        <f t="shared" si="48"/>
        <v>2733.94</v>
      </c>
      <c r="X241" s="6">
        <f t="shared" si="49"/>
        <v>1089.5708</v>
      </c>
      <c r="Y241">
        <f t="shared" si="50"/>
        <v>0.28496605789631874</v>
      </c>
      <c r="Z241">
        <v>202403</v>
      </c>
      <c r="AA241" s="18">
        <v>202301</v>
      </c>
      <c r="AB241" t="str">
        <v>Mar-2023</v>
      </c>
      <c r="AC241">
        <f t="shared" si="51"/>
        <v>14</v>
      </c>
      <c r="AD241" t="str">
        <f t="shared" si="53"/>
        <v>Late</v>
      </c>
      <c r="AE241">
        <f t="shared" si="54"/>
        <v>0</v>
      </c>
      <c r="AF241">
        <f t="shared" si="55"/>
        <v>0</v>
      </c>
    </row>
    <row r="242" spans="1:32" x14ac:dyDescent="0.25">
      <c r="A242" s="3" t="s">
        <v>246</v>
      </c>
      <c r="B242" s="4">
        <v>45188</v>
      </c>
      <c r="C242" s="4" t="str">
        <f t="shared" si="42"/>
        <v>Sept-2023</v>
      </c>
      <c r="D242" s="4" t="str">
        <f t="shared" si="43"/>
        <v>Q3</v>
      </c>
      <c r="E242" s="4">
        <v>45207</v>
      </c>
      <c r="F242" s="10">
        <f t="shared" si="44"/>
        <v>19</v>
      </c>
      <c r="G242" s="3" t="s">
        <v>639</v>
      </c>
      <c r="H242" s="3" t="s">
        <v>646</v>
      </c>
      <c r="I242" s="3" t="s">
        <v>660</v>
      </c>
      <c r="J242" t="str">
        <f t="shared" si="45"/>
        <v>Asia &gt; India &gt; Bengaluru</v>
      </c>
      <c r="K242" s="3" t="s">
        <v>694</v>
      </c>
      <c r="L242" s="3" t="s">
        <v>703</v>
      </c>
      <c r="M242" s="3" t="s">
        <v>705</v>
      </c>
      <c r="N242" s="3" t="s">
        <v>720</v>
      </c>
      <c r="O242" s="3" t="s">
        <v>965</v>
      </c>
      <c r="P242" s="6">
        <v>385.32</v>
      </c>
      <c r="Q242" s="6">
        <v>606.76</v>
      </c>
      <c r="R242" s="6" t="str">
        <f t="shared" si="46"/>
        <v>Low</v>
      </c>
      <c r="S242" s="6">
        <v>8.5999999999999993E-2</v>
      </c>
      <c r="T242" s="6">
        <v>8</v>
      </c>
      <c r="U242">
        <f t="shared" si="47"/>
        <v>4436.6291200000005</v>
      </c>
      <c r="V242">
        <f t="shared" si="52"/>
        <v>866370.00370999996</v>
      </c>
      <c r="W242">
        <f t="shared" si="48"/>
        <v>3082.56</v>
      </c>
      <c r="X242" s="6">
        <f t="shared" si="49"/>
        <v>1354.0691200000006</v>
      </c>
      <c r="Y242">
        <f t="shared" si="50"/>
        <v>0.30520223425842735</v>
      </c>
      <c r="Z242">
        <v>202309</v>
      </c>
      <c r="AA242" s="18">
        <v>202301</v>
      </c>
      <c r="AB242" t="str">
        <v>Sept-2023</v>
      </c>
      <c r="AC242">
        <f t="shared" si="51"/>
        <v>8</v>
      </c>
      <c r="AD242" t="str">
        <f t="shared" si="53"/>
        <v>Late</v>
      </c>
      <c r="AE242">
        <f t="shared" si="54"/>
        <v>0</v>
      </c>
      <c r="AF242">
        <f t="shared" si="55"/>
        <v>0</v>
      </c>
    </row>
    <row r="243" spans="1:32" x14ac:dyDescent="0.25">
      <c r="A243" s="3" t="s">
        <v>247</v>
      </c>
      <c r="B243" s="4">
        <v>45793</v>
      </c>
      <c r="C243" s="4" t="str">
        <f t="shared" si="42"/>
        <v>May-2025</v>
      </c>
      <c r="D243" s="4" t="str">
        <f t="shared" si="43"/>
        <v>Q2</v>
      </c>
      <c r="E243" s="4">
        <v>45804</v>
      </c>
      <c r="F243" s="10">
        <f t="shared" si="44"/>
        <v>11</v>
      </c>
      <c r="G243" s="3" t="s">
        <v>639</v>
      </c>
      <c r="H243" s="3" t="s">
        <v>651</v>
      </c>
      <c r="I243" s="3" t="s">
        <v>691</v>
      </c>
      <c r="J243" t="str">
        <f t="shared" si="45"/>
        <v>Asia &gt; China &gt; Beijing</v>
      </c>
      <c r="K243" s="3" t="s">
        <v>698</v>
      </c>
      <c r="L243" s="3" t="s">
        <v>700</v>
      </c>
      <c r="M243" s="3" t="s">
        <v>713</v>
      </c>
      <c r="N243" s="3" t="s">
        <v>722</v>
      </c>
      <c r="O243" s="3" t="s">
        <v>966</v>
      </c>
      <c r="P243" s="6">
        <v>918.12</v>
      </c>
      <c r="Q243" s="6">
        <v>1337.69</v>
      </c>
      <c r="R243" s="6" t="str">
        <f t="shared" si="46"/>
        <v>Medium</v>
      </c>
      <c r="S243" s="6">
        <v>9.5000000000000001E-2</v>
      </c>
      <c r="T243" s="6">
        <v>8</v>
      </c>
      <c r="U243">
        <f t="shared" si="47"/>
        <v>9684.8756000000012</v>
      </c>
      <c r="V243">
        <f t="shared" si="52"/>
        <v>866370.00370999996</v>
      </c>
      <c r="W243">
        <f t="shared" si="48"/>
        <v>7344.96</v>
      </c>
      <c r="X243" s="6">
        <f t="shared" si="49"/>
        <v>2339.9156000000012</v>
      </c>
      <c r="Y243">
        <f t="shared" si="50"/>
        <v>0.24160512707050164</v>
      </c>
      <c r="Z243">
        <v>202505</v>
      </c>
      <c r="AA243" s="18">
        <v>202301</v>
      </c>
      <c r="AB243" t="str">
        <v>May-2023</v>
      </c>
      <c r="AC243">
        <f t="shared" si="51"/>
        <v>28</v>
      </c>
      <c r="AD243" t="str">
        <f t="shared" si="53"/>
        <v>Late</v>
      </c>
      <c r="AE243">
        <f t="shared" si="54"/>
        <v>0</v>
      </c>
      <c r="AF243">
        <f t="shared" si="55"/>
        <v>0</v>
      </c>
    </row>
    <row r="244" spans="1:32" x14ac:dyDescent="0.25">
      <c r="A244" s="3" t="s">
        <v>248</v>
      </c>
      <c r="B244" s="4">
        <v>45871</v>
      </c>
      <c r="C244" s="4" t="str">
        <f t="shared" si="42"/>
        <v>Aug-2025</v>
      </c>
      <c r="D244" s="4" t="str">
        <f t="shared" si="43"/>
        <v>Q3</v>
      </c>
      <c r="E244" s="4">
        <v>45877</v>
      </c>
      <c r="F244" s="10">
        <f t="shared" si="44"/>
        <v>6</v>
      </c>
      <c r="G244" s="3" t="s">
        <v>639</v>
      </c>
      <c r="H244" s="3" t="s">
        <v>644</v>
      </c>
      <c r="I244" s="3" t="s">
        <v>658</v>
      </c>
      <c r="J244" t="str">
        <f t="shared" si="45"/>
        <v>Asia &gt; Japan &gt; Osaka</v>
      </c>
      <c r="K244" s="3" t="s">
        <v>696</v>
      </c>
      <c r="L244" s="3" t="s">
        <v>703</v>
      </c>
      <c r="M244" s="3" t="s">
        <v>717</v>
      </c>
      <c r="N244" s="3" t="s">
        <v>723</v>
      </c>
      <c r="O244" s="3" t="s">
        <v>967</v>
      </c>
      <c r="P244" s="6">
        <v>1225.94</v>
      </c>
      <c r="Q244" s="6">
        <v>1793.08</v>
      </c>
      <c r="R244" s="6" t="str">
        <f t="shared" si="46"/>
        <v>High</v>
      </c>
      <c r="S244" s="6">
        <v>0.13600000000000001</v>
      </c>
      <c r="T244" s="6">
        <v>22</v>
      </c>
      <c r="U244">
        <f t="shared" si="47"/>
        <v>34082.864639999993</v>
      </c>
      <c r="V244">
        <f t="shared" si="52"/>
        <v>866370.00370999996</v>
      </c>
      <c r="W244">
        <f t="shared" si="48"/>
        <v>26970.68</v>
      </c>
      <c r="X244" s="6">
        <f t="shared" si="49"/>
        <v>7112.1846399999922</v>
      </c>
      <c r="Y244">
        <f t="shared" si="50"/>
        <v>0.20867332353434462</v>
      </c>
      <c r="Z244">
        <v>202508</v>
      </c>
      <c r="AA244" s="18">
        <v>202303</v>
      </c>
      <c r="AB244" t="str">
        <v>Aug-2023</v>
      </c>
      <c r="AC244">
        <f t="shared" si="51"/>
        <v>29</v>
      </c>
      <c r="AD244" t="str">
        <f t="shared" si="53"/>
        <v>On Time</v>
      </c>
      <c r="AE244">
        <f t="shared" si="54"/>
        <v>1</v>
      </c>
      <c r="AF244">
        <f t="shared" si="55"/>
        <v>0</v>
      </c>
    </row>
    <row r="245" spans="1:32" x14ac:dyDescent="0.25">
      <c r="A245" s="3" t="s">
        <v>249</v>
      </c>
      <c r="B245" s="4">
        <v>45630</v>
      </c>
      <c r="C245" s="4" t="str">
        <f t="shared" si="42"/>
        <v>Dec-2024</v>
      </c>
      <c r="D245" s="4" t="str">
        <f t="shared" si="43"/>
        <v>Q4</v>
      </c>
      <c r="E245" s="4">
        <v>45638</v>
      </c>
      <c r="F245" s="10">
        <f t="shared" si="44"/>
        <v>8</v>
      </c>
      <c r="G245" s="3" t="s">
        <v>641</v>
      </c>
      <c r="H245" s="3" t="s">
        <v>648</v>
      </c>
      <c r="I245" s="3" t="s">
        <v>690</v>
      </c>
      <c r="J245" t="str">
        <f t="shared" si="45"/>
        <v>Europe &gt; Germany &gt; Frankfurt</v>
      </c>
      <c r="K245" s="3" t="s">
        <v>698</v>
      </c>
      <c r="L245" s="3" t="s">
        <v>701</v>
      </c>
      <c r="M245" s="3" t="s">
        <v>709</v>
      </c>
      <c r="N245" s="3" t="s">
        <v>720</v>
      </c>
      <c r="O245" s="3" t="s">
        <v>968</v>
      </c>
      <c r="P245" s="6">
        <v>72.06</v>
      </c>
      <c r="Q245" s="6">
        <v>122.74</v>
      </c>
      <c r="R245" s="6" t="str">
        <f t="shared" si="46"/>
        <v>Low</v>
      </c>
      <c r="S245" s="6">
        <v>0.23799999999999999</v>
      </c>
      <c r="T245" s="6">
        <v>8</v>
      </c>
      <c r="U245">
        <f t="shared" si="47"/>
        <v>748.22303999999997</v>
      </c>
      <c r="V245">
        <f t="shared" si="52"/>
        <v>866370.00370999996</v>
      </c>
      <c r="W245">
        <f t="shared" si="48"/>
        <v>576.48</v>
      </c>
      <c r="X245" s="6">
        <f t="shared" si="49"/>
        <v>171.74303999999995</v>
      </c>
      <c r="Y245">
        <f t="shared" si="50"/>
        <v>0.22953455162246802</v>
      </c>
      <c r="Z245">
        <v>202412</v>
      </c>
      <c r="AA245" s="18">
        <v>202301</v>
      </c>
      <c r="AB245" t="str">
        <v>Dec-2023</v>
      </c>
      <c r="AC245">
        <f t="shared" si="51"/>
        <v>23</v>
      </c>
      <c r="AD245" t="str">
        <f t="shared" si="53"/>
        <v>Late</v>
      </c>
      <c r="AE245">
        <f t="shared" si="54"/>
        <v>0</v>
      </c>
      <c r="AF245">
        <f t="shared" si="55"/>
        <v>1</v>
      </c>
    </row>
    <row r="246" spans="1:32" x14ac:dyDescent="0.25">
      <c r="A246" s="3" t="s">
        <v>250</v>
      </c>
      <c r="B246" s="4">
        <v>45035</v>
      </c>
      <c r="C246" s="4" t="str">
        <f t="shared" si="42"/>
        <v>Apr-2023</v>
      </c>
      <c r="D246" s="4" t="str">
        <f t="shared" si="43"/>
        <v>Q2</v>
      </c>
      <c r="E246" s="4">
        <v>45044</v>
      </c>
      <c r="F246" s="10">
        <f t="shared" si="44"/>
        <v>9</v>
      </c>
      <c r="G246" s="3" t="s">
        <v>640</v>
      </c>
      <c r="H246" s="3" t="s">
        <v>647</v>
      </c>
      <c r="I246" s="3" t="s">
        <v>684</v>
      </c>
      <c r="J246" t="str">
        <f t="shared" si="45"/>
        <v>Americas &gt; Brazil &gt; Rio de Janeiro</v>
      </c>
      <c r="K246" s="3" t="s">
        <v>693</v>
      </c>
      <c r="L246" s="3" t="s">
        <v>702</v>
      </c>
      <c r="M246" s="3" t="s">
        <v>716</v>
      </c>
      <c r="N246" s="3" t="s">
        <v>722</v>
      </c>
      <c r="O246" s="3" t="s">
        <v>969</v>
      </c>
      <c r="P246" s="6">
        <v>1013.54</v>
      </c>
      <c r="Q246" s="6">
        <v>927.93</v>
      </c>
      <c r="R246" s="6" t="str">
        <f t="shared" si="46"/>
        <v>High</v>
      </c>
      <c r="S246" s="6">
        <v>0.17499999999999999</v>
      </c>
      <c r="T246" s="6">
        <v>16</v>
      </c>
      <c r="U246">
        <f t="shared" si="47"/>
        <v>12248.675999999999</v>
      </c>
      <c r="V246">
        <f t="shared" si="52"/>
        <v>866370.00370999996</v>
      </c>
      <c r="W246">
        <f t="shared" si="48"/>
        <v>16216.64</v>
      </c>
      <c r="X246" s="6">
        <f t="shared" si="49"/>
        <v>-3967.9639999999999</v>
      </c>
      <c r="Y246">
        <f t="shared" si="50"/>
        <v>-0.32395044166406234</v>
      </c>
      <c r="Z246">
        <v>202304</v>
      </c>
      <c r="AA246" s="18">
        <v>202301</v>
      </c>
      <c r="AB246" t="str">
        <v>Apr-2023</v>
      </c>
      <c r="AC246">
        <f t="shared" si="51"/>
        <v>3</v>
      </c>
      <c r="AD246" t="str">
        <f t="shared" si="53"/>
        <v>Late</v>
      </c>
      <c r="AE246">
        <f t="shared" si="54"/>
        <v>0</v>
      </c>
      <c r="AF246">
        <f t="shared" si="55"/>
        <v>0</v>
      </c>
    </row>
    <row r="247" spans="1:32" x14ac:dyDescent="0.25">
      <c r="A247" s="3" t="s">
        <v>251</v>
      </c>
      <c r="B247" s="4">
        <v>45357</v>
      </c>
      <c r="C247" s="4" t="str">
        <f t="shared" si="42"/>
        <v>Mar-2024</v>
      </c>
      <c r="D247" s="4" t="str">
        <f t="shared" si="43"/>
        <v>Q1</v>
      </c>
      <c r="E247" s="4">
        <v>45377</v>
      </c>
      <c r="F247" s="10">
        <f t="shared" si="44"/>
        <v>20</v>
      </c>
      <c r="G247" s="3" t="s">
        <v>638</v>
      </c>
      <c r="H247" s="3" t="s">
        <v>643</v>
      </c>
      <c r="I247" s="3" t="s">
        <v>655</v>
      </c>
      <c r="J247" t="str">
        <f t="shared" si="45"/>
        <v>Africa &gt; Nigeria &gt; Port Harcourt</v>
      </c>
      <c r="K247" s="3" t="s">
        <v>696</v>
      </c>
      <c r="L247" s="3" t="s">
        <v>701</v>
      </c>
      <c r="M247" s="3" t="s">
        <v>706</v>
      </c>
      <c r="N247" s="3" t="s">
        <v>722</v>
      </c>
      <c r="O247" s="3" t="s">
        <v>970</v>
      </c>
      <c r="P247" s="6">
        <v>65.64</v>
      </c>
      <c r="Q247" s="6">
        <v>151.88</v>
      </c>
      <c r="R247" s="6" t="str">
        <f t="shared" si="46"/>
        <v>Low</v>
      </c>
      <c r="S247" s="6">
        <v>0.16700000000000001</v>
      </c>
      <c r="T247" s="6">
        <v>23</v>
      </c>
      <c r="U247">
        <f t="shared" si="47"/>
        <v>2909.8689199999999</v>
      </c>
      <c r="V247">
        <f t="shared" si="52"/>
        <v>866370.00370999996</v>
      </c>
      <c r="W247">
        <f t="shared" si="48"/>
        <v>1509.72</v>
      </c>
      <c r="X247" s="6">
        <f t="shared" si="49"/>
        <v>1400.1489199999999</v>
      </c>
      <c r="Y247">
        <f t="shared" si="50"/>
        <v>0.48117250587356353</v>
      </c>
      <c r="Z247">
        <v>202403</v>
      </c>
      <c r="AA247" s="18">
        <v>202301</v>
      </c>
      <c r="AB247" t="str">
        <v>Mar-2023</v>
      </c>
      <c r="AC247">
        <f t="shared" si="51"/>
        <v>14</v>
      </c>
      <c r="AD247" t="str">
        <f t="shared" si="53"/>
        <v>Late</v>
      </c>
      <c r="AE247">
        <f t="shared" si="54"/>
        <v>0</v>
      </c>
      <c r="AF247">
        <f t="shared" si="55"/>
        <v>0</v>
      </c>
    </row>
    <row r="248" spans="1:32" x14ac:dyDescent="0.25">
      <c r="A248" s="3" t="s">
        <v>252</v>
      </c>
      <c r="B248" s="4">
        <v>45338</v>
      </c>
      <c r="C248" s="4" t="str">
        <f t="shared" si="42"/>
        <v>Feb-2024</v>
      </c>
      <c r="D248" s="4" t="str">
        <f t="shared" si="43"/>
        <v>Q1</v>
      </c>
      <c r="E248" s="4">
        <v>45355</v>
      </c>
      <c r="F248" s="10">
        <f t="shared" si="44"/>
        <v>17</v>
      </c>
      <c r="G248" s="3" t="s">
        <v>640</v>
      </c>
      <c r="H248" s="3" t="s">
        <v>645</v>
      </c>
      <c r="I248" s="3" t="s">
        <v>673</v>
      </c>
      <c r="J248" t="str">
        <f t="shared" si="45"/>
        <v>Americas &gt; Canada &gt; Montreal</v>
      </c>
      <c r="K248" s="3" t="s">
        <v>695</v>
      </c>
      <c r="L248" s="3" t="s">
        <v>699</v>
      </c>
      <c r="M248" s="3" t="s">
        <v>718</v>
      </c>
      <c r="N248" s="3" t="s">
        <v>723</v>
      </c>
      <c r="O248" s="3" t="s">
        <v>971</v>
      </c>
      <c r="P248" s="6">
        <v>1350.98</v>
      </c>
      <c r="Q248" s="6">
        <v>2210.4</v>
      </c>
      <c r="R248" s="6" t="str">
        <f t="shared" si="46"/>
        <v>High</v>
      </c>
      <c r="S248" s="6">
        <v>0.26300000000000001</v>
      </c>
      <c r="T248" s="6">
        <v>6</v>
      </c>
      <c r="U248">
        <f t="shared" si="47"/>
        <v>9774.3888000000006</v>
      </c>
      <c r="V248">
        <f t="shared" si="52"/>
        <v>866370.00370999996</v>
      </c>
      <c r="W248">
        <f t="shared" si="48"/>
        <v>8105.88</v>
      </c>
      <c r="X248" s="6">
        <f t="shared" si="49"/>
        <v>1668.5088000000005</v>
      </c>
      <c r="Y248">
        <f t="shared" si="50"/>
        <v>0.17070211080615091</v>
      </c>
      <c r="Z248">
        <v>202402</v>
      </c>
      <c r="AA248" s="18">
        <v>202301</v>
      </c>
      <c r="AB248" t="str">
        <v>Feb-2023</v>
      </c>
      <c r="AC248">
        <f t="shared" si="51"/>
        <v>13</v>
      </c>
      <c r="AD248" t="str">
        <f t="shared" si="53"/>
        <v>Late</v>
      </c>
      <c r="AE248">
        <f t="shared" si="54"/>
        <v>0</v>
      </c>
      <c r="AF248">
        <f t="shared" si="55"/>
        <v>1</v>
      </c>
    </row>
    <row r="249" spans="1:32" x14ac:dyDescent="0.25">
      <c r="A249" s="3" t="s">
        <v>253</v>
      </c>
      <c r="B249" s="4">
        <v>45769</v>
      </c>
      <c r="C249" s="4" t="str">
        <f t="shared" si="42"/>
        <v>Apr-2025</v>
      </c>
      <c r="D249" s="4" t="str">
        <f t="shared" si="43"/>
        <v>Q2</v>
      </c>
      <c r="E249" s="4">
        <v>45779</v>
      </c>
      <c r="F249" s="10">
        <f t="shared" si="44"/>
        <v>10</v>
      </c>
      <c r="G249" s="3" t="s">
        <v>641</v>
      </c>
      <c r="H249" s="3" t="s">
        <v>648</v>
      </c>
      <c r="I249" s="3" t="s">
        <v>663</v>
      </c>
      <c r="J249" t="str">
        <f t="shared" si="45"/>
        <v>Europe &gt; Germany &gt; Berlin</v>
      </c>
      <c r="K249" s="3" t="s">
        <v>693</v>
      </c>
      <c r="L249" s="3" t="s">
        <v>701</v>
      </c>
      <c r="M249" s="3" t="s">
        <v>704</v>
      </c>
      <c r="N249" s="3" t="s">
        <v>724</v>
      </c>
      <c r="O249" s="3" t="s">
        <v>972</v>
      </c>
      <c r="P249" s="6">
        <v>20.149999999999999</v>
      </c>
      <c r="Q249" s="6">
        <v>39.74</v>
      </c>
      <c r="R249" s="6" t="str">
        <f t="shared" si="46"/>
        <v>Low</v>
      </c>
      <c r="S249" s="6">
        <v>0.151</v>
      </c>
      <c r="T249" s="6">
        <v>18</v>
      </c>
      <c r="U249">
        <f t="shared" si="47"/>
        <v>607.30668000000003</v>
      </c>
      <c r="V249">
        <f t="shared" si="52"/>
        <v>866370.00370999996</v>
      </c>
      <c r="W249">
        <f t="shared" si="48"/>
        <v>362.7</v>
      </c>
      <c r="X249" s="6">
        <f t="shared" si="49"/>
        <v>244.60668000000004</v>
      </c>
      <c r="Y249">
        <f t="shared" si="50"/>
        <v>0.4027729120318585</v>
      </c>
      <c r="Z249">
        <v>202504</v>
      </c>
      <c r="AA249" s="18">
        <v>202301</v>
      </c>
      <c r="AB249" t="str">
        <v>Apr-2023</v>
      </c>
      <c r="AC249">
        <f t="shared" si="51"/>
        <v>27</v>
      </c>
      <c r="AD249" t="str">
        <f t="shared" si="53"/>
        <v>Late</v>
      </c>
      <c r="AE249">
        <f t="shared" si="54"/>
        <v>0</v>
      </c>
      <c r="AF249">
        <f t="shared" si="55"/>
        <v>0</v>
      </c>
    </row>
    <row r="250" spans="1:32" x14ac:dyDescent="0.25">
      <c r="A250" s="3" t="s">
        <v>254</v>
      </c>
      <c r="B250" s="4">
        <v>45604</v>
      </c>
      <c r="C250" s="4" t="str">
        <f t="shared" si="42"/>
        <v>Nov-2024</v>
      </c>
      <c r="D250" s="4" t="str">
        <f t="shared" si="43"/>
        <v>Q4</v>
      </c>
      <c r="E250" s="4">
        <v>45604</v>
      </c>
      <c r="F250" s="10">
        <f t="shared" si="44"/>
        <v>0</v>
      </c>
      <c r="G250" s="3" t="s">
        <v>638</v>
      </c>
      <c r="H250" s="3" t="s">
        <v>642</v>
      </c>
      <c r="I250" s="3" t="s">
        <v>670</v>
      </c>
      <c r="J250" t="str">
        <f t="shared" si="45"/>
        <v>Africa &gt; Kenya &gt; Nakuru</v>
      </c>
      <c r="K250" s="3" t="s">
        <v>698</v>
      </c>
      <c r="L250" s="3" t="s">
        <v>701</v>
      </c>
      <c r="M250" s="3" t="s">
        <v>716</v>
      </c>
      <c r="N250" s="3" t="s">
        <v>721</v>
      </c>
      <c r="O250" s="3" t="s">
        <v>973</v>
      </c>
      <c r="P250" s="6">
        <v>803.28</v>
      </c>
      <c r="Q250" s="6">
        <v>1009</v>
      </c>
      <c r="R250" s="6" t="str">
        <f t="shared" si="46"/>
        <v>Medium</v>
      </c>
      <c r="S250" s="6">
        <v>0.11</v>
      </c>
      <c r="T250" s="6">
        <v>4</v>
      </c>
      <c r="U250">
        <f t="shared" si="47"/>
        <v>3592.04</v>
      </c>
      <c r="V250">
        <f t="shared" si="52"/>
        <v>866370.00370999996</v>
      </c>
      <c r="W250">
        <f t="shared" si="48"/>
        <v>3213.12</v>
      </c>
      <c r="X250" s="6">
        <f t="shared" si="49"/>
        <v>378.92000000000007</v>
      </c>
      <c r="Y250">
        <f t="shared" si="50"/>
        <v>0.10548880302001093</v>
      </c>
      <c r="Z250">
        <v>202411</v>
      </c>
      <c r="AA250" s="18">
        <v>202301</v>
      </c>
      <c r="AB250" t="str">
        <v>Nov-2023</v>
      </c>
      <c r="AC250">
        <f t="shared" si="51"/>
        <v>22</v>
      </c>
      <c r="AD250" t="str">
        <f t="shared" si="53"/>
        <v>On Time</v>
      </c>
      <c r="AE250">
        <f t="shared" si="54"/>
        <v>1</v>
      </c>
      <c r="AF250">
        <f t="shared" si="55"/>
        <v>0</v>
      </c>
    </row>
    <row r="251" spans="1:32" x14ac:dyDescent="0.25">
      <c r="A251" s="3" t="s">
        <v>255</v>
      </c>
      <c r="B251" s="4">
        <v>45912</v>
      </c>
      <c r="C251" s="4" t="str">
        <f t="shared" si="42"/>
        <v>Sept-2025</v>
      </c>
      <c r="D251" s="4" t="str">
        <f t="shared" si="43"/>
        <v>Q3</v>
      </c>
      <c r="E251" s="4">
        <v>45930</v>
      </c>
      <c r="F251" s="10">
        <f t="shared" si="44"/>
        <v>18</v>
      </c>
      <c r="G251" s="3" t="s">
        <v>639</v>
      </c>
      <c r="H251" s="3" t="s">
        <v>644</v>
      </c>
      <c r="I251" s="3" t="s">
        <v>686</v>
      </c>
      <c r="J251" t="str">
        <f t="shared" si="45"/>
        <v>Asia &gt; Japan &gt; Nagoya</v>
      </c>
      <c r="K251" s="3" t="s">
        <v>695</v>
      </c>
      <c r="L251" s="3" t="s">
        <v>701</v>
      </c>
      <c r="M251" s="3" t="s">
        <v>713</v>
      </c>
      <c r="N251" s="3" t="s">
        <v>724</v>
      </c>
      <c r="O251" s="3" t="s">
        <v>974</v>
      </c>
      <c r="P251" s="6">
        <v>1212.99</v>
      </c>
      <c r="Q251" s="6">
        <v>1653.64</v>
      </c>
      <c r="R251" s="6" t="str">
        <f t="shared" si="46"/>
        <v>High</v>
      </c>
      <c r="S251" s="6">
        <v>0.107</v>
      </c>
      <c r="T251" s="6">
        <v>8</v>
      </c>
      <c r="U251">
        <f t="shared" si="47"/>
        <v>11813.604160000001</v>
      </c>
      <c r="V251">
        <f t="shared" si="52"/>
        <v>866370.00370999996</v>
      </c>
      <c r="W251">
        <f t="shared" si="48"/>
        <v>9703.92</v>
      </c>
      <c r="X251" s="6">
        <f t="shared" si="49"/>
        <v>2109.6841600000007</v>
      </c>
      <c r="Y251">
        <f t="shared" si="50"/>
        <v>0.17858090819931455</v>
      </c>
      <c r="Z251">
        <v>202509</v>
      </c>
      <c r="AA251" s="18">
        <v>202303</v>
      </c>
      <c r="AB251" t="str">
        <v>Sept-2023</v>
      </c>
      <c r="AC251">
        <f t="shared" si="51"/>
        <v>30</v>
      </c>
      <c r="AD251" t="str">
        <f t="shared" si="53"/>
        <v>Late</v>
      </c>
      <c r="AE251">
        <f t="shared" si="54"/>
        <v>0</v>
      </c>
      <c r="AF251">
        <f t="shared" si="55"/>
        <v>0</v>
      </c>
    </row>
    <row r="252" spans="1:32" x14ac:dyDescent="0.25">
      <c r="A252" s="3" t="s">
        <v>256</v>
      </c>
      <c r="B252" s="4">
        <v>45537</v>
      </c>
      <c r="C252" s="4" t="str">
        <f t="shared" si="42"/>
        <v>Sept-2024</v>
      </c>
      <c r="D252" s="4" t="str">
        <f t="shared" si="43"/>
        <v>Q3</v>
      </c>
      <c r="E252" s="4">
        <v>45543</v>
      </c>
      <c r="F252" s="10">
        <f t="shared" si="44"/>
        <v>6</v>
      </c>
      <c r="G252" s="3" t="s">
        <v>640</v>
      </c>
      <c r="H252" s="3" t="s">
        <v>652</v>
      </c>
      <c r="I252" s="3" t="s">
        <v>689</v>
      </c>
      <c r="J252" t="str">
        <f t="shared" si="45"/>
        <v>Americas &gt; USA &gt; Austin</v>
      </c>
      <c r="K252" s="3" t="s">
        <v>696</v>
      </c>
      <c r="L252" s="3" t="s">
        <v>703</v>
      </c>
      <c r="M252" s="3" t="s">
        <v>714</v>
      </c>
      <c r="N252" s="3" t="s">
        <v>719</v>
      </c>
      <c r="O252" s="3" t="s">
        <v>975</v>
      </c>
      <c r="P252" s="6">
        <v>462.94</v>
      </c>
      <c r="Q252" s="6">
        <v>1015.7</v>
      </c>
      <c r="R252" s="6" t="str">
        <f t="shared" si="46"/>
        <v>Low</v>
      </c>
      <c r="S252" s="6">
        <v>0.14299999999999999</v>
      </c>
      <c r="T252" s="6">
        <v>14</v>
      </c>
      <c r="U252">
        <f t="shared" si="47"/>
        <v>12186.368600000002</v>
      </c>
      <c r="V252">
        <f t="shared" si="52"/>
        <v>866370.00370999996</v>
      </c>
      <c r="W252">
        <f t="shared" si="48"/>
        <v>6481.16</v>
      </c>
      <c r="X252" s="6">
        <f t="shared" si="49"/>
        <v>5705.2086000000018</v>
      </c>
      <c r="Y252">
        <f t="shared" si="50"/>
        <v>0.46816314090483041</v>
      </c>
      <c r="Z252">
        <v>202409</v>
      </c>
      <c r="AA252" s="18">
        <v>202301</v>
      </c>
      <c r="AB252" t="str">
        <v>Sept-2023</v>
      </c>
      <c r="AC252">
        <f t="shared" si="51"/>
        <v>20</v>
      </c>
      <c r="AD252" t="str">
        <f t="shared" si="53"/>
        <v>On Time</v>
      </c>
      <c r="AE252">
        <f t="shared" si="54"/>
        <v>1</v>
      </c>
      <c r="AF252">
        <f t="shared" si="55"/>
        <v>0</v>
      </c>
    </row>
    <row r="253" spans="1:32" x14ac:dyDescent="0.25">
      <c r="A253" s="3" t="s">
        <v>257</v>
      </c>
      <c r="B253" s="4">
        <v>44989</v>
      </c>
      <c r="C253" s="4" t="str">
        <f t="shared" si="42"/>
        <v>Mar-2023</v>
      </c>
      <c r="D253" s="4" t="str">
        <f t="shared" si="43"/>
        <v>Q1</v>
      </c>
      <c r="E253" s="4">
        <v>45009</v>
      </c>
      <c r="F253" s="10">
        <f t="shared" si="44"/>
        <v>20</v>
      </c>
      <c r="G253" s="3" t="s">
        <v>640</v>
      </c>
      <c r="H253" s="3" t="s">
        <v>645</v>
      </c>
      <c r="I253" s="3" t="s">
        <v>673</v>
      </c>
      <c r="J253" t="str">
        <f t="shared" si="45"/>
        <v>Americas &gt; Canada &gt; Montreal</v>
      </c>
      <c r="K253" s="3" t="s">
        <v>696</v>
      </c>
      <c r="L253" s="3" t="s">
        <v>702</v>
      </c>
      <c r="M253" s="3" t="s">
        <v>706</v>
      </c>
      <c r="N253" s="3" t="s">
        <v>723</v>
      </c>
      <c r="O253" s="3" t="s">
        <v>976</v>
      </c>
      <c r="P253" s="6">
        <v>481.71</v>
      </c>
      <c r="Q253" s="6">
        <v>912.45</v>
      </c>
      <c r="R253" s="6" t="str">
        <f t="shared" si="46"/>
        <v>Low</v>
      </c>
      <c r="S253" s="6">
        <v>0.20300000000000001</v>
      </c>
      <c r="T253" s="6">
        <v>24</v>
      </c>
      <c r="U253">
        <f t="shared" si="47"/>
        <v>17453.3436</v>
      </c>
      <c r="V253">
        <f t="shared" si="52"/>
        <v>854183.63511000003</v>
      </c>
      <c r="W253">
        <f t="shared" si="48"/>
        <v>11561.039999999999</v>
      </c>
      <c r="X253" s="6">
        <f t="shared" si="49"/>
        <v>5892.3036000000011</v>
      </c>
      <c r="Y253">
        <f t="shared" si="50"/>
        <v>0.33760313983619739</v>
      </c>
      <c r="Z253">
        <v>202303</v>
      </c>
      <c r="AA253" s="18">
        <v>202301</v>
      </c>
      <c r="AB253" t="str">
        <v>Mar-2023</v>
      </c>
      <c r="AC253">
        <f t="shared" si="51"/>
        <v>2</v>
      </c>
      <c r="AD253" t="str">
        <f t="shared" si="53"/>
        <v>Late</v>
      </c>
      <c r="AE253">
        <f t="shared" si="54"/>
        <v>0</v>
      </c>
      <c r="AF253">
        <f t="shared" si="55"/>
        <v>1</v>
      </c>
    </row>
    <row r="254" spans="1:32" x14ac:dyDescent="0.25">
      <c r="A254" s="3" t="s">
        <v>258</v>
      </c>
      <c r="B254" s="4">
        <v>45366</v>
      </c>
      <c r="C254" s="4" t="str">
        <f t="shared" si="42"/>
        <v>Mar-2024</v>
      </c>
      <c r="D254" s="4" t="str">
        <f t="shared" si="43"/>
        <v>Q1</v>
      </c>
      <c r="E254" s="4">
        <v>45391</v>
      </c>
      <c r="F254" s="10">
        <f t="shared" si="44"/>
        <v>25</v>
      </c>
      <c r="G254" s="3" t="s">
        <v>640</v>
      </c>
      <c r="H254" s="3" t="s">
        <v>645</v>
      </c>
      <c r="I254" s="3" t="s">
        <v>680</v>
      </c>
      <c r="J254" t="str">
        <f t="shared" si="45"/>
        <v>Americas &gt; Canada &gt; Vancouver</v>
      </c>
      <c r="K254" s="3" t="s">
        <v>696</v>
      </c>
      <c r="L254" s="3" t="s">
        <v>700</v>
      </c>
      <c r="M254" s="3" t="s">
        <v>713</v>
      </c>
      <c r="N254" s="3" t="s">
        <v>724</v>
      </c>
      <c r="O254" s="3" t="s">
        <v>977</v>
      </c>
      <c r="P254" s="6">
        <v>648.64</v>
      </c>
      <c r="Q254" s="6">
        <v>815.19</v>
      </c>
      <c r="R254" s="6" t="str">
        <f t="shared" si="46"/>
        <v>Medium</v>
      </c>
      <c r="S254" s="6">
        <v>0.22500000000000001</v>
      </c>
      <c r="T254" s="6">
        <v>28</v>
      </c>
      <c r="U254">
        <f t="shared" si="47"/>
        <v>17689.623</v>
      </c>
      <c r="V254">
        <f t="shared" si="52"/>
        <v>854183.63511000003</v>
      </c>
      <c r="W254">
        <f t="shared" si="48"/>
        <v>18161.919999999998</v>
      </c>
      <c r="X254" s="6">
        <f t="shared" si="49"/>
        <v>-472.29699999999866</v>
      </c>
      <c r="Y254">
        <f t="shared" si="50"/>
        <v>-2.6699099240272032E-2</v>
      </c>
      <c r="Z254">
        <v>202403</v>
      </c>
      <c r="AA254" s="18">
        <v>202301</v>
      </c>
      <c r="AB254" t="str">
        <v>Mar-2023</v>
      </c>
      <c r="AC254">
        <f t="shared" si="51"/>
        <v>14</v>
      </c>
      <c r="AD254" t="str">
        <f t="shared" si="53"/>
        <v>Late</v>
      </c>
      <c r="AE254">
        <f t="shared" si="54"/>
        <v>0</v>
      </c>
      <c r="AF254">
        <f t="shared" si="55"/>
        <v>1</v>
      </c>
    </row>
    <row r="255" spans="1:32" x14ac:dyDescent="0.25">
      <c r="A255" s="3" t="s">
        <v>259</v>
      </c>
      <c r="B255" s="4">
        <v>45502</v>
      </c>
      <c r="C255" s="4" t="str">
        <f t="shared" si="42"/>
        <v>Jul-2024</v>
      </c>
      <c r="D255" s="4" t="str">
        <f t="shared" si="43"/>
        <v>Q3</v>
      </c>
      <c r="E255" s="4">
        <v>45504</v>
      </c>
      <c r="F255" s="10">
        <f t="shared" si="44"/>
        <v>2</v>
      </c>
      <c r="G255" s="3" t="s">
        <v>640</v>
      </c>
      <c r="H255" s="3" t="s">
        <v>652</v>
      </c>
      <c r="I255" s="3" t="s">
        <v>692</v>
      </c>
      <c r="J255" t="str">
        <f t="shared" si="45"/>
        <v>Americas &gt; USA &gt; New York</v>
      </c>
      <c r="K255" s="3" t="s">
        <v>694</v>
      </c>
      <c r="L255" s="3" t="s">
        <v>701</v>
      </c>
      <c r="M255" s="3" t="s">
        <v>706</v>
      </c>
      <c r="N255" s="3" t="s">
        <v>720</v>
      </c>
      <c r="O255" s="3" t="s">
        <v>978</v>
      </c>
      <c r="P255" s="6">
        <v>798.97</v>
      </c>
      <c r="Q255" s="6">
        <v>1814.06</v>
      </c>
      <c r="R255" s="6" t="str">
        <f t="shared" si="46"/>
        <v>Medium</v>
      </c>
      <c r="S255" s="6">
        <v>0.122</v>
      </c>
      <c r="T255" s="6">
        <v>16</v>
      </c>
      <c r="U255">
        <f t="shared" si="47"/>
        <v>25483.91488</v>
      </c>
      <c r="V255">
        <f t="shared" si="52"/>
        <v>854183.63511000003</v>
      </c>
      <c r="W255">
        <f t="shared" si="48"/>
        <v>12783.52</v>
      </c>
      <c r="X255" s="6">
        <f t="shared" si="49"/>
        <v>12700.39488</v>
      </c>
      <c r="Y255">
        <f t="shared" si="50"/>
        <v>0.49836906691159061</v>
      </c>
      <c r="Z255">
        <v>202407</v>
      </c>
      <c r="AA255" s="18">
        <v>202301</v>
      </c>
      <c r="AB255" t="str">
        <v>Jul-2023</v>
      </c>
      <c r="AC255">
        <f t="shared" si="51"/>
        <v>18</v>
      </c>
      <c r="AD255" t="str">
        <f t="shared" si="53"/>
        <v>On Time</v>
      </c>
      <c r="AE255">
        <f t="shared" si="54"/>
        <v>1</v>
      </c>
      <c r="AF255">
        <f t="shared" si="55"/>
        <v>0</v>
      </c>
    </row>
    <row r="256" spans="1:32" x14ac:dyDescent="0.25">
      <c r="A256" s="3" t="s">
        <v>260</v>
      </c>
      <c r="B256" s="4">
        <v>45592</v>
      </c>
      <c r="C256" s="4" t="str">
        <f t="shared" si="42"/>
        <v>Oct-2024</v>
      </c>
      <c r="D256" s="4" t="str">
        <f t="shared" si="43"/>
        <v>Q4</v>
      </c>
      <c r="E256" s="4">
        <v>45616</v>
      </c>
      <c r="F256" s="10">
        <f t="shared" si="44"/>
        <v>24</v>
      </c>
      <c r="G256" s="3" t="s">
        <v>639</v>
      </c>
      <c r="H256" s="3" t="s">
        <v>644</v>
      </c>
      <c r="I256" s="3" t="s">
        <v>686</v>
      </c>
      <c r="J256" t="str">
        <f t="shared" si="45"/>
        <v>Asia &gt; Japan &gt; Nagoya</v>
      </c>
      <c r="K256" s="3" t="s">
        <v>695</v>
      </c>
      <c r="L256" s="3" t="s">
        <v>700</v>
      </c>
      <c r="M256" s="3" t="s">
        <v>714</v>
      </c>
      <c r="N256" s="3" t="s">
        <v>724</v>
      </c>
      <c r="O256" s="3" t="s">
        <v>979</v>
      </c>
      <c r="P256" s="6">
        <v>317.25</v>
      </c>
      <c r="Q256" s="6">
        <v>758.92</v>
      </c>
      <c r="R256" s="6" t="str">
        <f t="shared" si="46"/>
        <v>Low</v>
      </c>
      <c r="S256" s="6">
        <v>5.2999999999999999E-2</v>
      </c>
      <c r="T256" s="6">
        <v>9</v>
      </c>
      <c r="U256">
        <f t="shared" si="47"/>
        <v>6468.2751599999992</v>
      </c>
      <c r="V256">
        <f t="shared" si="52"/>
        <v>854183.63511000003</v>
      </c>
      <c r="W256">
        <f t="shared" si="48"/>
        <v>2855.25</v>
      </c>
      <c r="X256" s="6">
        <f t="shared" si="49"/>
        <v>3613.0251599999992</v>
      </c>
      <c r="Y256">
        <f t="shared" si="50"/>
        <v>0.5585762928489888</v>
      </c>
      <c r="Z256">
        <v>202410</v>
      </c>
      <c r="AA256" s="18">
        <v>202303</v>
      </c>
      <c r="AB256" t="str">
        <v>Oct-2023</v>
      </c>
      <c r="AC256">
        <f t="shared" si="51"/>
        <v>19</v>
      </c>
      <c r="AD256" t="str">
        <f t="shared" si="53"/>
        <v>Late</v>
      </c>
      <c r="AE256">
        <f t="shared" si="54"/>
        <v>0</v>
      </c>
      <c r="AF256">
        <f t="shared" si="55"/>
        <v>0</v>
      </c>
    </row>
    <row r="257" spans="1:32" x14ac:dyDescent="0.25">
      <c r="A257" s="3" t="s">
        <v>261</v>
      </c>
      <c r="B257" s="4">
        <v>45411</v>
      </c>
      <c r="C257" s="4" t="str">
        <f t="shared" si="42"/>
        <v>Apr-2024</v>
      </c>
      <c r="D257" s="4" t="str">
        <f t="shared" si="43"/>
        <v>Q2</v>
      </c>
      <c r="E257" s="4">
        <v>45431</v>
      </c>
      <c r="F257" s="10">
        <f t="shared" si="44"/>
        <v>20</v>
      </c>
      <c r="G257" s="3" t="s">
        <v>641</v>
      </c>
      <c r="H257" s="3" t="s">
        <v>648</v>
      </c>
      <c r="I257" s="3" t="s">
        <v>690</v>
      </c>
      <c r="J257" t="str">
        <f t="shared" si="45"/>
        <v>Europe &gt; Germany &gt; Frankfurt</v>
      </c>
      <c r="K257" s="3" t="s">
        <v>698</v>
      </c>
      <c r="L257" s="3" t="s">
        <v>701</v>
      </c>
      <c r="M257" s="3" t="s">
        <v>704</v>
      </c>
      <c r="N257" s="3" t="s">
        <v>723</v>
      </c>
      <c r="O257" s="3" t="s">
        <v>980</v>
      </c>
      <c r="P257" s="6">
        <v>668.97</v>
      </c>
      <c r="Q257" s="6">
        <v>1667.44</v>
      </c>
      <c r="R257" s="6" t="str">
        <f t="shared" si="46"/>
        <v>Medium</v>
      </c>
      <c r="S257" s="6">
        <v>3.4000000000000002E-2</v>
      </c>
      <c r="T257" s="6">
        <v>15</v>
      </c>
      <c r="U257">
        <f t="shared" si="47"/>
        <v>24161.205600000001</v>
      </c>
      <c r="V257">
        <f t="shared" si="52"/>
        <v>854183.63511000003</v>
      </c>
      <c r="W257">
        <f t="shared" si="48"/>
        <v>10034.550000000001</v>
      </c>
      <c r="X257" s="6">
        <f t="shared" si="49"/>
        <v>14126.6556</v>
      </c>
      <c r="Y257">
        <f t="shared" si="50"/>
        <v>0.58468339013679016</v>
      </c>
      <c r="Z257">
        <v>202404</v>
      </c>
      <c r="AA257" s="18">
        <v>202301</v>
      </c>
      <c r="AB257" t="str">
        <v>Apr-2023</v>
      </c>
      <c r="AC257">
        <f t="shared" si="51"/>
        <v>15</v>
      </c>
      <c r="AD257" t="str">
        <f t="shared" si="53"/>
        <v>Late</v>
      </c>
      <c r="AE257">
        <f t="shared" si="54"/>
        <v>0</v>
      </c>
      <c r="AF257">
        <f t="shared" si="55"/>
        <v>0</v>
      </c>
    </row>
    <row r="258" spans="1:32" x14ac:dyDescent="0.25">
      <c r="A258" s="3" t="s">
        <v>262</v>
      </c>
      <c r="B258" s="4">
        <v>45204</v>
      </c>
      <c r="C258" s="4" t="str">
        <f t="shared" ref="C258:C321" si="56">TEXT(B258,"MMM-YYYY")</f>
        <v>Oct-2023</v>
      </c>
      <c r="D258" s="4" t="str">
        <f t="shared" ref="D258:D321" si="57">IF(MONTH(B258)&lt;=3,"Q1",IF(MONTH(B258)&lt;=6,"Q2",IF(MONTH(B258)&lt;=9,"Q3","Q4")))</f>
        <v>Q4</v>
      </c>
      <c r="E258" s="4">
        <v>45205</v>
      </c>
      <c r="F258" s="10">
        <f t="shared" ref="F258:F321" si="58">ABS(E258-B258)</f>
        <v>1</v>
      </c>
      <c r="G258" s="3" t="s">
        <v>639</v>
      </c>
      <c r="H258" s="3" t="s">
        <v>646</v>
      </c>
      <c r="I258" s="3" t="s">
        <v>660</v>
      </c>
      <c r="J258" t="str">
        <f t="shared" ref="J258:J321" si="59">G258 &amp; " &gt; " &amp; H258 &amp; " &gt; " &amp; I258</f>
        <v>Asia &gt; India &gt; Bengaluru</v>
      </c>
      <c r="K258" s="3" t="s">
        <v>695</v>
      </c>
      <c r="L258" s="3" t="s">
        <v>700</v>
      </c>
      <c r="M258" s="3" t="s">
        <v>706</v>
      </c>
      <c r="N258" s="3" t="s">
        <v>719</v>
      </c>
      <c r="O258" s="3" t="s">
        <v>981</v>
      </c>
      <c r="P258" s="6">
        <v>1470.26</v>
      </c>
      <c r="Q258" s="6">
        <v>2562.5500000000002</v>
      </c>
      <c r="R258" s="6" t="str">
        <f t="shared" ref="R258:R321" si="60">IF(P258&lt;=500,"Low",IF(P258&lt;=1000,"Medium","High"))</f>
        <v>High</v>
      </c>
      <c r="S258" s="6">
        <v>0.17299999999999999</v>
      </c>
      <c r="T258" s="6">
        <v>9</v>
      </c>
      <c r="U258">
        <f t="shared" ref="U258:U321" si="61">(Q258*T258*(1-S258))</f>
        <v>19073.059649999999</v>
      </c>
      <c r="V258">
        <f t="shared" si="52"/>
        <v>854183.63511000003</v>
      </c>
      <c r="W258">
        <f t="shared" ref="W258:W321" si="62">(P258*T258)</f>
        <v>13232.34</v>
      </c>
      <c r="X258" s="6">
        <f t="shared" ref="X258:X321" si="63">(U258-W258)</f>
        <v>5840.7196499999991</v>
      </c>
      <c r="Y258">
        <f t="shared" ref="Y258:Y321" si="64">IF(U258=0,0,X258/U258)</f>
        <v>0.30622877279157462</v>
      </c>
      <c r="Z258">
        <v>202310</v>
      </c>
      <c r="AA258" s="18">
        <v>202301</v>
      </c>
      <c r="AB258" t="str">
        <v>Oct-2023</v>
      </c>
      <c r="AC258">
        <f t="shared" ref="AC258:AC321" si="65">DATEDIF(DATE(LEFT(AA258,4),RIGHT(AA258,2),1),B258,"M")</f>
        <v>9</v>
      </c>
      <c r="AD258" t="str">
        <f t="shared" si="53"/>
        <v>On Time</v>
      </c>
      <c r="AE258">
        <f t="shared" si="54"/>
        <v>1</v>
      </c>
      <c r="AF258">
        <f t="shared" si="55"/>
        <v>0</v>
      </c>
    </row>
    <row r="259" spans="1:32" x14ac:dyDescent="0.25">
      <c r="A259" s="3" t="s">
        <v>263</v>
      </c>
      <c r="B259" s="4">
        <v>45035</v>
      </c>
      <c r="C259" s="4" t="str">
        <f t="shared" si="56"/>
        <v>Apr-2023</v>
      </c>
      <c r="D259" s="4" t="str">
        <f t="shared" si="57"/>
        <v>Q2</v>
      </c>
      <c r="E259" s="4">
        <v>45053</v>
      </c>
      <c r="F259" s="10">
        <f t="shared" si="58"/>
        <v>18</v>
      </c>
      <c r="G259" s="3" t="s">
        <v>641</v>
      </c>
      <c r="H259" s="3" t="s">
        <v>650</v>
      </c>
      <c r="I259" s="3" t="s">
        <v>675</v>
      </c>
      <c r="J259" t="str">
        <f t="shared" si="59"/>
        <v>Europe &gt; United Kingdom &gt; London</v>
      </c>
      <c r="K259" s="3" t="s">
        <v>695</v>
      </c>
      <c r="L259" s="3" t="s">
        <v>703</v>
      </c>
      <c r="M259" s="3" t="s">
        <v>714</v>
      </c>
      <c r="N259" s="3" t="s">
        <v>721</v>
      </c>
      <c r="O259" s="3" t="s">
        <v>982</v>
      </c>
      <c r="P259" s="6">
        <v>516.96</v>
      </c>
      <c r="Q259" s="6">
        <v>745.38</v>
      </c>
      <c r="R259" s="6" t="str">
        <f t="shared" si="60"/>
        <v>Medium</v>
      </c>
      <c r="S259" s="6">
        <v>0.19700000000000001</v>
      </c>
      <c r="T259" s="6">
        <v>4</v>
      </c>
      <c r="U259">
        <f t="shared" si="61"/>
        <v>2394.1605599999998</v>
      </c>
      <c r="V259">
        <f t="shared" ref="V259:V322" si="66">SUMIFS(U259:U890,N259:N890,"Components")</f>
        <v>835110.57546000008</v>
      </c>
      <c r="W259">
        <f t="shared" si="62"/>
        <v>2067.84</v>
      </c>
      <c r="X259" s="6">
        <f t="shared" si="63"/>
        <v>326.32055999999966</v>
      </c>
      <c r="Y259">
        <f t="shared" si="64"/>
        <v>0.13629852794835101</v>
      </c>
      <c r="Z259">
        <v>202304</v>
      </c>
      <c r="AA259" s="18">
        <v>202301</v>
      </c>
      <c r="AB259" t="str">
        <v>Apr-2023</v>
      </c>
      <c r="AC259">
        <f t="shared" si="65"/>
        <v>3</v>
      </c>
      <c r="AD259" t="str">
        <f t="shared" ref="AD259:AD322" si="67">IF(F259&lt;=7,"On Time","Late")</f>
        <v>Late</v>
      </c>
      <c r="AE259">
        <f t="shared" ref="AE259:AE322" si="68">IF(F259&lt;=7,1,0)</f>
        <v>0</v>
      </c>
      <c r="AF259">
        <f t="shared" ref="AF259:AF322" si="69">IF(S259&gt;0.2,1,0)</f>
        <v>0</v>
      </c>
    </row>
    <row r="260" spans="1:32" x14ac:dyDescent="0.25">
      <c r="A260" s="3" t="s">
        <v>264</v>
      </c>
      <c r="B260" s="4">
        <v>45835</v>
      </c>
      <c r="C260" s="4" t="str">
        <f t="shared" si="56"/>
        <v>Jun-2025</v>
      </c>
      <c r="D260" s="4" t="str">
        <f t="shared" si="57"/>
        <v>Q2</v>
      </c>
      <c r="E260" s="4">
        <v>45843</v>
      </c>
      <c r="F260" s="10">
        <f t="shared" si="58"/>
        <v>8</v>
      </c>
      <c r="G260" s="3" t="s">
        <v>641</v>
      </c>
      <c r="H260" s="3" t="s">
        <v>648</v>
      </c>
      <c r="I260" s="3" t="s">
        <v>676</v>
      </c>
      <c r="J260" t="str">
        <f t="shared" si="59"/>
        <v>Europe &gt; Germany &gt; Munich</v>
      </c>
      <c r="K260" s="3" t="s">
        <v>697</v>
      </c>
      <c r="L260" s="3" t="s">
        <v>703</v>
      </c>
      <c r="M260" s="3" t="s">
        <v>707</v>
      </c>
      <c r="N260" s="3" t="s">
        <v>724</v>
      </c>
      <c r="O260" s="3" t="s">
        <v>983</v>
      </c>
      <c r="P260" s="6">
        <v>314.93</v>
      </c>
      <c r="Q260" s="6">
        <v>687.95</v>
      </c>
      <c r="R260" s="6" t="str">
        <f t="shared" si="60"/>
        <v>Low</v>
      </c>
      <c r="S260" s="6">
        <v>0.20499999999999999</v>
      </c>
      <c r="T260" s="6">
        <v>8</v>
      </c>
      <c r="U260">
        <f t="shared" si="61"/>
        <v>4375.3620000000001</v>
      </c>
      <c r="V260">
        <f t="shared" si="66"/>
        <v>835110.57546000008</v>
      </c>
      <c r="W260">
        <f t="shared" si="62"/>
        <v>2519.44</v>
      </c>
      <c r="X260" s="6">
        <f t="shared" si="63"/>
        <v>1855.922</v>
      </c>
      <c r="Y260">
        <f t="shared" si="64"/>
        <v>0.424175645352316</v>
      </c>
      <c r="Z260">
        <v>202506</v>
      </c>
      <c r="AA260" s="18">
        <v>202301</v>
      </c>
      <c r="AB260" t="str">
        <v>Jun-2023</v>
      </c>
      <c r="AC260">
        <f t="shared" si="65"/>
        <v>29</v>
      </c>
      <c r="AD260" t="str">
        <f t="shared" si="67"/>
        <v>Late</v>
      </c>
      <c r="AE260">
        <f t="shared" si="68"/>
        <v>0</v>
      </c>
      <c r="AF260">
        <f t="shared" si="69"/>
        <v>1</v>
      </c>
    </row>
    <row r="261" spans="1:32" x14ac:dyDescent="0.25">
      <c r="A261" s="3" t="s">
        <v>265</v>
      </c>
      <c r="B261" s="4">
        <v>45210</v>
      </c>
      <c r="C261" s="4" t="str">
        <f t="shared" si="56"/>
        <v>Oct-2023</v>
      </c>
      <c r="D261" s="4" t="str">
        <f t="shared" si="57"/>
        <v>Q4</v>
      </c>
      <c r="E261" s="4">
        <v>45212</v>
      </c>
      <c r="F261" s="10">
        <f t="shared" si="58"/>
        <v>2</v>
      </c>
      <c r="G261" s="3" t="s">
        <v>640</v>
      </c>
      <c r="H261" s="3" t="s">
        <v>647</v>
      </c>
      <c r="I261" s="3" t="s">
        <v>664</v>
      </c>
      <c r="J261" t="str">
        <f t="shared" si="59"/>
        <v>Americas &gt; Brazil &gt; Brasília</v>
      </c>
      <c r="K261" s="3" t="s">
        <v>696</v>
      </c>
      <c r="L261" s="3" t="s">
        <v>702</v>
      </c>
      <c r="M261" s="3" t="s">
        <v>1413</v>
      </c>
      <c r="N261" s="3" t="s">
        <v>725</v>
      </c>
      <c r="O261" s="3" t="s">
        <v>984</v>
      </c>
      <c r="P261" s="6">
        <v>715.94</v>
      </c>
      <c r="Q261" s="6">
        <v>550.07000000000005</v>
      </c>
      <c r="R261" s="6" t="str">
        <f t="shared" si="60"/>
        <v>Medium</v>
      </c>
      <c r="S261" s="6">
        <v>0.14000000000000001</v>
      </c>
      <c r="T261" s="6">
        <v>16</v>
      </c>
      <c r="U261">
        <f t="shared" si="61"/>
        <v>7568.9632000000001</v>
      </c>
      <c r="V261">
        <f t="shared" si="66"/>
        <v>835110.57546000008</v>
      </c>
      <c r="W261">
        <f t="shared" si="62"/>
        <v>11455.04</v>
      </c>
      <c r="X261" s="6">
        <f t="shared" si="63"/>
        <v>-3886.0768000000007</v>
      </c>
      <c r="Y261">
        <f t="shared" si="64"/>
        <v>-0.51342260456491595</v>
      </c>
      <c r="Z261">
        <v>202310</v>
      </c>
      <c r="AA261" s="18">
        <v>202301</v>
      </c>
      <c r="AB261" t="str">
        <v>Oct-2023</v>
      </c>
      <c r="AC261">
        <f t="shared" si="65"/>
        <v>9</v>
      </c>
      <c r="AD261" t="str">
        <f t="shared" si="67"/>
        <v>On Time</v>
      </c>
      <c r="AE261">
        <f t="shared" si="68"/>
        <v>1</v>
      </c>
      <c r="AF261">
        <f t="shared" si="69"/>
        <v>0</v>
      </c>
    </row>
    <row r="262" spans="1:32" x14ac:dyDescent="0.25">
      <c r="A262" s="3" t="s">
        <v>266</v>
      </c>
      <c r="B262" s="4">
        <v>45066</v>
      </c>
      <c r="C262" s="4" t="str">
        <f t="shared" si="56"/>
        <v>May-2023</v>
      </c>
      <c r="D262" s="4" t="str">
        <f t="shared" si="57"/>
        <v>Q2</v>
      </c>
      <c r="E262" s="4">
        <v>45084</v>
      </c>
      <c r="F262" s="10">
        <f t="shared" si="58"/>
        <v>18</v>
      </c>
      <c r="G262" s="3" t="s">
        <v>638</v>
      </c>
      <c r="H262" s="3" t="s">
        <v>643</v>
      </c>
      <c r="I262" s="3" t="s">
        <v>655</v>
      </c>
      <c r="J262" t="str">
        <f t="shared" si="59"/>
        <v>Africa &gt; Nigeria &gt; Port Harcourt</v>
      </c>
      <c r="K262" s="3" t="s">
        <v>698</v>
      </c>
      <c r="L262" s="3" t="s">
        <v>702</v>
      </c>
      <c r="M262" s="3" t="s">
        <v>710</v>
      </c>
      <c r="N262" s="3" t="s">
        <v>719</v>
      </c>
      <c r="O262" s="3" t="s">
        <v>985</v>
      </c>
      <c r="P262" s="6">
        <v>1120.06</v>
      </c>
      <c r="Q262" s="6">
        <v>2068.21</v>
      </c>
      <c r="R262" s="6" t="str">
        <f t="shared" si="60"/>
        <v>High</v>
      </c>
      <c r="S262" s="6">
        <v>7.8E-2</v>
      </c>
      <c r="T262" s="6">
        <v>12</v>
      </c>
      <c r="U262">
        <f t="shared" si="61"/>
        <v>22882.675440000003</v>
      </c>
      <c r="V262">
        <f t="shared" si="66"/>
        <v>835110.57546000008</v>
      </c>
      <c r="W262">
        <f t="shared" si="62"/>
        <v>13440.72</v>
      </c>
      <c r="X262" s="6">
        <f t="shared" si="63"/>
        <v>9441.9554400000034</v>
      </c>
      <c r="Y262">
        <f t="shared" si="64"/>
        <v>0.41262462795303284</v>
      </c>
      <c r="Z262">
        <v>202305</v>
      </c>
      <c r="AA262" s="18">
        <v>202301</v>
      </c>
      <c r="AB262" t="str">
        <v>May-2023</v>
      </c>
      <c r="AC262">
        <f t="shared" si="65"/>
        <v>4</v>
      </c>
      <c r="AD262" t="str">
        <f t="shared" si="67"/>
        <v>Late</v>
      </c>
      <c r="AE262">
        <f t="shared" si="68"/>
        <v>0</v>
      </c>
      <c r="AF262">
        <f t="shared" si="69"/>
        <v>0</v>
      </c>
    </row>
    <row r="263" spans="1:32" x14ac:dyDescent="0.25">
      <c r="A263" s="3" t="s">
        <v>267</v>
      </c>
      <c r="B263" s="4">
        <v>45073</v>
      </c>
      <c r="C263" s="4" t="str">
        <f t="shared" si="56"/>
        <v>May-2023</v>
      </c>
      <c r="D263" s="4" t="str">
        <f t="shared" si="57"/>
        <v>Q2</v>
      </c>
      <c r="E263" s="4">
        <v>45096</v>
      </c>
      <c r="F263" s="10">
        <f t="shared" si="58"/>
        <v>23</v>
      </c>
      <c r="G263" s="3" t="s">
        <v>641</v>
      </c>
      <c r="H263" s="3" t="s">
        <v>648</v>
      </c>
      <c r="I263" s="3" t="s">
        <v>663</v>
      </c>
      <c r="J263" t="str">
        <f t="shared" si="59"/>
        <v>Europe &gt; Germany &gt; Berlin</v>
      </c>
      <c r="K263" s="3" t="s">
        <v>694</v>
      </c>
      <c r="L263" s="3" t="s">
        <v>699</v>
      </c>
      <c r="M263" s="3" t="s">
        <v>711</v>
      </c>
      <c r="N263" s="3" t="s">
        <v>725</v>
      </c>
      <c r="O263" s="3" t="s">
        <v>986</v>
      </c>
      <c r="P263" s="6">
        <v>1471.58</v>
      </c>
      <c r="Q263" s="6">
        <v>2576.65</v>
      </c>
      <c r="R263" s="6" t="str">
        <f t="shared" si="60"/>
        <v>High</v>
      </c>
      <c r="S263" s="6">
        <v>4.0000000000000001E-3</v>
      </c>
      <c r="T263" s="6">
        <v>7</v>
      </c>
      <c r="U263">
        <f t="shared" si="61"/>
        <v>17964.4038</v>
      </c>
      <c r="V263">
        <f t="shared" si="66"/>
        <v>812227.90001999994</v>
      </c>
      <c r="W263">
        <f t="shared" si="62"/>
        <v>10301.06</v>
      </c>
      <c r="X263" s="6">
        <f t="shared" si="63"/>
        <v>7663.3438000000006</v>
      </c>
      <c r="Y263">
        <f t="shared" si="64"/>
        <v>0.4265849223451546</v>
      </c>
      <c r="Z263">
        <v>202305</v>
      </c>
      <c r="AA263" s="18">
        <v>202301</v>
      </c>
      <c r="AB263" t="str">
        <v>May-2023</v>
      </c>
      <c r="AC263">
        <f t="shared" si="65"/>
        <v>4</v>
      </c>
      <c r="AD263" t="str">
        <f t="shared" si="67"/>
        <v>Late</v>
      </c>
      <c r="AE263">
        <f t="shared" si="68"/>
        <v>0</v>
      </c>
      <c r="AF263">
        <f t="shared" si="69"/>
        <v>0</v>
      </c>
    </row>
    <row r="264" spans="1:32" x14ac:dyDescent="0.25">
      <c r="A264" s="3" t="s">
        <v>268</v>
      </c>
      <c r="B264" s="4">
        <v>45142</v>
      </c>
      <c r="C264" s="4" t="str">
        <f t="shared" si="56"/>
        <v>Aug-2023</v>
      </c>
      <c r="D264" s="4" t="str">
        <f t="shared" si="57"/>
        <v>Q3</v>
      </c>
      <c r="E264" s="4">
        <v>45162</v>
      </c>
      <c r="F264" s="10">
        <f t="shared" si="58"/>
        <v>20</v>
      </c>
      <c r="G264" s="3" t="s">
        <v>640</v>
      </c>
      <c r="H264" s="3" t="s">
        <v>647</v>
      </c>
      <c r="I264" s="3" t="s">
        <v>664</v>
      </c>
      <c r="J264" t="str">
        <f t="shared" si="59"/>
        <v>Americas &gt; Brazil &gt; Brasília</v>
      </c>
      <c r="K264" s="3" t="s">
        <v>695</v>
      </c>
      <c r="L264" s="3" t="s">
        <v>703</v>
      </c>
      <c r="M264" s="3" t="s">
        <v>1413</v>
      </c>
      <c r="N264" s="3" t="s">
        <v>721</v>
      </c>
      <c r="O264" s="3" t="s">
        <v>987</v>
      </c>
      <c r="P264" s="6">
        <v>582.88</v>
      </c>
      <c r="Q264" s="6">
        <v>1044.1400000000001</v>
      </c>
      <c r="R264" s="6" t="str">
        <f t="shared" si="60"/>
        <v>Medium</v>
      </c>
      <c r="S264" s="6">
        <v>0.216</v>
      </c>
      <c r="T264" s="6">
        <v>10</v>
      </c>
      <c r="U264">
        <f t="shared" si="61"/>
        <v>8186.057600000001</v>
      </c>
      <c r="V264">
        <f t="shared" si="66"/>
        <v>812227.90001999994</v>
      </c>
      <c r="W264">
        <f t="shared" si="62"/>
        <v>5828.8</v>
      </c>
      <c r="X264" s="6">
        <f t="shared" si="63"/>
        <v>2357.2576000000008</v>
      </c>
      <c r="Y264">
        <f t="shared" si="64"/>
        <v>0.28796005539956138</v>
      </c>
      <c r="Z264">
        <v>202308</v>
      </c>
      <c r="AA264" s="18">
        <v>202301</v>
      </c>
      <c r="AB264" t="str">
        <v>Aug-2023</v>
      </c>
      <c r="AC264">
        <f t="shared" si="65"/>
        <v>7</v>
      </c>
      <c r="AD264" t="str">
        <f t="shared" si="67"/>
        <v>Late</v>
      </c>
      <c r="AE264">
        <f t="shared" si="68"/>
        <v>0</v>
      </c>
      <c r="AF264">
        <f t="shared" si="69"/>
        <v>1</v>
      </c>
    </row>
    <row r="265" spans="1:32" x14ac:dyDescent="0.25">
      <c r="A265" s="3" t="s">
        <v>269</v>
      </c>
      <c r="B265" s="4">
        <v>45829</v>
      </c>
      <c r="C265" s="4" t="str">
        <f t="shared" si="56"/>
        <v>Jun-2025</v>
      </c>
      <c r="D265" s="4" t="str">
        <f t="shared" si="57"/>
        <v>Q2</v>
      </c>
      <c r="E265" s="4">
        <v>45835</v>
      </c>
      <c r="F265" s="10">
        <f t="shared" si="58"/>
        <v>6</v>
      </c>
      <c r="G265" s="3" t="s">
        <v>638</v>
      </c>
      <c r="H265" s="3" t="s">
        <v>653</v>
      </c>
      <c r="I265" s="3" t="s">
        <v>679</v>
      </c>
      <c r="J265" t="str">
        <f t="shared" si="59"/>
        <v>Africa &gt; South Africa &gt; Durban</v>
      </c>
      <c r="K265" s="3" t="s">
        <v>698</v>
      </c>
      <c r="L265" s="3" t="s">
        <v>702</v>
      </c>
      <c r="M265" s="3" t="s">
        <v>717</v>
      </c>
      <c r="N265" s="3" t="s">
        <v>722</v>
      </c>
      <c r="O265" s="3" t="s">
        <v>988</v>
      </c>
      <c r="P265" s="6">
        <v>93.91</v>
      </c>
      <c r="Q265" s="6">
        <v>99.04</v>
      </c>
      <c r="R265" s="6" t="str">
        <f t="shared" si="60"/>
        <v>Low</v>
      </c>
      <c r="S265" s="6">
        <v>5.7000000000000002E-2</v>
      </c>
      <c r="T265" s="6">
        <v>6</v>
      </c>
      <c r="U265">
        <f t="shared" si="61"/>
        <v>560.36831999999993</v>
      </c>
      <c r="V265">
        <f t="shared" si="66"/>
        <v>812227.90001999994</v>
      </c>
      <c r="W265">
        <f t="shared" si="62"/>
        <v>563.46</v>
      </c>
      <c r="X265" s="6">
        <f t="shared" si="63"/>
        <v>-3.0916800000001103</v>
      </c>
      <c r="Y265">
        <f t="shared" si="64"/>
        <v>-5.5172283829323376E-3</v>
      </c>
      <c r="Z265">
        <v>202506</v>
      </c>
      <c r="AA265" s="18">
        <v>202301</v>
      </c>
      <c r="AB265" t="str">
        <v>Jun-2023</v>
      </c>
      <c r="AC265">
        <f t="shared" si="65"/>
        <v>29</v>
      </c>
      <c r="AD265" t="str">
        <f t="shared" si="67"/>
        <v>On Time</v>
      </c>
      <c r="AE265">
        <f t="shared" si="68"/>
        <v>1</v>
      </c>
      <c r="AF265">
        <f t="shared" si="69"/>
        <v>0</v>
      </c>
    </row>
    <row r="266" spans="1:32" x14ac:dyDescent="0.25">
      <c r="A266" s="3" t="s">
        <v>270</v>
      </c>
      <c r="B266" s="4">
        <v>45763</v>
      </c>
      <c r="C266" s="4" t="str">
        <f t="shared" si="56"/>
        <v>Apr-2025</v>
      </c>
      <c r="D266" s="4" t="str">
        <f t="shared" si="57"/>
        <v>Q2</v>
      </c>
      <c r="E266" s="4">
        <v>45773</v>
      </c>
      <c r="F266" s="10">
        <f t="shared" si="58"/>
        <v>10</v>
      </c>
      <c r="G266" s="3" t="s">
        <v>638</v>
      </c>
      <c r="H266" s="3" t="s">
        <v>643</v>
      </c>
      <c r="I266" s="3" t="s">
        <v>655</v>
      </c>
      <c r="J266" t="str">
        <f t="shared" si="59"/>
        <v>Africa &gt; Nigeria &gt; Port Harcourt</v>
      </c>
      <c r="K266" s="3" t="s">
        <v>698</v>
      </c>
      <c r="L266" s="3" t="s">
        <v>701</v>
      </c>
      <c r="M266" s="3" t="s">
        <v>713</v>
      </c>
      <c r="N266" s="3" t="s">
        <v>723</v>
      </c>
      <c r="O266" s="3" t="s">
        <v>989</v>
      </c>
      <c r="P266" s="6">
        <v>1457.44</v>
      </c>
      <c r="Q266" s="6">
        <v>1996.81</v>
      </c>
      <c r="R266" s="6" t="str">
        <f t="shared" si="60"/>
        <v>High</v>
      </c>
      <c r="S266" s="6">
        <v>0.126</v>
      </c>
      <c r="T266" s="6">
        <v>23</v>
      </c>
      <c r="U266">
        <f t="shared" si="61"/>
        <v>40139.874619999995</v>
      </c>
      <c r="V266">
        <f t="shared" si="66"/>
        <v>812227.90001999994</v>
      </c>
      <c r="W266">
        <f t="shared" si="62"/>
        <v>33521.120000000003</v>
      </c>
      <c r="X266" s="6">
        <f t="shared" si="63"/>
        <v>6618.7546199999924</v>
      </c>
      <c r="Y266">
        <f t="shared" si="64"/>
        <v>0.16489225944672353</v>
      </c>
      <c r="Z266">
        <v>202504</v>
      </c>
      <c r="AA266" s="18">
        <v>202301</v>
      </c>
      <c r="AB266" t="str">
        <v>Apr-2023</v>
      </c>
      <c r="AC266">
        <f t="shared" si="65"/>
        <v>27</v>
      </c>
      <c r="AD266" t="str">
        <f t="shared" si="67"/>
        <v>Late</v>
      </c>
      <c r="AE266">
        <f t="shared" si="68"/>
        <v>0</v>
      </c>
      <c r="AF266">
        <f t="shared" si="69"/>
        <v>0</v>
      </c>
    </row>
    <row r="267" spans="1:32" x14ac:dyDescent="0.25">
      <c r="A267" s="3" t="s">
        <v>271</v>
      </c>
      <c r="B267" s="4">
        <v>45902</v>
      </c>
      <c r="C267" s="4" t="str">
        <f t="shared" si="56"/>
        <v>Sept-2025</v>
      </c>
      <c r="D267" s="4" t="str">
        <f t="shared" si="57"/>
        <v>Q3</v>
      </c>
      <c r="E267" s="4">
        <v>45911</v>
      </c>
      <c r="F267" s="10">
        <f t="shared" si="58"/>
        <v>9</v>
      </c>
      <c r="G267" s="3" t="s">
        <v>640</v>
      </c>
      <c r="H267" s="3" t="s">
        <v>645</v>
      </c>
      <c r="I267" s="3" t="s">
        <v>659</v>
      </c>
      <c r="J267" t="str">
        <f t="shared" si="59"/>
        <v>Americas &gt; Canada &gt; Toronto</v>
      </c>
      <c r="K267" s="3" t="s">
        <v>693</v>
      </c>
      <c r="L267" s="3" t="s">
        <v>702</v>
      </c>
      <c r="M267" s="3" t="s">
        <v>716</v>
      </c>
      <c r="N267" s="3" t="s">
        <v>720</v>
      </c>
      <c r="O267" s="3" t="s">
        <v>990</v>
      </c>
      <c r="P267" s="6">
        <v>1207.6300000000001</v>
      </c>
      <c r="Q267" s="6">
        <v>921.68</v>
      </c>
      <c r="R267" s="6" t="str">
        <f t="shared" si="60"/>
        <v>High</v>
      </c>
      <c r="S267" s="6">
        <v>0.19600000000000001</v>
      </c>
      <c r="T267" s="6">
        <v>17</v>
      </c>
      <c r="U267">
        <f t="shared" si="61"/>
        <v>12597.52224</v>
      </c>
      <c r="V267">
        <f t="shared" si="66"/>
        <v>812227.90001999994</v>
      </c>
      <c r="W267">
        <f t="shared" si="62"/>
        <v>20529.710000000003</v>
      </c>
      <c r="X267" s="6">
        <f t="shared" si="63"/>
        <v>-7932.1877600000025</v>
      </c>
      <c r="Y267">
        <f t="shared" si="64"/>
        <v>-0.62966253274897988</v>
      </c>
      <c r="Z267">
        <v>202509</v>
      </c>
      <c r="AA267" s="18">
        <v>202301</v>
      </c>
      <c r="AB267" t="str">
        <v>Sept-2023</v>
      </c>
      <c r="AC267">
        <f t="shared" si="65"/>
        <v>32</v>
      </c>
      <c r="AD267" t="str">
        <f t="shared" si="67"/>
        <v>Late</v>
      </c>
      <c r="AE267">
        <f t="shared" si="68"/>
        <v>0</v>
      </c>
      <c r="AF267">
        <f t="shared" si="69"/>
        <v>0</v>
      </c>
    </row>
    <row r="268" spans="1:32" x14ac:dyDescent="0.25">
      <c r="A268" s="3" t="s">
        <v>272</v>
      </c>
      <c r="B268" s="4">
        <v>45573</v>
      </c>
      <c r="C268" s="4" t="str">
        <f t="shared" si="56"/>
        <v>Oct-2024</v>
      </c>
      <c r="D268" s="4" t="str">
        <f t="shared" si="57"/>
        <v>Q4</v>
      </c>
      <c r="E268" s="4">
        <v>45573</v>
      </c>
      <c r="F268" s="10">
        <f t="shared" si="58"/>
        <v>0</v>
      </c>
      <c r="G268" s="3" t="s">
        <v>641</v>
      </c>
      <c r="H268" s="3" t="s">
        <v>650</v>
      </c>
      <c r="I268" s="3" t="s">
        <v>675</v>
      </c>
      <c r="J268" t="str">
        <f t="shared" si="59"/>
        <v>Europe &gt; United Kingdom &gt; London</v>
      </c>
      <c r="K268" s="3" t="s">
        <v>693</v>
      </c>
      <c r="L268" s="3" t="s">
        <v>700</v>
      </c>
      <c r="M268" s="3" t="s">
        <v>710</v>
      </c>
      <c r="N268" s="3" t="s">
        <v>724</v>
      </c>
      <c r="O268" s="3" t="s">
        <v>991</v>
      </c>
      <c r="P268" s="6">
        <v>1108.1099999999999</v>
      </c>
      <c r="Q268" s="6">
        <v>2503.79</v>
      </c>
      <c r="R268" s="6" t="str">
        <f t="shared" si="60"/>
        <v>High</v>
      </c>
      <c r="S268" s="6">
        <v>0.184</v>
      </c>
      <c r="T268" s="6">
        <v>19</v>
      </c>
      <c r="U268">
        <f t="shared" si="61"/>
        <v>38818.760160000005</v>
      </c>
      <c r="V268">
        <f t="shared" si="66"/>
        <v>812227.90001999994</v>
      </c>
      <c r="W268">
        <f t="shared" si="62"/>
        <v>21054.089999999997</v>
      </c>
      <c r="X268" s="6">
        <f t="shared" si="63"/>
        <v>17764.670160000009</v>
      </c>
      <c r="Y268">
        <f t="shared" si="64"/>
        <v>0.45763105485025896</v>
      </c>
      <c r="Z268">
        <v>202410</v>
      </c>
      <c r="AA268" s="18">
        <v>202301</v>
      </c>
      <c r="AB268" t="str">
        <v>Oct-2023</v>
      </c>
      <c r="AC268">
        <f t="shared" si="65"/>
        <v>21</v>
      </c>
      <c r="AD268" t="str">
        <f t="shared" si="67"/>
        <v>On Time</v>
      </c>
      <c r="AE268">
        <f t="shared" si="68"/>
        <v>1</v>
      </c>
      <c r="AF268">
        <f t="shared" si="69"/>
        <v>0</v>
      </c>
    </row>
    <row r="269" spans="1:32" x14ac:dyDescent="0.25">
      <c r="A269" s="3" t="s">
        <v>273</v>
      </c>
      <c r="B269" s="4">
        <v>45053</v>
      </c>
      <c r="C269" s="4" t="str">
        <f t="shared" si="56"/>
        <v>May-2023</v>
      </c>
      <c r="D269" s="4" t="str">
        <f t="shared" si="57"/>
        <v>Q2</v>
      </c>
      <c r="E269" s="4">
        <v>45055</v>
      </c>
      <c r="F269" s="10">
        <f t="shared" si="58"/>
        <v>2</v>
      </c>
      <c r="G269" s="3" t="s">
        <v>638</v>
      </c>
      <c r="H269" s="3" t="s">
        <v>643</v>
      </c>
      <c r="I269" s="3" t="s">
        <v>655</v>
      </c>
      <c r="J269" t="str">
        <f t="shared" si="59"/>
        <v>Africa &gt; Nigeria &gt; Port Harcourt</v>
      </c>
      <c r="K269" s="3" t="s">
        <v>695</v>
      </c>
      <c r="L269" s="3" t="s">
        <v>701</v>
      </c>
      <c r="M269" s="3" t="s">
        <v>712</v>
      </c>
      <c r="N269" s="3" t="s">
        <v>719</v>
      </c>
      <c r="O269" s="3" t="s">
        <v>992</v>
      </c>
      <c r="P269" s="6">
        <v>1269.6500000000001</v>
      </c>
      <c r="Q269" s="6">
        <v>2462.77</v>
      </c>
      <c r="R269" s="6" t="str">
        <f t="shared" si="60"/>
        <v>High</v>
      </c>
      <c r="S269" s="6">
        <v>0.107</v>
      </c>
      <c r="T269" s="6">
        <v>8</v>
      </c>
      <c r="U269">
        <f t="shared" si="61"/>
        <v>17594.028880000002</v>
      </c>
      <c r="V269">
        <f t="shared" si="66"/>
        <v>812227.90001999994</v>
      </c>
      <c r="W269">
        <f t="shared" si="62"/>
        <v>10157.200000000001</v>
      </c>
      <c r="X269" s="6">
        <f t="shared" si="63"/>
        <v>7436.8288800000009</v>
      </c>
      <c r="Y269">
        <f t="shared" si="64"/>
        <v>0.42269050089225502</v>
      </c>
      <c r="Z269">
        <v>202305</v>
      </c>
      <c r="AA269" s="18">
        <v>202301</v>
      </c>
      <c r="AB269" t="str">
        <v>May-2023</v>
      </c>
      <c r="AC269">
        <f t="shared" si="65"/>
        <v>4</v>
      </c>
      <c r="AD269" t="str">
        <f t="shared" si="67"/>
        <v>On Time</v>
      </c>
      <c r="AE269">
        <f t="shared" si="68"/>
        <v>1</v>
      </c>
      <c r="AF269">
        <f t="shared" si="69"/>
        <v>0</v>
      </c>
    </row>
    <row r="270" spans="1:32" x14ac:dyDescent="0.25">
      <c r="A270" s="3" t="s">
        <v>274</v>
      </c>
      <c r="B270" s="4">
        <v>45284</v>
      </c>
      <c r="C270" s="4" t="str">
        <f t="shared" si="56"/>
        <v>Dec-2023</v>
      </c>
      <c r="D270" s="4" t="str">
        <f t="shared" si="57"/>
        <v>Q4</v>
      </c>
      <c r="E270" s="4">
        <v>45292</v>
      </c>
      <c r="F270" s="10">
        <f t="shared" si="58"/>
        <v>8</v>
      </c>
      <c r="G270" s="3" t="s">
        <v>640</v>
      </c>
      <c r="H270" s="3" t="s">
        <v>647</v>
      </c>
      <c r="I270" s="3" t="s">
        <v>662</v>
      </c>
      <c r="J270" t="str">
        <f t="shared" si="59"/>
        <v>Americas &gt; Brazil &gt; São Paulo</v>
      </c>
      <c r="K270" s="3" t="s">
        <v>694</v>
      </c>
      <c r="L270" s="3" t="s">
        <v>703</v>
      </c>
      <c r="M270" s="3" t="s">
        <v>704</v>
      </c>
      <c r="N270" s="3" t="s">
        <v>722</v>
      </c>
      <c r="O270" s="3" t="s">
        <v>993</v>
      </c>
      <c r="P270" s="6">
        <v>526.49</v>
      </c>
      <c r="Q270" s="6">
        <v>496.2</v>
      </c>
      <c r="R270" s="6" t="str">
        <f t="shared" si="60"/>
        <v>Medium</v>
      </c>
      <c r="S270" s="6">
        <v>0</v>
      </c>
      <c r="T270" s="6">
        <v>14</v>
      </c>
      <c r="U270">
        <f t="shared" si="61"/>
        <v>6946.8</v>
      </c>
      <c r="V270">
        <f t="shared" si="66"/>
        <v>794633.87113999983</v>
      </c>
      <c r="W270">
        <f t="shared" si="62"/>
        <v>7370.8600000000006</v>
      </c>
      <c r="X270" s="6">
        <f t="shared" si="63"/>
        <v>-424.0600000000004</v>
      </c>
      <c r="Y270">
        <f t="shared" si="64"/>
        <v>-6.1043933897621985E-2</v>
      </c>
      <c r="Z270">
        <v>202312</v>
      </c>
      <c r="AA270" s="18">
        <v>202301</v>
      </c>
      <c r="AB270" t="str">
        <v>Dec-2023</v>
      </c>
      <c r="AC270">
        <f t="shared" si="65"/>
        <v>11</v>
      </c>
      <c r="AD270" t="str">
        <f t="shared" si="67"/>
        <v>Late</v>
      </c>
      <c r="AE270">
        <f t="shared" si="68"/>
        <v>0</v>
      </c>
      <c r="AF270">
        <f t="shared" si="69"/>
        <v>0</v>
      </c>
    </row>
    <row r="271" spans="1:32" x14ac:dyDescent="0.25">
      <c r="A271" s="3" t="s">
        <v>275</v>
      </c>
      <c r="B271" s="4">
        <v>45301</v>
      </c>
      <c r="C271" s="4" t="str">
        <f t="shared" si="56"/>
        <v>Jan-2024</v>
      </c>
      <c r="D271" s="4" t="str">
        <f t="shared" si="57"/>
        <v>Q1</v>
      </c>
      <c r="E271" s="4">
        <v>45314</v>
      </c>
      <c r="F271" s="10">
        <f t="shared" si="58"/>
        <v>13</v>
      </c>
      <c r="G271" s="3" t="s">
        <v>641</v>
      </c>
      <c r="H271" s="3" t="s">
        <v>649</v>
      </c>
      <c r="I271" s="3" t="s">
        <v>665</v>
      </c>
      <c r="J271" t="str">
        <f t="shared" si="59"/>
        <v>Europe &gt; France &gt; Marseille</v>
      </c>
      <c r="K271" s="3" t="s">
        <v>693</v>
      </c>
      <c r="L271" s="3" t="s">
        <v>703</v>
      </c>
      <c r="M271" s="3" t="s">
        <v>712</v>
      </c>
      <c r="N271" s="3" t="s">
        <v>720</v>
      </c>
      <c r="O271" s="3" t="s">
        <v>994</v>
      </c>
      <c r="P271" s="6">
        <v>720</v>
      </c>
      <c r="Q271" s="6">
        <v>907.59</v>
      </c>
      <c r="R271" s="6" t="str">
        <f t="shared" si="60"/>
        <v>Medium</v>
      </c>
      <c r="S271" s="6">
        <v>0.154</v>
      </c>
      <c r="T271" s="6">
        <v>10</v>
      </c>
      <c r="U271">
        <f t="shared" si="61"/>
        <v>7678.2113999999992</v>
      </c>
      <c r="V271">
        <f t="shared" si="66"/>
        <v>794633.87113999983</v>
      </c>
      <c r="W271">
        <f t="shared" si="62"/>
        <v>7200</v>
      </c>
      <c r="X271" s="6">
        <f t="shared" si="63"/>
        <v>478.21139999999923</v>
      </c>
      <c r="Y271">
        <f t="shared" si="64"/>
        <v>6.2281614179052078E-2</v>
      </c>
      <c r="Z271">
        <v>202401</v>
      </c>
      <c r="AA271" s="18">
        <v>202301</v>
      </c>
      <c r="AB271" t="str">
        <v>Jan-2023</v>
      </c>
      <c r="AC271">
        <f t="shared" si="65"/>
        <v>12</v>
      </c>
      <c r="AD271" t="str">
        <f t="shared" si="67"/>
        <v>Late</v>
      </c>
      <c r="AE271">
        <f t="shared" si="68"/>
        <v>0</v>
      </c>
      <c r="AF271">
        <f t="shared" si="69"/>
        <v>0</v>
      </c>
    </row>
    <row r="272" spans="1:32" x14ac:dyDescent="0.25">
      <c r="A272" s="3" t="s">
        <v>276</v>
      </c>
      <c r="B272" s="4">
        <v>45141</v>
      </c>
      <c r="C272" s="4" t="str">
        <f t="shared" si="56"/>
        <v>Aug-2023</v>
      </c>
      <c r="D272" s="4" t="str">
        <f t="shared" si="57"/>
        <v>Q3</v>
      </c>
      <c r="E272" s="4">
        <v>45152</v>
      </c>
      <c r="F272" s="10">
        <f t="shared" si="58"/>
        <v>11</v>
      </c>
      <c r="G272" s="3" t="s">
        <v>640</v>
      </c>
      <c r="H272" s="3" t="s">
        <v>647</v>
      </c>
      <c r="I272" s="3" t="s">
        <v>664</v>
      </c>
      <c r="J272" t="str">
        <f t="shared" si="59"/>
        <v>Americas &gt; Brazil &gt; Brasília</v>
      </c>
      <c r="K272" s="3" t="s">
        <v>693</v>
      </c>
      <c r="L272" s="3" t="s">
        <v>703</v>
      </c>
      <c r="M272" s="3" t="s">
        <v>705</v>
      </c>
      <c r="N272" s="3" t="s">
        <v>725</v>
      </c>
      <c r="O272" s="3" t="s">
        <v>995</v>
      </c>
      <c r="P272" s="6">
        <v>232.73</v>
      </c>
      <c r="Q272" s="6">
        <v>334.19</v>
      </c>
      <c r="R272" s="6" t="str">
        <f t="shared" si="60"/>
        <v>Low</v>
      </c>
      <c r="S272" s="6">
        <v>0.13400000000000001</v>
      </c>
      <c r="T272" s="6">
        <v>25</v>
      </c>
      <c r="U272">
        <f t="shared" si="61"/>
        <v>7235.2134999999998</v>
      </c>
      <c r="V272">
        <f t="shared" si="66"/>
        <v>794633.87113999983</v>
      </c>
      <c r="W272">
        <f t="shared" si="62"/>
        <v>5818.25</v>
      </c>
      <c r="X272" s="6">
        <f t="shared" si="63"/>
        <v>1416.9634999999998</v>
      </c>
      <c r="Y272">
        <f t="shared" si="64"/>
        <v>0.1958426658729559</v>
      </c>
      <c r="Z272">
        <v>202308</v>
      </c>
      <c r="AA272" s="18">
        <v>202301</v>
      </c>
      <c r="AB272" t="str">
        <v>Aug-2023</v>
      </c>
      <c r="AC272">
        <f t="shared" si="65"/>
        <v>7</v>
      </c>
      <c r="AD272" t="str">
        <f t="shared" si="67"/>
        <v>Late</v>
      </c>
      <c r="AE272">
        <f t="shared" si="68"/>
        <v>0</v>
      </c>
      <c r="AF272">
        <f t="shared" si="69"/>
        <v>0</v>
      </c>
    </row>
    <row r="273" spans="1:32" x14ac:dyDescent="0.25">
      <c r="A273" s="3" t="s">
        <v>277</v>
      </c>
      <c r="B273" s="4">
        <v>45707</v>
      </c>
      <c r="C273" s="4" t="str">
        <f t="shared" si="56"/>
        <v>Feb-2025</v>
      </c>
      <c r="D273" s="4" t="str">
        <f t="shared" si="57"/>
        <v>Q1</v>
      </c>
      <c r="E273" s="4">
        <v>45725</v>
      </c>
      <c r="F273" s="10">
        <f t="shared" si="58"/>
        <v>18</v>
      </c>
      <c r="G273" s="3" t="s">
        <v>639</v>
      </c>
      <c r="H273" s="3" t="s">
        <v>646</v>
      </c>
      <c r="I273" s="3" t="s">
        <v>672</v>
      </c>
      <c r="J273" t="str">
        <f t="shared" si="59"/>
        <v>Asia &gt; India &gt; Delhi</v>
      </c>
      <c r="K273" s="3" t="s">
        <v>697</v>
      </c>
      <c r="L273" s="3" t="s">
        <v>703</v>
      </c>
      <c r="M273" s="3" t="s">
        <v>711</v>
      </c>
      <c r="N273" s="3" t="s">
        <v>724</v>
      </c>
      <c r="O273" s="3" t="s">
        <v>996</v>
      </c>
      <c r="P273" s="6">
        <v>325.87</v>
      </c>
      <c r="Q273" s="6">
        <v>538.79</v>
      </c>
      <c r="R273" s="6" t="str">
        <f t="shared" si="60"/>
        <v>Low</v>
      </c>
      <c r="S273" s="6">
        <v>0.17399999999999999</v>
      </c>
      <c r="T273" s="6">
        <v>16</v>
      </c>
      <c r="U273">
        <f t="shared" si="61"/>
        <v>7120.6486400000003</v>
      </c>
      <c r="V273">
        <f t="shared" si="66"/>
        <v>794633.87113999983</v>
      </c>
      <c r="W273">
        <f t="shared" si="62"/>
        <v>5213.92</v>
      </c>
      <c r="X273" s="6">
        <f t="shared" si="63"/>
        <v>1906.7286400000003</v>
      </c>
      <c r="Y273">
        <f t="shared" si="64"/>
        <v>0.26777457172778013</v>
      </c>
      <c r="Z273">
        <v>202502</v>
      </c>
      <c r="AA273" s="18">
        <v>202301</v>
      </c>
      <c r="AB273" t="str">
        <v>Feb-2023</v>
      </c>
      <c r="AC273">
        <f t="shared" si="65"/>
        <v>25</v>
      </c>
      <c r="AD273" t="str">
        <f t="shared" si="67"/>
        <v>Late</v>
      </c>
      <c r="AE273">
        <f t="shared" si="68"/>
        <v>0</v>
      </c>
      <c r="AF273">
        <f t="shared" si="69"/>
        <v>0</v>
      </c>
    </row>
    <row r="274" spans="1:32" x14ac:dyDescent="0.25">
      <c r="A274" s="3" t="s">
        <v>278</v>
      </c>
      <c r="B274" s="4">
        <v>45382</v>
      </c>
      <c r="C274" s="4" t="str">
        <f t="shared" si="56"/>
        <v>Mar-2024</v>
      </c>
      <c r="D274" s="4" t="str">
        <f t="shared" si="57"/>
        <v>Q1</v>
      </c>
      <c r="E274" s="4">
        <v>45399</v>
      </c>
      <c r="F274" s="10">
        <f t="shared" si="58"/>
        <v>17</v>
      </c>
      <c r="G274" s="3" t="s">
        <v>641</v>
      </c>
      <c r="H274" s="3" t="s">
        <v>648</v>
      </c>
      <c r="I274" s="3" t="s">
        <v>690</v>
      </c>
      <c r="J274" t="str">
        <f t="shared" si="59"/>
        <v>Europe &gt; Germany &gt; Frankfurt</v>
      </c>
      <c r="K274" s="3" t="s">
        <v>694</v>
      </c>
      <c r="L274" s="3" t="s">
        <v>703</v>
      </c>
      <c r="M274" s="3" t="s">
        <v>714</v>
      </c>
      <c r="N274" s="3" t="s">
        <v>724</v>
      </c>
      <c r="O274" s="3" t="s">
        <v>997</v>
      </c>
      <c r="P274" s="6">
        <v>1025.51</v>
      </c>
      <c r="Q274" s="6">
        <v>1436.54</v>
      </c>
      <c r="R274" s="6" t="str">
        <f t="shared" si="60"/>
        <v>High</v>
      </c>
      <c r="S274" s="6">
        <v>0.13900000000000001</v>
      </c>
      <c r="T274" s="6">
        <v>28</v>
      </c>
      <c r="U274">
        <f t="shared" si="61"/>
        <v>34632.106319999999</v>
      </c>
      <c r="V274">
        <f t="shared" si="66"/>
        <v>794633.87113999983</v>
      </c>
      <c r="W274">
        <f t="shared" si="62"/>
        <v>28714.28</v>
      </c>
      <c r="X274" s="6">
        <f t="shared" si="63"/>
        <v>5917.8263200000001</v>
      </c>
      <c r="Y274">
        <f t="shared" si="64"/>
        <v>0.17087688127656453</v>
      </c>
      <c r="Z274">
        <v>202403</v>
      </c>
      <c r="AA274" s="18">
        <v>202301</v>
      </c>
      <c r="AB274" t="str">
        <v>Mar-2023</v>
      </c>
      <c r="AC274">
        <f t="shared" si="65"/>
        <v>14</v>
      </c>
      <c r="AD274" t="str">
        <f t="shared" si="67"/>
        <v>Late</v>
      </c>
      <c r="AE274">
        <f t="shared" si="68"/>
        <v>0</v>
      </c>
      <c r="AF274">
        <f t="shared" si="69"/>
        <v>0</v>
      </c>
    </row>
    <row r="275" spans="1:32" x14ac:dyDescent="0.25">
      <c r="A275" s="3" t="s">
        <v>279</v>
      </c>
      <c r="B275" s="4">
        <v>45131</v>
      </c>
      <c r="C275" s="4" t="str">
        <f t="shared" si="56"/>
        <v>Jul-2023</v>
      </c>
      <c r="D275" s="4" t="str">
        <f t="shared" si="57"/>
        <v>Q3</v>
      </c>
      <c r="E275" s="4">
        <v>45151</v>
      </c>
      <c r="F275" s="10">
        <f t="shared" si="58"/>
        <v>20</v>
      </c>
      <c r="G275" s="3" t="s">
        <v>640</v>
      </c>
      <c r="H275" s="3" t="s">
        <v>645</v>
      </c>
      <c r="I275" s="3" t="s">
        <v>673</v>
      </c>
      <c r="J275" t="str">
        <f t="shared" si="59"/>
        <v>Americas &gt; Canada &gt; Montreal</v>
      </c>
      <c r="K275" s="3" t="s">
        <v>694</v>
      </c>
      <c r="L275" s="3" t="s">
        <v>703</v>
      </c>
      <c r="M275" s="3" t="s">
        <v>704</v>
      </c>
      <c r="N275" s="3" t="s">
        <v>724</v>
      </c>
      <c r="O275" s="3" t="s">
        <v>998</v>
      </c>
      <c r="P275" s="6">
        <v>1082.3800000000001</v>
      </c>
      <c r="Q275" s="6">
        <v>1766.55</v>
      </c>
      <c r="R275" s="6" t="str">
        <f t="shared" si="60"/>
        <v>High</v>
      </c>
      <c r="S275" s="6">
        <v>0.16400000000000001</v>
      </c>
      <c r="T275" s="6">
        <v>20</v>
      </c>
      <c r="U275">
        <f t="shared" si="61"/>
        <v>29536.716</v>
      </c>
      <c r="V275">
        <f t="shared" si="66"/>
        <v>794633.87113999983</v>
      </c>
      <c r="W275">
        <f t="shared" si="62"/>
        <v>21647.600000000002</v>
      </c>
      <c r="X275" s="6">
        <f t="shared" si="63"/>
        <v>7889.1159999999982</v>
      </c>
      <c r="Y275">
        <f t="shared" si="64"/>
        <v>0.26709523157550752</v>
      </c>
      <c r="Z275">
        <v>202307</v>
      </c>
      <c r="AA275" s="18">
        <v>202301</v>
      </c>
      <c r="AB275" t="str">
        <v>Jul-2023</v>
      </c>
      <c r="AC275">
        <f t="shared" si="65"/>
        <v>6</v>
      </c>
      <c r="AD275" t="str">
        <f t="shared" si="67"/>
        <v>Late</v>
      </c>
      <c r="AE275">
        <f t="shared" si="68"/>
        <v>0</v>
      </c>
      <c r="AF275">
        <f t="shared" si="69"/>
        <v>0</v>
      </c>
    </row>
    <row r="276" spans="1:32" x14ac:dyDescent="0.25">
      <c r="A276" s="3" t="s">
        <v>280</v>
      </c>
      <c r="B276" s="4">
        <v>45367</v>
      </c>
      <c r="C276" s="4" t="str">
        <f t="shared" si="56"/>
        <v>Mar-2024</v>
      </c>
      <c r="D276" s="4" t="str">
        <f t="shared" si="57"/>
        <v>Q1</v>
      </c>
      <c r="E276" s="4">
        <v>45395</v>
      </c>
      <c r="F276" s="10">
        <f t="shared" si="58"/>
        <v>28</v>
      </c>
      <c r="G276" s="3" t="s">
        <v>641</v>
      </c>
      <c r="H276" s="3" t="s">
        <v>649</v>
      </c>
      <c r="I276" s="3" t="s">
        <v>682</v>
      </c>
      <c r="J276" t="str">
        <f t="shared" si="59"/>
        <v>Europe &gt; France &gt; Paris</v>
      </c>
      <c r="K276" s="3" t="s">
        <v>697</v>
      </c>
      <c r="L276" s="3" t="s">
        <v>700</v>
      </c>
      <c r="M276" s="3" t="s">
        <v>715</v>
      </c>
      <c r="N276" s="3" t="s">
        <v>720</v>
      </c>
      <c r="O276" s="3" t="s">
        <v>999</v>
      </c>
      <c r="P276" s="6">
        <v>287.61</v>
      </c>
      <c r="Q276" s="6">
        <v>628.54</v>
      </c>
      <c r="R276" s="6" t="str">
        <f t="shared" si="60"/>
        <v>Low</v>
      </c>
      <c r="S276" s="6">
        <v>0.13500000000000001</v>
      </c>
      <c r="T276" s="6">
        <v>21</v>
      </c>
      <c r="U276">
        <f t="shared" si="61"/>
        <v>11417.429099999999</v>
      </c>
      <c r="V276">
        <f t="shared" si="66"/>
        <v>794633.87113999983</v>
      </c>
      <c r="W276">
        <f t="shared" si="62"/>
        <v>6039.81</v>
      </c>
      <c r="X276" s="6">
        <f t="shared" si="63"/>
        <v>5377.619099999999</v>
      </c>
      <c r="Y276">
        <f t="shared" si="64"/>
        <v>0.47100087531964613</v>
      </c>
      <c r="Z276">
        <v>202403</v>
      </c>
      <c r="AA276" s="18">
        <v>202301</v>
      </c>
      <c r="AB276" t="str">
        <v>Mar-2023</v>
      </c>
      <c r="AC276">
        <f t="shared" si="65"/>
        <v>14</v>
      </c>
      <c r="AD276" t="str">
        <f t="shared" si="67"/>
        <v>Late</v>
      </c>
      <c r="AE276">
        <f t="shared" si="68"/>
        <v>0</v>
      </c>
      <c r="AF276">
        <f t="shared" si="69"/>
        <v>0</v>
      </c>
    </row>
    <row r="277" spans="1:32" x14ac:dyDescent="0.25">
      <c r="A277" s="3" t="s">
        <v>281</v>
      </c>
      <c r="B277" s="4">
        <v>45316</v>
      </c>
      <c r="C277" s="4" t="str">
        <f t="shared" si="56"/>
        <v>Jan-2024</v>
      </c>
      <c r="D277" s="4" t="str">
        <f t="shared" si="57"/>
        <v>Q1</v>
      </c>
      <c r="E277" s="4">
        <v>45318</v>
      </c>
      <c r="F277" s="10">
        <f t="shared" si="58"/>
        <v>2</v>
      </c>
      <c r="G277" s="3" t="s">
        <v>640</v>
      </c>
      <c r="H277" s="3" t="s">
        <v>647</v>
      </c>
      <c r="I277" s="3" t="s">
        <v>662</v>
      </c>
      <c r="J277" t="str">
        <f t="shared" si="59"/>
        <v>Americas &gt; Brazil &gt; São Paulo</v>
      </c>
      <c r="K277" s="3" t="s">
        <v>695</v>
      </c>
      <c r="L277" s="3" t="s">
        <v>701</v>
      </c>
      <c r="M277" s="3" t="s">
        <v>717</v>
      </c>
      <c r="N277" s="3" t="s">
        <v>723</v>
      </c>
      <c r="O277" s="3" t="s">
        <v>1000</v>
      </c>
      <c r="P277" s="6">
        <v>1410.97</v>
      </c>
      <c r="Q277" s="6">
        <v>1650.75</v>
      </c>
      <c r="R277" s="6" t="str">
        <f t="shared" si="60"/>
        <v>High</v>
      </c>
      <c r="S277" s="6">
        <v>0.13500000000000001</v>
      </c>
      <c r="T277" s="6">
        <v>6</v>
      </c>
      <c r="U277">
        <f t="shared" si="61"/>
        <v>8567.3924999999999</v>
      </c>
      <c r="V277">
        <f t="shared" si="66"/>
        <v>794633.87113999983</v>
      </c>
      <c r="W277">
        <f t="shared" si="62"/>
        <v>8465.82</v>
      </c>
      <c r="X277" s="6">
        <f t="shared" si="63"/>
        <v>101.57250000000022</v>
      </c>
      <c r="Y277">
        <f t="shared" si="64"/>
        <v>1.1855707556295596E-2</v>
      </c>
      <c r="Z277">
        <v>202401</v>
      </c>
      <c r="AA277" s="18">
        <v>202301</v>
      </c>
      <c r="AB277" t="str">
        <v>Jan-2023</v>
      </c>
      <c r="AC277">
        <f t="shared" si="65"/>
        <v>12</v>
      </c>
      <c r="AD277" t="str">
        <f t="shared" si="67"/>
        <v>On Time</v>
      </c>
      <c r="AE277">
        <f t="shared" si="68"/>
        <v>1</v>
      </c>
      <c r="AF277">
        <f t="shared" si="69"/>
        <v>0</v>
      </c>
    </row>
    <row r="278" spans="1:32" x14ac:dyDescent="0.25">
      <c r="A278" s="3" t="s">
        <v>282</v>
      </c>
      <c r="B278" s="4">
        <v>45378</v>
      </c>
      <c r="C278" s="4" t="str">
        <f t="shared" si="56"/>
        <v>Mar-2024</v>
      </c>
      <c r="D278" s="4" t="str">
        <f t="shared" si="57"/>
        <v>Q1</v>
      </c>
      <c r="E278" s="4">
        <v>45393</v>
      </c>
      <c r="F278" s="10">
        <f t="shared" si="58"/>
        <v>15</v>
      </c>
      <c r="G278" s="3" t="s">
        <v>640</v>
      </c>
      <c r="H278" s="3" t="s">
        <v>652</v>
      </c>
      <c r="I278" s="3" t="s">
        <v>678</v>
      </c>
      <c r="J278" t="str">
        <f t="shared" si="59"/>
        <v>Americas &gt; USA &gt; San Francisco</v>
      </c>
      <c r="K278" s="3" t="s">
        <v>697</v>
      </c>
      <c r="L278" s="3" t="s">
        <v>703</v>
      </c>
      <c r="M278" s="3" t="s">
        <v>711</v>
      </c>
      <c r="N278" s="3" t="s">
        <v>721</v>
      </c>
      <c r="O278" s="3" t="s">
        <v>1001</v>
      </c>
      <c r="P278" s="6">
        <v>1338.35</v>
      </c>
      <c r="Q278" s="6">
        <v>2247.14</v>
      </c>
      <c r="R278" s="6" t="str">
        <f t="shared" si="60"/>
        <v>High</v>
      </c>
      <c r="S278" s="6">
        <v>0.115</v>
      </c>
      <c r="T278" s="6">
        <v>40</v>
      </c>
      <c r="U278">
        <f t="shared" si="61"/>
        <v>79548.755999999994</v>
      </c>
      <c r="V278">
        <f t="shared" si="66"/>
        <v>794633.87113999983</v>
      </c>
      <c r="W278">
        <f t="shared" si="62"/>
        <v>53534</v>
      </c>
      <c r="X278" s="6">
        <f t="shared" si="63"/>
        <v>26014.755999999994</v>
      </c>
      <c r="Y278">
        <f t="shared" si="64"/>
        <v>0.32702907384246205</v>
      </c>
      <c r="Z278">
        <v>202403</v>
      </c>
      <c r="AA278" s="18">
        <v>202301</v>
      </c>
      <c r="AB278" t="str">
        <v>Mar-2023</v>
      </c>
      <c r="AC278">
        <f t="shared" si="65"/>
        <v>14</v>
      </c>
      <c r="AD278" t="str">
        <f t="shared" si="67"/>
        <v>Late</v>
      </c>
      <c r="AE278">
        <f t="shared" si="68"/>
        <v>0</v>
      </c>
      <c r="AF278">
        <f t="shared" si="69"/>
        <v>0</v>
      </c>
    </row>
    <row r="279" spans="1:32" x14ac:dyDescent="0.25">
      <c r="A279" s="3" t="s">
        <v>283</v>
      </c>
      <c r="B279" s="4">
        <v>45832</v>
      </c>
      <c r="C279" s="4" t="str">
        <f t="shared" si="56"/>
        <v>Jun-2025</v>
      </c>
      <c r="D279" s="4" t="str">
        <f t="shared" si="57"/>
        <v>Q2</v>
      </c>
      <c r="E279" s="4">
        <v>45852</v>
      </c>
      <c r="F279" s="10">
        <f t="shared" si="58"/>
        <v>20</v>
      </c>
      <c r="G279" s="3" t="s">
        <v>641</v>
      </c>
      <c r="H279" s="3" t="s">
        <v>648</v>
      </c>
      <c r="I279" s="3" t="s">
        <v>663</v>
      </c>
      <c r="J279" t="str">
        <f t="shared" si="59"/>
        <v>Europe &gt; Germany &gt; Berlin</v>
      </c>
      <c r="K279" s="3" t="s">
        <v>693</v>
      </c>
      <c r="L279" s="3" t="s">
        <v>703</v>
      </c>
      <c r="M279" s="3" t="s">
        <v>711</v>
      </c>
      <c r="N279" s="3" t="s">
        <v>725</v>
      </c>
      <c r="O279" s="3" t="s">
        <v>1002</v>
      </c>
      <c r="P279" s="6">
        <v>385.08</v>
      </c>
      <c r="Q279" s="6">
        <v>893.19</v>
      </c>
      <c r="R279" s="6" t="str">
        <f t="shared" si="60"/>
        <v>Low</v>
      </c>
      <c r="S279" s="6">
        <v>0.151</v>
      </c>
      <c r="T279" s="6">
        <v>8</v>
      </c>
      <c r="U279">
        <f t="shared" si="61"/>
        <v>6066.54648</v>
      </c>
      <c r="V279">
        <f t="shared" si="66"/>
        <v>794633.87113999983</v>
      </c>
      <c r="W279">
        <f t="shared" si="62"/>
        <v>3080.64</v>
      </c>
      <c r="X279" s="6">
        <f t="shared" si="63"/>
        <v>2985.9064800000001</v>
      </c>
      <c r="Y279">
        <f t="shared" si="64"/>
        <v>0.49219213762621666</v>
      </c>
      <c r="Z279">
        <v>202506</v>
      </c>
      <c r="AA279" s="18">
        <v>202301</v>
      </c>
      <c r="AB279" t="str">
        <v>Jun-2023</v>
      </c>
      <c r="AC279">
        <f t="shared" si="65"/>
        <v>29</v>
      </c>
      <c r="AD279" t="str">
        <f t="shared" si="67"/>
        <v>Late</v>
      </c>
      <c r="AE279">
        <f t="shared" si="68"/>
        <v>0</v>
      </c>
      <c r="AF279">
        <f t="shared" si="69"/>
        <v>0</v>
      </c>
    </row>
    <row r="280" spans="1:32" x14ac:dyDescent="0.25">
      <c r="A280" s="3" t="s">
        <v>284</v>
      </c>
      <c r="B280" s="4">
        <v>45459</v>
      </c>
      <c r="C280" s="4" t="str">
        <f t="shared" si="56"/>
        <v>Jun-2024</v>
      </c>
      <c r="D280" s="4" t="str">
        <f t="shared" si="57"/>
        <v>Q2</v>
      </c>
      <c r="E280" s="4">
        <v>45476</v>
      </c>
      <c r="F280" s="10">
        <f t="shared" si="58"/>
        <v>17</v>
      </c>
      <c r="G280" s="3" t="s">
        <v>638</v>
      </c>
      <c r="H280" s="3" t="s">
        <v>653</v>
      </c>
      <c r="I280" s="3" t="s">
        <v>674</v>
      </c>
      <c r="J280" t="str">
        <f t="shared" si="59"/>
        <v>Africa &gt; South Africa &gt; Johannesburg</v>
      </c>
      <c r="K280" s="3" t="s">
        <v>698</v>
      </c>
      <c r="L280" s="3" t="s">
        <v>701</v>
      </c>
      <c r="M280" s="3" t="s">
        <v>713</v>
      </c>
      <c r="N280" s="3" t="s">
        <v>722</v>
      </c>
      <c r="O280" s="3" t="s">
        <v>1003</v>
      </c>
      <c r="P280" s="6">
        <v>1173.83</v>
      </c>
      <c r="Q280" s="6">
        <v>2328.9</v>
      </c>
      <c r="R280" s="6" t="str">
        <f t="shared" si="60"/>
        <v>High</v>
      </c>
      <c r="S280" s="6">
        <v>0.12</v>
      </c>
      <c r="T280" s="6">
        <v>17</v>
      </c>
      <c r="U280">
        <f t="shared" si="61"/>
        <v>34840.344000000005</v>
      </c>
      <c r="V280">
        <f t="shared" si="66"/>
        <v>794633.87113999983</v>
      </c>
      <c r="W280">
        <f t="shared" si="62"/>
        <v>19955.11</v>
      </c>
      <c r="X280" s="6">
        <f t="shared" si="63"/>
        <v>14885.234000000004</v>
      </c>
      <c r="Y280">
        <f t="shared" si="64"/>
        <v>0.42724130393201637</v>
      </c>
      <c r="Z280">
        <v>202406</v>
      </c>
      <c r="AA280" s="18">
        <v>202301</v>
      </c>
      <c r="AB280" t="str">
        <v>Jun-2023</v>
      </c>
      <c r="AC280">
        <f t="shared" si="65"/>
        <v>17</v>
      </c>
      <c r="AD280" t="str">
        <f t="shared" si="67"/>
        <v>Late</v>
      </c>
      <c r="AE280">
        <f t="shared" si="68"/>
        <v>0</v>
      </c>
      <c r="AF280">
        <f t="shared" si="69"/>
        <v>0</v>
      </c>
    </row>
    <row r="281" spans="1:32" x14ac:dyDescent="0.25">
      <c r="A281" s="3" t="s">
        <v>285</v>
      </c>
      <c r="B281" s="4">
        <v>45229</v>
      </c>
      <c r="C281" s="4" t="str">
        <f t="shared" si="56"/>
        <v>Oct-2023</v>
      </c>
      <c r="D281" s="4" t="str">
        <f t="shared" si="57"/>
        <v>Q4</v>
      </c>
      <c r="E281" s="4">
        <v>45244</v>
      </c>
      <c r="F281" s="10">
        <f t="shared" si="58"/>
        <v>15</v>
      </c>
      <c r="G281" s="3" t="s">
        <v>639</v>
      </c>
      <c r="H281" s="3" t="s">
        <v>646</v>
      </c>
      <c r="I281" s="3" t="s">
        <v>660</v>
      </c>
      <c r="J281" t="str">
        <f t="shared" si="59"/>
        <v>Asia &gt; India &gt; Bengaluru</v>
      </c>
      <c r="K281" s="3" t="s">
        <v>693</v>
      </c>
      <c r="L281" s="3" t="s">
        <v>700</v>
      </c>
      <c r="M281" s="3" t="s">
        <v>713</v>
      </c>
      <c r="N281" s="3" t="s">
        <v>723</v>
      </c>
      <c r="O281" s="3" t="s">
        <v>1004</v>
      </c>
      <c r="P281" s="6">
        <v>953.46</v>
      </c>
      <c r="Q281" s="6">
        <v>2066.75</v>
      </c>
      <c r="R281" s="6" t="str">
        <f t="shared" si="60"/>
        <v>Medium</v>
      </c>
      <c r="S281" s="6">
        <v>0.13800000000000001</v>
      </c>
      <c r="T281" s="6">
        <v>5</v>
      </c>
      <c r="U281">
        <f t="shared" si="61"/>
        <v>8907.6924999999992</v>
      </c>
      <c r="V281">
        <f t="shared" si="66"/>
        <v>794633.87113999983</v>
      </c>
      <c r="W281">
        <f t="shared" si="62"/>
        <v>4767.3</v>
      </c>
      <c r="X281" s="6">
        <f t="shared" si="63"/>
        <v>4140.392499999999</v>
      </c>
      <c r="Y281">
        <f t="shared" si="64"/>
        <v>0.46481089238318446</v>
      </c>
      <c r="Z281">
        <v>202310</v>
      </c>
      <c r="AA281" s="18">
        <v>202301</v>
      </c>
      <c r="AB281" t="str">
        <v>Oct-2023</v>
      </c>
      <c r="AC281">
        <f t="shared" si="65"/>
        <v>9</v>
      </c>
      <c r="AD281" t="str">
        <f t="shared" si="67"/>
        <v>Late</v>
      </c>
      <c r="AE281">
        <f t="shared" si="68"/>
        <v>0</v>
      </c>
      <c r="AF281">
        <f t="shared" si="69"/>
        <v>0</v>
      </c>
    </row>
    <row r="282" spans="1:32" x14ac:dyDescent="0.25">
      <c r="A282" s="3" t="s">
        <v>286</v>
      </c>
      <c r="B282" s="4">
        <v>45092</v>
      </c>
      <c r="C282" s="4" t="str">
        <f t="shared" si="56"/>
        <v>Jun-2023</v>
      </c>
      <c r="D282" s="4" t="str">
        <f t="shared" si="57"/>
        <v>Q2</v>
      </c>
      <c r="E282" s="4">
        <v>45100</v>
      </c>
      <c r="F282" s="10">
        <f t="shared" si="58"/>
        <v>8</v>
      </c>
      <c r="G282" s="3" t="s">
        <v>640</v>
      </c>
      <c r="H282" s="3" t="s">
        <v>652</v>
      </c>
      <c r="I282" s="3" t="s">
        <v>678</v>
      </c>
      <c r="J282" t="str">
        <f t="shared" si="59"/>
        <v>Americas &gt; USA &gt; San Francisco</v>
      </c>
      <c r="K282" s="3" t="s">
        <v>696</v>
      </c>
      <c r="L282" s="3" t="s">
        <v>702</v>
      </c>
      <c r="M282" s="3" t="s">
        <v>711</v>
      </c>
      <c r="N282" s="3" t="s">
        <v>724</v>
      </c>
      <c r="O282" s="3" t="s">
        <v>1005</v>
      </c>
      <c r="P282" s="6">
        <v>1097.0899999999999</v>
      </c>
      <c r="Q282" s="6">
        <v>2182.31</v>
      </c>
      <c r="R282" s="6" t="str">
        <f t="shared" si="60"/>
        <v>High</v>
      </c>
      <c r="S282" s="6">
        <v>0.112</v>
      </c>
      <c r="T282" s="6">
        <v>9</v>
      </c>
      <c r="U282">
        <f t="shared" si="61"/>
        <v>17441.021520000002</v>
      </c>
      <c r="V282">
        <f t="shared" si="66"/>
        <v>794633.87113999983</v>
      </c>
      <c r="W282">
        <f t="shared" si="62"/>
        <v>9873.81</v>
      </c>
      <c r="X282" s="6">
        <f t="shared" si="63"/>
        <v>7567.2115200000026</v>
      </c>
      <c r="Y282">
        <f t="shared" si="64"/>
        <v>0.43387432962699546</v>
      </c>
      <c r="Z282">
        <v>202306</v>
      </c>
      <c r="AA282" s="18">
        <v>202301</v>
      </c>
      <c r="AB282" t="str">
        <v>Jun-2023</v>
      </c>
      <c r="AC282">
        <f t="shared" si="65"/>
        <v>5</v>
      </c>
      <c r="AD282" t="str">
        <f t="shared" si="67"/>
        <v>Late</v>
      </c>
      <c r="AE282">
        <f t="shared" si="68"/>
        <v>0</v>
      </c>
      <c r="AF282">
        <f t="shared" si="69"/>
        <v>0</v>
      </c>
    </row>
    <row r="283" spans="1:32" x14ac:dyDescent="0.25">
      <c r="A283" s="3" t="s">
        <v>287</v>
      </c>
      <c r="B283" s="4">
        <v>45730</v>
      </c>
      <c r="C283" s="4" t="str">
        <f t="shared" si="56"/>
        <v>Mar-2025</v>
      </c>
      <c r="D283" s="4" t="str">
        <f t="shared" si="57"/>
        <v>Q1</v>
      </c>
      <c r="E283" s="4">
        <v>45745</v>
      </c>
      <c r="F283" s="10">
        <f t="shared" si="58"/>
        <v>15</v>
      </c>
      <c r="G283" s="3" t="s">
        <v>639</v>
      </c>
      <c r="H283" s="3" t="s">
        <v>644</v>
      </c>
      <c r="I283" s="3" t="s">
        <v>681</v>
      </c>
      <c r="J283" t="str">
        <f t="shared" si="59"/>
        <v>Asia &gt; Japan &gt; Tokyo</v>
      </c>
      <c r="K283" s="3" t="s">
        <v>695</v>
      </c>
      <c r="L283" s="3" t="s">
        <v>703</v>
      </c>
      <c r="M283" s="3" t="s">
        <v>714</v>
      </c>
      <c r="N283" s="3" t="s">
        <v>721</v>
      </c>
      <c r="O283" s="3" t="s">
        <v>1006</v>
      </c>
      <c r="P283" s="6">
        <v>1106.96</v>
      </c>
      <c r="Q283" s="6">
        <v>2726.62</v>
      </c>
      <c r="R283" s="6" t="str">
        <f t="shared" si="60"/>
        <v>High</v>
      </c>
      <c r="S283" s="6">
        <v>0.317</v>
      </c>
      <c r="T283" s="6">
        <v>7</v>
      </c>
      <c r="U283">
        <f t="shared" si="61"/>
        <v>13035.970220000001</v>
      </c>
      <c r="V283">
        <f t="shared" si="66"/>
        <v>794633.87113999983</v>
      </c>
      <c r="W283">
        <f t="shared" si="62"/>
        <v>7748.72</v>
      </c>
      <c r="X283" s="6">
        <f t="shared" si="63"/>
        <v>5287.2502200000008</v>
      </c>
      <c r="Y283">
        <f t="shared" si="64"/>
        <v>0.40558931408789306</v>
      </c>
      <c r="Z283">
        <v>202503</v>
      </c>
      <c r="AA283" s="18">
        <v>202303</v>
      </c>
      <c r="AB283" t="str">
        <v>Mar-2023</v>
      </c>
      <c r="AC283">
        <f t="shared" si="65"/>
        <v>24</v>
      </c>
      <c r="AD283" t="str">
        <f t="shared" si="67"/>
        <v>Late</v>
      </c>
      <c r="AE283">
        <f t="shared" si="68"/>
        <v>0</v>
      </c>
      <c r="AF283">
        <f t="shared" si="69"/>
        <v>1</v>
      </c>
    </row>
    <row r="284" spans="1:32" x14ac:dyDescent="0.25">
      <c r="A284" s="3" t="s">
        <v>288</v>
      </c>
      <c r="B284" s="4">
        <v>45153</v>
      </c>
      <c r="C284" s="4" t="str">
        <f t="shared" si="56"/>
        <v>Aug-2023</v>
      </c>
      <c r="D284" s="4" t="str">
        <f t="shared" si="57"/>
        <v>Q3</v>
      </c>
      <c r="E284" s="4">
        <v>45163</v>
      </c>
      <c r="F284" s="10">
        <f t="shared" si="58"/>
        <v>10</v>
      </c>
      <c r="G284" s="3" t="s">
        <v>638</v>
      </c>
      <c r="H284" s="3" t="s">
        <v>642</v>
      </c>
      <c r="I284" s="3" t="s">
        <v>656</v>
      </c>
      <c r="J284" t="str">
        <f t="shared" si="59"/>
        <v>Africa &gt; Kenya &gt; Nairobi</v>
      </c>
      <c r="K284" s="3" t="s">
        <v>697</v>
      </c>
      <c r="L284" s="3" t="s">
        <v>699</v>
      </c>
      <c r="M284" s="3" t="s">
        <v>717</v>
      </c>
      <c r="N284" s="3" t="s">
        <v>722</v>
      </c>
      <c r="O284" s="3" t="s">
        <v>1007</v>
      </c>
      <c r="P284" s="6">
        <v>91.85</v>
      </c>
      <c r="Q284" s="6">
        <v>111.29</v>
      </c>
      <c r="R284" s="6" t="str">
        <f t="shared" si="60"/>
        <v>Low</v>
      </c>
      <c r="S284" s="6">
        <v>0</v>
      </c>
      <c r="T284" s="6">
        <v>6</v>
      </c>
      <c r="U284">
        <f t="shared" si="61"/>
        <v>667.74</v>
      </c>
      <c r="V284">
        <f t="shared" si="66"/>
        <v>794633.87113999983</v>
      </c>
      <c r="W284">
        <f t="shared" si="62"/>
        <v>551.09999999999991</v>
      </c>
      <c r="X284" s="6">
        <f t="shared" si="63"/>
        <v>116.6400000000001</v>
      </c>
      <c r="Y284">
        <f t="shared" si="64"/>
        <v>0.17467876718483258</v>
      </c>
      <c r="Z284">
        <v>202308</v>
      </c>
      <c r="AA284" s="18">
        <v>202301</v>
      </c>
      <c r="AB284" t="str">
        <v>Aug-2023</v>
      </c>
      <c r="AC284">
        <f t="shared" si="65"/>
        <v>7</v>
      </c>
      <c r="AD284" t="str">
        <f t="shared" si="67"/>
        <v>Late</v>
      </c>
      <c r="AE284">
        <f t="shared" si="68"/>
        <v>0</v>
      </c>
      <c r="AF284">
        <f t="shared" si="69"/>
        <v>0</v>
      </c>
    </row>
    <row r="285" spans="1:32" x14ac:dyDescent="0.25">
      <c r="A285" s="3" t="s">
        <v>289</v>
      </c>
      <c r="B285" s="4">
        <v>45794</v>
      </c>
      <c r="C285" s="4" t="str">
        <f t="shared" si="56"/>
        <v>May-2025</v>
      </c>
      <c r="D285" s="4" t="str">
        <f t="shared" si="57"/>
        <v>Q2</v>
      </c>
      <c r="E285" s="4">
        <v>45805</v>
      </c>
      <c r="F285" s="10">
        <f t="shared" si="58"/>
        <v>11</v>
      </c>
      <c r="G285" s="3" t="s">
        <v>639</v>
      </c>
      <c r="H285" s="3" t="s">
        <v>646</v>
      </c>
      <c r="I285" s="3" t="s">
        <v>660</v>
      </c>
      <c r="J285" t="str">
        <f t="shared" si="59"/>
        <v>Asia &gt; India &gt; Bengaluru</v>
      </c>
      <c r="K285" s="3" t="s">
        <v>693</v>
      </c>
      <c r="L285" s="3" t="s">
        <v>702</v>
      </c>
      <c r="M285" s="3" t="s">
        <v>709</v>
      </c>
      <c r="N285" s="3" t="s">
        <v>723</v>
      </c>
      <c r="O285" s="3" t="s">
        <v>1008</v>
      </c>
      <c r="P285" s="6">
        <v>623.4</v>
      </c>
      <c r="Q285" s="6">
        <v>1100.0899999999999</v>
      </c>
      <c r="R285" s="6" t="str">
        <f t="shared" si="60"/>
        <v>Medium</v>
      </c>
      <c r="S285" s="6">
        <v>0.114</v>
      </c>
      <c r="T285" s="6">
        <v>12</v>
      </c>
      <c r="U285">
        <f t="shared" si="61"/>
        <v>11696.156879999999</v>
      </c>
      <c r="V285">
        <f t="shared" si="66"/>
        <v>794633.87113999983</v>
      </c>
      <c r="W285">
        <f t="shared" si="62"/>
        <v>7480.7999999999993</v>
      </c>
      <c r="X285" s="6">
        <f t="shared" si="63"/>
        <v>4215.3568799999994</v>
      </c>
      <c r="Y285">
        <f t="shared" si="64"/>
        <v>0.36040529579490388</v>
      </c>
      <c r="Z285">
        <v>202505</v>
      </c>
      <c r="AA285" s="18">
        <v>202301</v>
      </c>
      <c r="AB285" t="str">
        <v>May-2023</v>
      </c>
      <c r="AC285">
        <f t="shared" si="65"/>
        <v>28</v>
      </c>
      <c r="AD285" t="str">
        <f t="shared" si="67"/>
        <v>Late</v>
      </c>
      <c r="AE285">
        <f t="shared" si="68"/>
        <v>0</v>
      </c>
      <c r="AF285">
        <f t="shared" si="69"/>
        <v>0</v>
      </c>
    </row>
    <row r="286" spans="1:32" x14ac:dyDescent="0.25">
      <c r="A286" s="3" t="s">
        <v>290</v>
      </c>
      <c r="B286" s="4">
        <v>45304</v>
      </c>
      <c r="C286" s="4" t="str">
        <f t="shared" si="56"/>
        <v>Jan-2024</v>
      </c>
      <c r="D286" s="4" t="str">
        <f t="shared" si="57"/>
        <v>Q1</v>
      </c>
      <c r="E286" s="4">
        <v>45327</v>
      </c>
      <c r="F286" s="10">
        <f t="shared" si="58"/>
        <v>23</v>
      </c>
      <c r="G286" s="3" t="s">
        <v>641</v>
      </c>
      <c r="H286" s="3" t="s">
        <v>648</v>
      </c>
      <c r="I286" s="3" t="s">
        <v>690</v>
      </c>
      <c r="J286" t="str">
        <f t="shared" si="59"/>
        <v>Europe &gt; Germany &gt; Frankfurt</v>
      </c>
      <c r="K286" s="3" t="s">
        <v>694</v>
      </c>
      <c r="L286" s="3" t="s">
        <v>703</v>
      </c>
      <c r="M286" s="3" t="s">
        <v>709</v>
      </c>
      <c r="N286" s="3" t="s">
        <v>723</v>
      </c>
      <c r="O286" s="3" t="s">
        <v>1009</v>
      </c>
      <c r="P286" s="6">
        <v>1017.93</v>
      </c>
      <c r="Q286" s="6">
        <v>1529.14</v>
      </c>
      <c r="R286" s="6" t="str">
        <f t="shared" si="60"/>
        <v>High</v>
      </c>
      <c r="S286" s="6">
        <v>0.155</v>
      </c>
      <c r="T286" s="6">
        <v>12</v>
      </c>
      <c r="U286">
        <f t="shared" si="61"/>
        <v>15505.479600000001</v>
      </c>
      <c r="V286">
        <f t="shared" si="66"/>
        <v>794633.87113999983</v>
      </c>
      <c r="W286">
        <f t="shared" si="62"/>
        <v>12215.16</v>
      </c>
      <c r="X286" s="6">
        <f t="shared" si="63"/>
        <v>3290.3196000000007</v>
      </c>
      <c r="Y286">
        <f t="shared" si="64"/>
        <v>0.21220366508366503</v>
      </c>
      <c r="Z286">
        <v>202401</v>
      </c>
      <c r="AA286" s="18">
        <v>202301</v>
      </c>
      <c r="AB286" t="str">
        <v>Jan-2023</v>
      </c>
      <c r="AC286">
        <f t="shared" si="65"/>
        <v>12</v>
      </c>
      <c r="AD286" t="str">
        <f t="shared" si="67"/>
        <v>Late</v>
      </c>
      <c r="AE286">
        <f t="shared" si="68"/>
        <v>0</v>
      </c>
      <c r="AF286">
        <f t="shared" si="69"/>
        <v>0</v>
      </c>
    </row>
    <row r="287" spans="1:32" x14ac:dyDescent="0.25">
      <c r="A287" s="3" t="s">
        <v>291</v>
      </c>
      <c r="B287" s="4">
        <v>45101</v>
      </c>
      <c r="C287" s="4" t="str">
        <f t="shared" si="56"/>
        <v>Jun-2023</v>
      </c>
      <c r="D287" s="4" t="str">
        <f t="shared" si="57"/>
        <v>Q2</v>
      </c>
      <c r="E287" s="4">
        <v>45128</v>
      </c>
      <c r="F287" s="10">
        <f t="shared" si="58"/>
        <v>27</v>
      </c>
      <c r="G287" s="3" t="s">
        <v>639</v>
      </c>
      <c r="H287" s="3" t="s">
        <v>644</v>
      </c>
      <c r="I287" s="3" t="s">
        <v>686</v>
      </c>
      <c r="J287" t="str">
        <f t="shared" si="59"/>
        <v>Asia &gt; Japan &gt; Nagoya</v>
      </c>
      <c r="K287" s="3" t="s">
        <v>696</v>
      </c>
      <c r="L287" s="3" t="s">
        <v>701</v>
      </c>
      <c r="M287" s="3" t="s">
        <v>705</v>
      </c>
      <c r="N287" s="3" t="s">
        <v>722</v>
      </c>
      <c r="O287" s="3" t="s">
        <v>1010</v>
      </c>
      <c r="P287" s="6">
        <v>554.76</v>
      </c>
      <c r="Q287" s="6">
        <v>728.69</v>
      </c>
      <c r="R287" s="6" t="str">
        <f t="shared" si="60"/>
        <v>Medium</v>
      </c>
      <c r="S287" s="6">
        <v>0.22</v>
      </c>
      <c r="T287" s="6">
        <v>7</v>
      </c>
      <c r="U287">
        <f t="shared" si="61"/>
        <v>3978.6474000000003</v>
      </c>
      <c r="V287">
        <f t="shared" si="66"/>
        <v>794633.87113999983</v>
      </c>
      <c r="W287">
        <f t="shared" si="62"/>
        <v>3883.3199999999997</v>
      </c>
      <c r="X287" s="6">
        <f t="shared" si="63"/>
        <v>95.32740000000058</v>
      </c>
      <c r="Y287">
        <f t="shared" si="64"/>
        <v>2.395975074343119E-2</v>
      </c>
      <c r="Z287">
        <v>202306</v>
      </c>
      <c r="AA287" s="18">
        <v>202303</v>
      </c>
      <c r="AB287" t="str">
        <v>Jun-2023</v>
      </c>
      <c r="AC287">
        <f t="shared" si="65"/>
        <v>3</v>
      </c>
      <c r="AD287" t="str">
        <f t="shared" si="67"/>
        <v>Late</v>
      </c>
      <c r="AE287">
        <f t="shared" si="68"/>
        <v>0</v>
      </c>
      <c r="AF287">
        <f t="shared" si="69"/>
        <v>1</v>
      </c>
    </row>
    <row r="288" spans="1:32" x14ac:dyDescent="0.25">
      <c r="A288" s="3" t="s">
        <v>292</v>
      </c>
      <c r="B288" s="4">
        <v>45751</v>
      </c>
      <c r="C288" s="4" t="str">
        <f t="shared" si="56"/>
        <v>Apr-2025</v>
      </c>
      <c r="D288" s="4" t="str">
        <f t="shared" si="57"/>
        <v>Q2</v>
      </c>
      <c r="E288" s="4">
        <v>45760</v>
      </c>
      <c r="F288" s="10">
        <f t="shared" si="58"/>
        <v>9</v>
      </c>
      <c r="G288" s="3" t="s">
        <v>641</v>
      </c>
      <c r="H288" s="3" t="s">
        <v>648</v>
      </c>
      <c r="I288" s="3" t="s">
        <v>676</v>
      </c>
      <c r="J288" t="str">
        <f t="shared" si="59"/>
        <v>Europe &gt; Germany &gt; Munich</v>
      </c>
      <c r="K288" s="3" t="s">
        <v>696</v>
      </c>
      <c r="L288" s="3" t="s">
        <v>701</v>
      </c>
      <c r="M288" s="3" t="s">
        <v>713</v>
      </c>
      <c r="N288" s="3" t="s">
        <v>722</v>
      </c>
      <c r="O288" s="3" t="s">
        <v>1011</v>
      </c>
      <c r="P288" s="6">
        <v>7.02</v>
      </c>
      <c r="Q288" s="6">
        <v>6.28</v>
      </c>
      <c r="R288" s="6" t="str">
        <f t="shared" si="60"/>
        <v>Low</v>
      </c>
      <c r="S288" s="6">
        <v>0.13400000000000001</v>
      </c>
      <c r="T288" s="6">
        <v>14</v>
      </c>
      <c r="U288">
        <f t="shared" si="61"/>
        <v>76.138720000000006</v>
      </c>
      <c r="V288">
        <f t="shared" si="66"/>
        <v>794633.87113999983</v>
      </c>
      <c r="W288">
        <f t="shared" si="62"/>
        <v>98.28</v>
      </c>
      <c r="X288" s="6">
        <f t="shared" si="63"/>
        <v>-22.141279999999995</v>
      </c>
      <c r="Y288">
        <f t="shared" si="64"/>
        <v>-0.29080184169106066</v>
      </c>
      <c r="Z288">
        <v>202504</v>
      </c>
      <c r="AA288" s="18">
        <v>202301</v>
      </c>
      <c r="AB288" t="str">
        <v>Apr-2023</v>
      </c>
      <c r="AC288">
        <f t="shared" si="65"/>
        <v>27</v>
      </c>
      <c r="AD288" t="str">
        <f t="shared" si="67"/>
        <v>Late</v>
      </c>
      <c r="AE288">
        <f t="shared" si="68"/>
        <v>0</v>
      </c>
      <c r="AF288">
        <f t="shared" si="69"/>
        <v>0</v>
      </c>
    </row>
    <row r="289" spans="1:32" x14ac:dyDescent="0.25">
      <c r="A289" s="3" t="s">
        <v>293</v>
      </c>
      <c r="B289" s="4">
        <v>45542</v>
      </c>
      <c r="C289" s="4" t="str">
        <f t="shared" si="56"/>
        <v>Sept-2024</v>
      </c>
      <c r="D289" s="4" t="str">
        <f t="shared" si="57"/>
        <v>Q3</v>
      </c>
      <c r="E289" s="4">
        <v>45542</v>
      </c>
      <c r="F289" s="10">
        <f t="shared" si="58"/>
        <v>0</v>
      </c>
      <c r="G289" s="3" t="s">
        <v>639</v>
      </c>
      <c r="H289" s="3" t="s">
        <v>646</v>
      </c>
      <c r="I289" s="3" t="s">
        <v>683</v>
      </c>
      <c r="J289" t="str">
        <f t="shared" si="59"/>
        <v>Asia &gt; India &gt; Mumbai</v>
      </c>
      <c r="K289" s="3" t="s">
        <v>694</v>
      </c>
      <c r="L289" s="3" t="s">
        <v>702</v>
      </c>
      <c r="M289" s="3" t="s">
        <v>709</v>
      </c>
      <c r="N289" s="3" t="s">
        <v>721</v>
      </c>
      <c r="O289" s="3" t="s">
        <v>1012</v>
      </c>
      <c r="P289" s="6">
        <v>1066.6500000000001</v>
      </c>
      <c r="Q289" s="6">
        <v>2569.77</v>
      </c>
      <c r="R289" s="6" t="str">
        <f t="shared" si="60"/>
        <v>High</v>
      </c>
      <c r="S289" s="6">
        <v>0.13400000000000001</v>
      </c>
      <c r="T289" s="6">
        <v>9</v>
      </c>
      <c r="U289">
        <f t="shared" si="61"/>
        <v>20028.787380000002</v>
      </c>
      <c r="V289">
        <f t="shared" si="66"/>
        <v>794633.87113999983</v>
      </c>
      <c r="W289">
        <f t="shared" si="62"/>
        <v>9599.85</v>
      </c>
      <c r="X289" s="6">
        <f t="shared" si="63"/>
        <v>10428.937380000001</v>
      </c>
      <c r="Y289">
        <f t="shared" si="64"/>
        <v>0.52069739331368348</v>
      </c>
      <c r="Z289">
        <v>202409</v>
      </c>
      <c r="AA289" s="18">
        <v>202301</v>
      </c>
      <c r="AB289" t="str">
        <v>Sept-2023</v>
      </c>
      <c r="AC289">
        <f t="shared" si="65"/>
        <v>20</v>
      </c>
      <c r="AD289" t="str">
        <f t="shared" si="67"/>
        <v>On Time</v>
      </c>
      <c r="AE289">
        <f t="shared" si="68"/>
        <v>1</v>
      </c>
      <c r="AF289">
        <f t="shared" si="69"/>
        <v>0</v>
      </c>
    </row>
    <row r="290" spans="1:32" x14ac:dyDescent="0.25">
      <c r="A290" s="3" t="s">
        <v>294</v>
      </c>
      <c r="B290" s="4">
        <v>45319</v>
      </c>
      <c r="C290" s="4" t="str">
        <f t="shared" si="56"/>
        <v>Jan-2024</v>
      </c>
      <c r="D290" s="4" t="str">
        <f t="shared" si="57"/>
        <v>Q1</v>
      </c>
      <c r="E290" s="4">
        <v>45321</v>
      </c>
      <c r="F290" s="10">
        <f t="shared" si="58"/>
        <v>2</v>
      </c>
      <c r="G290" s="3" t="s">
        <v>638</v>
      </c>
      <c r="H290" s="3" t="s">
        <v>653</v>
      </c>
      <c r="I290" s="3" t="s">
        <v>687</v>
      </c>
      <c r="J290" t="str">
        <f t="shared" si="59"/>
        <v>Africa &gt; South Africa &gt; Cape Town</v>
      </c>
      <c r="K290" s="3" t="s">
        <v>696</v>
      </c>
      <c r="L290" s="3" t="s">
        <v>703</v>
      </c>
      <c r="M290" s="3" t="s">
        <v>713</v>
      </c>
      <c r="N290" s="3" t="s">
        <v>725</v>
      </c>
      <c r="O290" s="3" t="s">
        <v>1013</v>
      </c>
      <c r="P290" s="6">
        <v>798.45</v>
      </c>
      <c r="Q290" s="6">
        <v>1592.02</v>
      </c>
      <c r="R290" s="6" t="str">
        <f t="shared" si="60"/>
        <v>Medium</v>
      </c>
      <c r="S290" s="6">
        <v>6.6000000000000003E-2</v>
      </c>
      <c r="T290" s="6">
        <v>18</v>
      </c>
      <c r="U290">
        <f t="shared" si="61"/>
        <v>26765.040239999998</v>
      </c>
      <c r="V290">
        <f t="shared" si="66"/>
        <v>794633.87113999983</v>
      </c>
      <c r="W290">
        <f t="shared" si="62"/>
        <v>14372.1</v>
      </c>
      <c r="X290" s="6">
        <f t="shared" si="63"/>
        <v>12392.940239999998</v>
      </c>
      <c r="Y290">
        <f t="shared" si="64"/>
        <v>0.46302714768494585</v>
      </c>
      <c r="Z290">
        <v>202401</v>
      </c>
      <c r="AA290" s="18">
        <v>202301</v>
      </c>
      <c r="AB290" t="str">
        <v>Jan-2023</v>
      </c>
      <c r="AC290">
        <f t="shared" si="65"/>
        <v>12</v>
      </c>
      <c r="AD290" t="str">
        <f t="shared" si="67"/>
        <v>On Time</v>
      </c>
      <c r="AE290">
        <f t="shared" si="68"/>
        <v>1</v>
      </c>
      <c r="AF290">
        <f t="shared" si="69"/>
        <v>0</v>
      </c>
    </row>
    <row r="291" spans="1:32" x14ac:dyDescent="0.25">
      <c r="A291" s="3" t="s">
        <v>295</v>
      </c>
      <c r="B291" s="4">
        <v>45125</v>
      </c>
      <c r="C291" s="4" t="str">
        <f t="shared" si="56"/>
        <v>Jul-2023</v>
      </c>
      <c r="D291" s="4" t="str">
        <f t="shared" si="57"/>
        <v>Q3</v>
      </c>
      <c r="E291" s="4">
        <v>45148</v>
      </c>
      <c r="F291" s="10">
        <f t="shared" si="58"/>
        <v>23</v>
      </c>
      <c r="G291" s="3" t="s">
        <v>638</v>
      </c>
      <c r="H291" s="3" t="s">
        <v>653</v>
      </c>
      <c r="I291" s="3" t="s">
        <v>674</v>
      </c>
      <c r="J291" t="str">
        <f t="shared" si="59"/>
        <v>Africa &gt; South Africa &gt; Johannesburg</v>
      </c>
      <c r="K291" s="3" t="s">
        <v>697</v>
      </c>
      <c r="L291" s="3" t="s">
        <v>699</v>
      </c>
      <c r="M291" s="3" t="s">
        <v>708</v>
      </c>
      <c r="N291" s="3" t="s">
        <v>719</v>
      </c>
      <c r="O291" s="3" t="s">
        <v>1014</v>
      </c>
      <c r="P291" s="6">
        <v>1271.56</v>
      </c>
      <c r="Q291" s="6">
        <v>995.47</v>
      </c>
      <c r="R291" s="6" t="str">
        <f t="shared" si="60"/>
        <v>High</v>
      </c>
      <c r="S291" s="6">
        <v>0.192</v>
      </c>
      <c r="T291" s="6">
        <v>13</v>
      </c>
      <c r="U291">
        <f t="shared" si="61"/>
        <v>10456.416880000001</v>
      </c>
      <c r="V291">
        <f t="shared" si="66"/>
        <v>794633.87113999983</v>
      </c>
      <c r="W291">
        <f t="shared" si="62"/>
        <v>16530.28</v>
      </c>
      <c r="X291" s="6">
        <f t="shared" si="63"/>
        <v>-6073.8631199999982</v>
      </c>
      <c r="Y291">
        <f t="shared" si="64"/>
        <v>-0.58087423155607754</v>
      </c>
      <c r="Z291">
        <v>202307</v>
      </c>
      <c r="AA291" s="18">
        <v>202301</v>
      </c>
      <c r="AB291" t="str">
        <v>Jul-2023</v>
      </c>
      <c r="AC291">
        <f t="shared" si="65"/>
        <v>6</v>
      </c>
      <c r="AD291" t="str">
        <f t="shared" si="67"/>
        <v>Late</v>
      </c>
      <c r="AE291">
        <f t="shared" si="68"/>
        <v>0</v>
      </c>
      <c r="AF291">
        <f t="shared" si="69"/>
        <v>0</v>
      </c>
    </row>
    <row r="292" spans="1:32" x14ac:dyDescent="0.25">
      <c r="A292" s="3" t="s">
        <v>296</v>
      </c>
      <c r="B292" s="4">
        <v>45897</v>
      </c>
      <c r="C292" s="4" t="str">
        <f t="shared" si="56"/>
        <v>Aug-2025</v>
      </c>
      <c r="D292" s="4" t="str">
        <f t="shared" si="57"/>
        <v>Q3</v>
      </c>
      <c r="E292" s="4">
        <v>45899</v>
      </c>
      <c r="F292" s="10">
        <f t="shared" si="58"/>
        <v>2</v>
      </c>
      <c r="G292" s="3" t="s">
        <v>638</v>
      </c>
      <c r="H292" s="3" t="s">
        <v>643</v>
      </c>
      <c r="I292" s="3" t="s">
        <v>655</v>
      </c>
      <c r="J292" t="str">
        <f t="shared" si="59"/>
        <v>Africa &gt; Nigeria &gt; Port Harcourt</v>
      </c>
      <c r="K292" s="3" t="s">
        <v>697</v>
      </c>
      <c r="L292" s="3" t="s">
        <v>699</v>
      </c>
      <c r="M292" s="3" t="s">
        <v>712</v>
      </c>
      <c r="N292" s="3" t="s">
        <v>725</v>
      </c>
      <c r="O292" s="3" t="s">
        <v>1015</v>
      </c>
      <c r="P292" s="6">
        <v>521.05999999999995</v>
      </c>
      <c r="Q292" s="6">
        <v>1240.31</v>
      </c>
      <c r="R292" s="6" t="str">
        <f t="shared" si="60"/>
        <v>Medium</v>
      </c>
      <c r="S292" s="6">
        <v>0.14599999999999999</v>
      </c>
      <c r="T292" s="6">
        <v>18</v>
      </c>
      <c r="U292">
        <f t="shared" si="61"/>
        <v>19066.045319999997</v>
      </c>
      <c r="V292">
        <f t="shared" si="66"/>
        <v>784177.45425999991</v>
      </c>
      <c r="W292">
        <f t="shared" si="62"/>
        <v>9379.0799999999981</v>
      </c>
      <c r="X292" s="6">
        <f t="shared" si="63"/>
        <v>9686.9653199999993</v>
      </c>
      <c r="Y292">
        <f t="shared" si="64"/>
        <v>0.50807417885650974</v>
      </c>
      <c r="Z292">
        <v>202508</v>
      </c>
      <c r="AA292" s="18">
        <v>202301</v>
      </c>
      <c r="AB292" t="str">
        <v>Aug-2023</v>
      </c>
      <c r="AC292">
        <f t="shared" si="65"/>
        <v>31</v>
      </c>
      <c r="AD292" t="str">
        <f t="shared" si="67"/>
        <v>On Time</v>
      </c>
      <c r="AE292">
        <f t="shared" si="68"/>
        <v>1</v>
      </c>
      <c r="AF292">
        <f t="shared" si="69"/>
        <v>0</v>
      </c>
    </row>
    <row r="293" spans="1:32" x14ac:dyDescent="0.25">
      <c r="A293" s="3" t="s">
        <v>297</v>
      </c>
      <c r="B293" s="4">
        <v>45746</v>
      </c>
      <c r="C293" s="4" t="str">
        <f t="shared" si="56"/>
        <v>Mar-2025</v>
      </c>
      <c r="D293" s="4" t="str">
        <f t="shared" si="57"/>
        <v>Q1</v>
      </c>
      <c r="E293" s="4">
        <v>45754</v>
      </c>
      <c r="F293" s="10">
        <f t="shared" si="58"/>
        <v>8</v>
      </c>
      <c r="G293" s="3" t="s">
        <v>640</v>
      </c>
      <c r="H293" s="3" t="s">
        <v>647</v>
      </c>
      <c r="I293" s="3" t="s">
        <v>662</v>
      </c>
      <c r="J293" t="str">
        <f t="shared" si="59"/>
        <v>Americas &gt; Brazil &gt; São Paulo</v>
      </c>
      <c r="K293" s="3" t="s">
        <v>695</v>
      </c>
      <c r="L293" s="3" t="s">
        <v>703</v>
      </c>
      <c r="M293" s="3" t="s">
        <v>708</v>
      </c>
      <c r="N293" s="3" t="s">
        <v>720</v>
      </c>
      <c r="O293" s="3" t="s">
        <v>1016</v>
      </c>
      <c r="P293" s="6">
        <v>71.62</v>
      </c>
      <c r="Q293" s="6">
        <v>118.37</v>
      </c>
      <c r="R293" s="6" t="str">
        <f t="shared" si="60"/>
        <v>Low</v>
      </c>
      <c r="S293" s="6">
        <v>0.156</v>
      </c>
      <c r="T293" s="6">
        <v>11</v>
      </c>
      <c r="U293">
        <f t="shared" si="61"/>
        <v>1098.9470800000001</v>
      </c>
      <c r="V293">
        <f t="shared" si="66"/>
        <v>784177.45425999991</v>
      </c>
      <c r="W293">
        <f t="shared" si="62"/>
        <v>787.82</v>
      </c>
      <c r="X293" s="6">
        <f t="shared" si="63"/>
        <v>311.12708000000009</v>
      </c>
      <c r="Y293">
        <f t="shared" si="64"/>
        <v>0.28311379652603474</v>
      </c>
      <c r="Z293">
        <v>202503</v>
      </c>
      <c r="AA293" s="18">
        <v>202301</v>
      </c>
      <c r="AB293" t="str">
        <v>Mar-2023</v>
      </c>
      <c r="AC293">
        <f t="shared" si="65"/>
        <v>26</v>
      </c>
      <c r="AD293" t="str">
        <f t="shared" si="67"/>
        <v>Late</v>
      </c>
      <c r="AE293">
        <f t="shared" si="68"/>
        <v>0</v>
      </c>
      <c r="AF293">
        <f t="shared" si="69"/>
        <v>0</v>
      </c>
    </row>
    <row r="294" spans="1:32" x14ac:dyDescent="0.25">
      <c r="A294" s="3" t="s">
        <v>298</v>
      </c>
      <c r="B294" s="4">
        <v>45220</v>
      </c>
      <c r="C294" s="4" t="str">
        <f t="shared" si="56"/>
        <v>Oct-2023</v>
      </c>
      <c r="D294" s="4" t="str">
        <f t="shared" si="57"/>
        <v>Q4</v>
      </c>
      <c r="E294" s="4">
        <v>45239</v>
      </c>
      <c r="F294" s="10">
        <f t="shared" si="58"/>
        <v>19</v>
      </c>
      <c r="G294" s="3" t="s">
        <v>641</v>
      </c>
      <c r="H294" s="3" t="s">
        <v>650</v>
      </c>
      <c r="I294" s="3" t="s">
        <v>675</v>
      </c>
      <c r="J294" t="str">
        <f t="shared" si="59"/>
        <v>Europe &gt; United Kingdom &gt; London</v>
      </c>
      <c r="K294" s="3" t="s">
        <v>695</v>
      </c>
      <c r="L294" s="3" t="s">
        <v>703</v>
      </c>
      <c r="M294" s="3" t="s">
        <v>712</v>
      </c>
      <c r="N294" s="3" t="s">
        <v>725</v>
      </c>
      <c r="O294" s="3" t="s">
        <v>1017</v>
      </c>
      <c r="P294" s="6">
        <v>1142.48</v>
      </c>
      <c r="Q294" s="6">
        <v>2105.5300000000002</v>
      </c>
      <c r="R294" s="6" t="str">
        <f t="shared" si="60"/>
        <v>High</v>
      </c>
      <c r="S294" s="6">
        <v>0.20699999999999999</v>
      </c>
      <c r="T294" s="6">
        <v>14</v>
      </c>
      <c r="U294">
        <f t="shared" si="61"/>
        <v>23375.594060000003</v>
      </c>
      <c r="V294">
        <f t="shared" si="66"/>
        <v>784177.45425999991</v>
      </c>
      <c r="W294">
        <f t="shared" si="62"/>
        <v>15994.720000000001</v>
      </c>
      <c r="X294" s="6">
        <f t="shared" si="63"/>
        <v>7380.8740600000019</v>
      </c>
      <c r="Y294">
        <f t="shared" si="64"/>
        <v>0.31575129346680658</v>
      </c>
      <c r="Z294">
        <v>202310</v>
      </c>
      <c r="AA294" s="18">
        <v>202301</v>
      </c>
      <c r="AB294" t="str">
        <v>Oct-2023</v>
      </c>
      <c r="AC294">
        <f t="shared" si="65"/>
        <v>9</v>
      </c>
      <c r="AD294" t="str">
        <f t="shared" si="67"/>
        <v>Late</v>
      </c>
      <c r="AE294">
        <f t="shared" si="68"/>
        <v>0</v>
      </c>
      <c r="AF294">
        <f t="shared" si="69"/>
        <v>1</v>
      </c>
    </row>
    <row r="295" spans="1:32" x14ac:dyDescent="0.25">
      <c r="A295" s="3" t="s">
        <v>299</v>
      </c>
      <c r="B295" s="4">
        <v>45161</v>
      </c>
      <c r="C295" s="4" t="str">
        <f t="shared" si="56"/>
        <v>Aug-2023</v>
      </c>
      <c r="D295" s="4" t="str">
        <f t="shared" si="57"/>
        <v>Q3</v>
      </c>
      <c r="E295" s="4">
        <v>45191</v>
      </c>
      <c r="F295" s="10">
        <f t="shared" si="58"/>
        <v>30</v>
      </c>
      <c r="G295" s="3" t="s">
        <v>641</v>
      </c>
      <c r="H295" s="3" t="s">
        <v>650</v>
      </c>
      <c r="I295" s="3" t="s">
        <v>675</v>
      </c>
      <c r="J295" t="str">
        <f t="shared" si="59"/>
        <v>Europe &gt; United Kingdom &gt; London</v>
      </c>
      <c r="K295" s="3" t="s">
        <v>696</v>
      </c>
      <c r="L295" s="3" t="s">
        <v>702</v>
      </c>
      <c r="M295" s="3" t="s">
        <v>711</v>
      </c>
      <c r="N295" s="3" t="s">
        <v>725</v>
      </c>
      <c r="O295" s="3" t="s">
        <v>1018</v>
      </c>
      <c r="P295" s="6">
        <v>209.81</v>
      </c>
      <c r="Q295" s="6">
        <v>523</v>
      </c>
      <c r="R295" s="6" t="str">
        <f t="shared" si="60"/>
        <v>Low</v>
      </c>
      <c r="S295" s="6">
        <v>5.8999999999999997E-2</v>
      </c>
      <c r="T295" s="6">
        <v>15</v>
      </c>
      <c r="U295">
        <f t="shared" si="61"/>
        <v>7382.1450000000004</v>
      </c>
      <c r="V295">
        <f t="shared" si="66"/>
        <v>784177.45425999991</v>
      </c>
      <c r="W295">
        <f t="shared" si="62"/>
        <v>3147.15</v>
      </c>
      <c r="X295" s="6">
        <f t="shared" si="63"/>
        <v>4234.9950000000008</v>
      </c>
      <c r="Y295">
        <f t="shared" si="64"/>
        <v>0.57368082041195356</v>
      </c>
      <c r="Z295">
        <v>202308</v>
      </c>
      <c r="AA295" s="18">
        <v>202301</v>
      </c>
      <c r="AB295" t="str">
        <v>Aug-2023</v>
      </c>
      <c r="AC295">
        <f t="shared" si="65"/>
        <v>7</v>
      </c>
      <c r="AD295" t="str">
        <f t="shared" si="67"/>
        <v>Late</v>
      </c>
      <c r="AE295">
        <f t="shared" si="68"/>
        <v>0</v>
      </c>
      <c r="AF295">
        <f t="shared" si="69"/>
        <v>0</v>
      </c>
    </row>
    <row r="296" spans="1:32" x14ac:dyDescent="0.25">
      <c r="A296" s="3" t="s">
        <v>300</v>
      </c>
      <c r="B296" s="4">
        <v>45758</v>
      </c>
      <c r="C296" s="4" t="str">
        <f t="shared" si="56"/>
        <v>Apr-2025</v>
      </c>
      <c r="D296" s="4" t="str">
        <f t="shared" si="57"/>
        <v>Q2</v>
      </c>
      <c r="E296" s="4">
        <v>45781</v>
      </c>
      <c r="F296" s="10">
        <f t="shared" si="58"/>
        <v>23</v>
      </c>
      <c r="G296" s="3" t="s">
        <v>639</v>
      </c>
      <c r="H296" s="3" t="s">
        <v>644</v>
      </c>
      <c r="I296" s="3" t="s">
        <v>658</v>
      </c>
      <c r="J296" t="str">
        <f t="shared" si="59"/>
        <v>Asia &gt; Japan &gt; Osaka</v>
      </c>
      <c r="K296" s="3" t="s">
        <v>697</v>
      </c>
      <c r="L296" s="3" t="s">
        <v>700</v>
      </c>
      <c r="M296" s="3" t="s">
        <v>716</v>
      </c>
      <c r="N296" s="3" t="s">
        <v>719</v>
      </c>
      <c r="O296" s="3" t="s">
        <v>1019</v>
      </c>
      <c r="P296" s="6">
        <v>786.2</v>
      </c>
      <c r="Q296" s="6">
        <v>1075.3</v>
      </c>
      <c r="R296" s="6" t="str">
        <f t="shared" si="60"/>
        <v>Medium</v>
      </c>
      <c r="S296" s="6">
        <v>0.08</v>
      </c>
      <c r="T296" s="6">
        <v>9</v>
      </c>
      <c r="U296">
        <f t="shared" si="61"/>
        <v>8903.4839999999986</v>
      </c>
      <c r="V296">
        <f t="shared" si="66"/>
        <v>784177.45425999991</v>
      </c>
      <c r="W296">
        <f t="shared" si="62"/>
        <v>7075.8</v>
      </c>
      <c r="X296" s="6">
        <f t="shared" si="63"/>
        <v>1827.6839999999984</v>
      </c>
      <c r="Y296">
        <f t="shared" si="64"/>
        <v>0.20527739478163815</v>
      </c>
      <c r="Z296">
        <v>202504</v>
      </c>
      <c r="AA296" s="18">
        <v>202303</v>
      </c>
      <c r="AB296" t="str">
        <v>Apr-2023</v>
      </c>
      <c r="AC296">
        <f t="shared" si="65"/>
        <v>25</v>
      </c>
      <c r="AD296" t="str">
        <f t="shared" si="67"/>
        <v>Late</v>
      </c>
      <c r="AE296">
        <f t="shared" si="68"/>
        <v>0</v>
      </c>
      <c r="AF296">
        <f t="shared" si="69"/>
        <v>0</v>
      </c>
    </row>
    <row r="297" spans="1:32" x14ac:dyDescent="0.25">
      <c r="A297" s="3" t="s">
        <v>301</v>
      </c>
      <c r="B297" s="4">
        <v>45809</v>
      </c>
      <c r="C297" s="4" t="str">
        <f t="shared" si="56"/>
        <v>Jun-2025</v>
      </c>
      <c r="D297" s="4" t="str">
        <f t="shared" si="57"/>
        <v>Q2</v>
      </c>
      <c r="E297" s="4">
        <v>45835</v>
      </c>
      <c r="F297" s="10">
        <f t="shared" si="58"/>
        <v>26</v>
      </c>
      <c r="G297" s="3" t="s">
        <v>641</v>
      </c>
      <c r="H297" s="3" t="s">
        <v>648</v>
      </c>
      <c r="I297" s="3" t="s">
        <v>676</v>
      </c>
      <c r="J297" t="str">
        <f t="shared" si="59"/>
        <v>Europe &gt; Germany &gt; Munich</v>
      </c>
      <c r="K297" s="3" t="s">
        <v>696</v>
      </c>
      <c r="L297" s="3" t="s">
        <v>702</v>
      </c>
      <c r="M297" s="3" t="s">
        <v>710</v>
      </c>
      <c r="N297" s="3" t="s">
        <v>723</v>
      </c>
      <c r="O297" s="3" t="s">
        <v>1020</v>
      </c>
      <c r="P297" s="6">
        <v>1362.31</v>
      </c>
      <c r="Q297" s="6">
        <v>3294.57</v>
      </c>
      <c r="R297" s="6" t="str">
        <f t="shared" si="60"/>
        <v>High</v>
      </c>
      <c r="S297" s="6">
        <v>0.113</v>
      </c>
      <c r="T297" s="6">
        <v>7</v>
      </c>
      <c r="U297">
        <f t="shared" si="61"/>
        <v>20455.985130000001</v>
      </c>
      <c r="V297">
        <f t="shared" si="66"/>
        <v>775273.97025999997</v>
      </c>
      <c r="W297">
        <f t="shared" si="62"/>
        <v>9536.17</v>
      </c>
      <c r="X297" s="6">
        <f t="shared" si="63"/>
        <v>10919.815130000001</v>
      </c>
      <c r="Y297">
        <f t="shared" si="64"/>
        <v>0.5338200561157721</v>
      </c>
      <c r="Z297">
        <v>202506</v>
      </c>
      <c r="AA297" s="18">
        <v>202301</v>
      </c>
      <c r="AB297" t="str">
        <v>Jun-2023</v>
      </c>
      <c r="AC297">
        <f t="shared" si="65"/>
        <v>29</v>
      </c>
      <c r="AD297" t="str">
        <f t="shared" si="67"/>
        <v>Late</v>
      </c>
      <c r="AE297">
        <f t="shared" si="68"/>
        <v>0</v>
      </c>
      <c r="AF297">
        <f t="shared" si="69"/>
        <v>0</v>
      </c>
    </row>
    <row r="298" spans="1:32" x14ac:dyDescent="0.25">
      <c r="A298" s="3" t="s">
        <v>302</v>
      </c>
      <c r="B298" s="4">
        <v>45353</v>
      </c>
      <c r="C298" s="4" t="str">
        <f t="shared" si="56"/>
        <v>Mar-2024</v>
      </c>
      <c r="D298" s="4" t="str">
        <f t="shared" si="57"/>
        <v>Q1</v>
      </c>
      <c r="E298" s="4">
        <v>45367</v>
      </c>
      <c r="F298" s="10">
        <f t="shared" si="58"/>
        <v>14</v>
      </c>
      <c r="G298" s="3" t="s">
        <v>640</v>
      </c>
      <c r="H298" s="3" t="s">
        <v>645</v>
      </c>
      <c r="I298" s="3" t="s">
        <v>680</v>
      </c>
      <c r="J298" t="str">
        <f t="shared" si="59"/>
        <v>Americas &gt; Canada &gt; Vancouver</v>
      </c>
      <c r="K298" s="3" t="s">
        <v>695</v>
      </c>
      <c r="L298" s="3" t="s">
        <v>703</v>
      </c>
      <c r="M298" s="3" t="s">
        <v>711</v>
      </c>
      <c r="N298" s="3" t="s">
        <v>720</v>
      </c>
      <c r="O298" s="3" t="s">
        <v>1021</v>
      </c>
      <c r="P298" s="6">
        <v>248.24</v>
      </c>
      <c r="Q298" s="6">
        <v>464.05</v>
      </c>
      <c r="R298" s="6" t="str">
        <f t="shared" si="60"/>
        <v>Low</v>
      </c>
      <c r="S298" s="6">
        <v>0.16900000000000001</v>
      </c>
      <c r="T298" s="6">
        <v>11</v>
      </c>
      <c r="U298">
        <f t="shared" si="61"/>
        <v>4241.88105</v>
      </c>
      <c r="V298">
        <f t="shared" si="66"/>
        <v>775273.97025999997</v>
      </c>
      <c r="W298">
        <f t="shared" si="62"/>
        <v>2730.6400000000003</v>
      </c>
      <c r="X298" s="6">
        <f t="shared" si="63"/>
        <v>1511.2410499999996</v>
      </c>
      <c r="Y298">
        <f t="shared" si="64"/>
        <v>0.3562667203975462</v>
      </c>
      <c r="Z298">
        <v>202403</v>
      </c>
      <c r="AA298" s="18">
        <v>202301</v>
      </c>
      <c r="AB298" t="str">
        <v>Mar-2023</v>
      </c>
      <c r="AC298">
        <f t="shared" si="65"/>
        <v>14</v>
      </c>
      <c r="AD298" t="str">
        <f t="shared" si="67"/>
        <v>Late</v>
      </c>
      <c r="AE298">
        <f t="shared" si="68"/>
        <v>0</v>
      </c>
      <c r="AF298">
        <f t="shared" si="69"/>
        <v>0</v>
      </c>
    </row>
    <row r="299" spans="1:32" x14ac:dyDescent="0.25">
      <c r="A299" s="3" t="s">
        <v>303</v>
      </c>
      <c r="B299" s="4">
        <v>45097</v>
      </c>
      <c r="C299" s="4" t="str">
        <f t="shared" si="56"/>
        <v>Jun-2023</v>
      </c>
      <c r="D299" s="4" t="str">
        <f t="shared" si="57"/>
        <v>Q2</v>
      </c>
      <c r="E299" s="4">
        <v>45115</v>
      </c>
      <c r="F299" s="10">
        <f t="shared" si="58"/>
        <v>18</v>
      </c>
      <c r="G299" s="3" t="s">
        <v>640</v>
      </c>
      <c r="H299" s="3" t="s">
        <v>652</v>
      </c>
      <c r="I299" s="3" t="s">
        <v>689</v>
      </c>
      <c r="J299" t="str">
        <f t="shared" si="59"/>
        <v>Americas &gt; USA &gt; Austin</v>
      </c>
      <c r="K299" s="3" t="s">
        <v>695</v>
      </c>
      <c r="L299" s="3" t="s">
        <v>703</v>
      </c>
      <c r="M299" s="3" t="s">
        <v>713</v>
      </c>
      <c r="N299" s="3" t="s">
        <v>724</v>
      </c>
      <c r="O299" s="3" t="s">
        <v>1022</v>
      </c>
      <c r="P299" s="6">
        <v>337</v>
      </c>
      <c r="Q299" s="6">
        <v>511.03</v>
      </c>
      <c r="R299" s="6" t="str">
        <f t="shared" si="60"/>
        <v>Low</v>
      </c>
      <c r="S299" s="6">
        <v>0.108</v>
      </c>
      <c r="T299" s="6">
        <v>7</v>
      </c>
      <c r="U299">
        <f t="shared" si="61"/>
        <v>3190.8713200000002</v>
      </c>
      <c r="V299">
        <f t="shared" si="66"/>
        <v>775273.97025999997</v>
      </c>
      <c r="W299">
        <f t="shared" si="62"/>
        <v>2359</v>
      </c>
      <c r="X299" s="6">
        <f t="shared" si="63"/>
        <v>831.8713200000002</v>
      </c>
      <c r="Y299">
        <f t="shared" si="64"/>
        <v>0.26070349963219458</v>
      </c>
      <c r="Z299">
        <v>202306</v>
      </c>
      <c r="AA299" s="18">
        <v>202301</v>
      </c>
      <c r="AB299" t="str">
        <v>Jun-2023</v>
      </c>
      <c r="AC299">
        <f t="shared" si="65"/>
        <v>5</v>
      </c>
      <c r="AD299" t="str">
        <f t="shared" si="67"/>
        <v>Late</v>
      </c>
      <c r="AE299">
        <f t="shared" si="68"/>
        <v>0</v>
      </c>
      <c r="AF299">
        <f t="shared" si="69"/>
        <v>0</v>
      </c>
    </row>
    <row r="300" spans="1:32" x14ac:dyDescent="0.25">
      <c r="A300" s="3" t="s">
        <v>304</v>
      </c>
      <c r="B300" s="4">
        <v>45377</v>
      </c>
      <c r="C300" s="4" t="str">
        <f t="shared" si="56"/>
        <v>Mar-2024</v>
      </c>
      <c r="D300" s="4" t="str">
        <f t="shared" si="57"/>
        <v>Q1</v>
      </c>
      <c r="E300" s="4">
        <v>45387</v>
      </c>
      <c r="F300" s="10">
        <f t="shared" si="58"/>
        <v>10</v>
      </c>
      <c r="G300" s="3" t="s">
        <v>640</v>
      </c>
      <c r="H300" s="3" t="s">
        <v>652</v>
      </c>
      <c r="I300" s="3" t="s">
        <v>689</v>
      </c>
      <c r="J300" t="str">
        <f t="shared" si="59"/>
        <v>Americas &gt; USA &gt; Austin</v>
      </c>
      <c r="K300" s="3" t="s">
        <v>696</v>
      </c>
      <c r="L300" s="3" t="s">
        <v>703</v>
      </c>
      <c r="M300" s="3" t="s">
        <v>705</v>
      </c>
      <c r="N300" s="3" t="s">
        <v>724</v>
      </c>
      <c r="O300" s="3" t="s">
        <v>1023</v>
      </c>
      <c r="P300" s="6">
        <v>5.66</v>
      </c>
      <c r="Q300" s="6">
        <v>4.22</v>
      </c>
      <c r="R300" s="6" t="str">
        <f t="shared" si="60"/>
        <v>Low</v>
      </c>
      <c r="S300" s="6">
        <v>0.11899999999999999</v>
      </c>
      <c r="T300" s="6">
        <v>18</v>
      </c>
      <c r="U300">
        <f t="shared" si="61"/>
        <v>66.920760000000001</v>
      </c>
      <c r="V300">
        <f t="shared" si="66"/>
        <v>775273.97025999997</v>
      </c>
      <c r="W300">
        <f t="shared" si="62"/>
        <v>101.88</v>
      </c>
      <c r="X300" s="6">
        <f t="shared" si="63"/>
        <v>-34.959239999999994</v>
      </c>
      <c r="Y300">
        <f t="shared" si="64"/>
        <v>-0.52239753403876454</v>
      </c>
      <c r="Z300">
        <v>202403</v>
      </c>
      <c r="AA300" s="18">
        <v>202301</v>
      </c>
      <c r="AB300" t="str">
        <v>Mar-2023</v>
      </c>
      <c r="AC300">
        <f t="shared" si="65"/>
        <v>14</v>
      </c>
      <c r="AD300" t="str">
        <f t="shared" si="67"/>
        <v>Late</v>
      </c>
      <c r="AE300">
        <f t="shared" si="68"/>
        <v>0</v>
      </c>
      <c r="AF300">
        <f t="shared" si="69"/>
        <v>0</v>
      </c>
    </row>
    <row r="301" spans="1:32" x14ac:dyDescent="0.25">
      <c r="A301" s="3" t="s">
        <v>305</v>
      </c>
      <c r="B301" s="4">
        <v>45679</v>
      </c>
      <c r="C301" s="4" t="str">
        <f t="shared" si="56"/>
        <v>Jan-2025</v>
      </c>
      <c r="D301" s="4" t="str">
        <f t="shared" si="57"/>
        <v>Q1</v>
      </c>
      <c r="E301" s="4">
        <v>45679</v>
      </c>
      <c r="F301" s="10">
        <f t="shared" si="58"/>
        <v>0</v>
      </c>
      <c r="G301" s="3" t="s">
        <v>641</v>
      </c>
      <c r="H301" s="3" t="s">
        <v>649</v>
      </c>
      <c r="I301" s="3" t="s">
        <v>671</v>
      </c>
      <c r="J301" t="str">
        <f t="shared" si="59"/>
        <v>Europe &gt; France &gt; Lyon</v>
      </c>
      <c r="K301" s="3" t="s">
        <v>697</v>
      </c>
      <c r="L301" s="3" t="s">
        <v>700</v>
      </c>
      <c r="M301" s="3" t="s">
        <v>709</v>
      </c>
      <c r="N301" s="3" t="s">
        <v>725</v>
      </c>
      <c r="O301" s="3" t="s">
        <v>1024</v>
      </c>
      <c r="P301" s="6">
        <v>591.72</v>
      </c>
      <c r="Q301" s="6">
        <v>577.24</v>
      </c>
      <c r="R301" s="6" t="str">
        <f t="shared" si="60"/>
        <v>Medium</v>
      </c>
      <c r="S301" s="6">
        <v>0</v>
      </c>
      <c r="T301" s="6">
        <v>22</v>
      </c>
      <c r="U301">
        <f t="shared" si="61"/>
        <v>12699.28</v>
      </c>
      <c r="V301">
        <f t="shared" si="66"/>
        <v>775273.97025999997</v>
      </c>
      <c r="W301">
        <f t="shared" si="62"/>
        <v>13017.84</v>
      </c>
      <c r="X301" s="6">
        <f t="shared" si="63"/>
        <v>-318.55999999999949</v>
      </c>
      <c r="Y301">
        <f t="shared" si="64"/>
        <v>-2.5084886702238195E-2</v>
      </c>
      <c r="Z301">
        <v>202501</v>
      </c>
      <c r="AA301" s="18">
        <v>202301</v>
      </c>
      <c r="AB301" t="str">
        <v>Jan-2023</v>
      </c>
      <c r="AC301">
        <f t="shared" si="65"/>
        <v>24</v>
      </c>
      <c r="AD301" t="str">
        <f t="shared" si="67"/>
        <v>On Time</v>
      </c>
      <c r="AE301">
        <f t="shared" si="68"/>
        <v>1</v>
      </c>
      <c r="AF301">
        <f t="shared" si="69"/>
        <v>0</v>
      </c>
    </row>
    <row r="302" spans="1:32" x14ac:dyDescent="0.25">
      <c r="A302" s="3" t="s">
        <v>306</v>
      </c>
      <c r="B302" s="4">
        <v>45787</v>
      </c>
      <c r="C302" s="4" t="str">
        <f t="shared" si="56"/>
        <v>May-2025</v>
      </c>
      <c r="D302" s="4" t="str">
        <f t="shared" si="57"/>
        <v>Q2</v>
      </c>
      <c r="E302" s="4">
        <v>45804</v>
      </c>
      <c r="F302" s="10">
        <f t="shared" si="58"/>
        <v>17</v>
      </c>
      <c r="G302" s="3" t="s">
        <v>640</v>
      </c>
      <c r="H302" s="3" t="s">
        <v>645</v>
      </c>
      <c r="I302" s="3" t="s">
        <v>680</v>
      </c>
      <c r="J302" t="str">
        <f t="shared" si="59"/>
        <v>Americas &gt; Canada &gt; Vancouver</v>
      </c>
      <c r="K302" s="3" t="s">
        <v>694</v>
      </c>
      <c r="L302" s="3" t="s">
        <v>703</v>
      </c>
      <c r="M302" s="3" t="s">
        <v>704</v>
      </c>
      <c r="N302" s="3" t="s">
        <v>719</v>
      </c>
      <c r="O302" s="3" t="s">
        <v>1025</v>
      </c>
      <c r="P302" s="6">
        <v>862.89</v>
      </c>
      <c r="Q302" s="6">
        <v>1426.03</v>
      </c>
      <c r="R302" s="6" t="str">
        <f t="shared" si="60"/>
        <v>Medium</v>
      </c>
      <c r="S302" s="6">
        <v>5.6000000000000001E-2</v>
      </c>
      <c r="T302" s="6">
        <v>19</v>
      </c>
      <c r="U302">
        <f t="shared" si="61"/>
        <v>25577.274079999999</v>
      </c>
      <c r="V302">
        <f t="shared" si="66"/>
        <v>775273.97025999997</v>
      </c>
      <c r="W302">
        <f t="shared" si="62"/>
        <v>16394.91</v>
      </c>
      <c r="X302" s="6">
        <f t="shared" si="63"/>
        <v>9182.3640799999994</v>
      </c>
      <c r="Y302">
        <f t="shared" si="64"/>
        <v>0.35900479665188778</v>
      </c>
      <c r="Z302">
        <v>202505</v>
      </c>
      <c r="AA302" s="18">
        <v>202301</v>
      </c>
      <c r="AB302" t="str">
        <v>May-2023</v>
      </c>
      <c r="AC302">
        <f t="shared" si="65"/>
        <v>28</v>
      </c>
      <c r="AD302" t="str">
        <f t="shared" si="67"/>
        <v>Late</v>
      </c>
      <c r="AE302">
        <f t="shared" si="68"/>
        <v>0</v>
      </c>
      <c r="AF302">
        <f t="shared" si="69"/>
        <v>0</v>
      </c>
    </row>
    <row r="303" spans="1:32" x14ac:dyDescent="0.25">
      <c r="A303" s="3" t="s">
        <v>307</v>
      </c>
      <c r="B303" s="4">
        <v>45204</v>
      </c>
      <c r="C303" s="4" t="str">
        <f t="shared" si="56"/>
        <v>Oct-2023</v>
      </c>
      <c r="D303" s="4" t="str">
        <f t="shared" si="57"/>
        <v>Q4</v>
      </c>
      <c r="E303" s="4">
        <v>45230</v>
      </c>
      <c r="F303" s="10">
        <f t="shared" si="58"/>
        <v>26</v>
      </c>
      <c r="G303" s="3" t="s">
        <v>639</v>
      </c>
      <c r="H303" s="3" t="s">
        <v>651</v>
      </c>
      <c r="I303" s="3" t="s">
        <v>677</v>
      </c>
      <c r="J303" t="str">
        <f t="shared" si="59"/>
        <v>Asia &gt; China &gt; Shanghai</v>
      </c>
      <c r="K303" s="3" t="s">
        <v>696</v>
      </c>
      <c r="L303" s="3" t="s">
        <v>1413</v>
      </c>
      <c r="M303" s="3" t="s">
        <v>705</v>
      </c>
      <c r="N303" s="3" t="s">
        <v>720</v>
      </c>
      <c r="O303" s="3" t="s">
        <v>1026</v>
      </c>
      <c r="P303" s="6">
        <v>649.91</v>
      </c>
      <c r="Q303" s="6">
        <v>1360.12</v>
      </c>
      <c r="R303" s="6" t="str">
        <f t="shared" si="60"/>
        <v>Medium</v>
      </c>
      <c r="S303" s="6">
        <v>0.19400000000000001</v>
      </c>
      <c r="T303" s="6">
        <v>9</v>
      </c>
      <c r="U303">
        <f t="shared" si="61"/>
        <v>9866.3104799999983</v>
      </c>
      <c r="V303">
        <f t="shared" si="66"/>
        <v>749696.69617999985</v>
      </c>
      <c r="W303">
        <f t="shared" si="62"/>
        <v>5849.19</v>
      </c>
      <c r="X303" s="6">
        <f t="shared" si="63"/>
        <v>4017.1204799999987</v>
      </c>
      <c r="Y303">
        <f t="shared" si="64"/>
        <v>0.40715528749506769</v>
      </c>
      <c r="Z303">
        <v>202310</v>
      </c>
      <c r="AA303" s="18">
        <v>202301</v>
      </c>
      <c r="AB303" t="str">
        <v>Oct-2023</v>
      </c>
      <c r="AC303">
        <f t="shared" si="65"/>
        <v>9</v>
      </c>
      <c r="AD303" t="str">
        <f t="shared" si="67"/>
        <v>Late</v>
      </c>
      <c r="AE303">
        <f t="shared" si="68"/>
        <v>0</v>
      </c>
      <c r="AF303">
        <f t="shared" si="69"/>
        <v>0</v>
      </c>
    </row>
    <row r="304" spans="1:32" x14ac:dyDescent="0.25">
      <c r="A304" s="3" t="s">
        <v>308</v>
      </c>
      <c r="B304" s="4">
        <v>45125</v>
      </c>
      <c r="C304" s="4" t="str">
        <f t="shared" si="56"/>
        <v>Jul-2023</v>
      </c>
      <c r="D304" s="4" t="str">
        <f t="shared" si="57"/>
        <v>Q3</v>
      </c>
      <c r="E304" s="4">
        <v>45129</v>
      </c>
      <c r="F304" s="10">
        <f t="shared" si="58"/>
        <v>4</v>
      </c>
      <c r="G304" s="3" t="s">
        <v>640</v>
      </c>
      <c r="H304" s="3" t="s">
        <v>647</v>
      </c>
      <c r="I304" s="3" t="s">
        <v>662</v>
      </c>
      <c r="J304" t="str">
        <f t="shared" si="59"/>
        <v>Americas &gt; Brazil &gt; São Paulo</v>
      </c>
      <c r="K304" s="3" t="s">
        <v>696</v>
      </c>
      <c r="L304" s="3" t="s">
        <v>703</v>
      </c>
      <c r="M304" s="3" t="s">
        <v>713</v>
      </c>
      <c r="N304" s="3" t="s">
        <v>721</v>
      </c>
      <c r="O304" s="3" t="s">
        <v>1027</v>
      </c>
      <c r="P304" s="6">
        <v>1269.55</v>
      </c>
      <c r="Q304" s="6">
        <v>2071.1</v>
      </c>
      <c r="R304" s="6" t="str">
        <f t="shared" si="60"/>
        <v>High</v>
      </c>
      <c r="S304" s="6">
        <v>0.129</v>
      </c>
      <c r="T304" s="6">
        <v>22</v>
      </c>
      <c r="U304">
        <f t="shared" si="61"/>
        <v>39686.4182</v>
      </c>
      <c r="V304">
        <f t="shared" si="66"/>
        <v>749696.69617999985</v>
      </c>
      <c r="W304">
        <f t="shared" si="62"/>
        <v>27930.1</v>
      </c>
      <c r="X304" s="6">
        <f t="shared" si="63"/>
        <v>11756.318200000002</v>
      </c>
      <c r="Y304">
        <f t="shared" si="64"/>
        <v>0.29623026549672354</v>
      </c>
      <c r="Z304">
        <v>202307</v>
      </c>
      <c r="AA304" s="18">
        <v>202301</v>
      </c>
      <c r="AB304" t="str">
        <v>Jul-2023</v>
      </c>
      <c r="AC304">
        <f t="shared" si="65"/>
        <v>6</v>
      </c>
      <c r="AD304" t="str">
        <f t="shared" si="67"/>
        <v>On Time</v>
      </c>
      <c r="AE304">
        <f t="shared" si="68"/>
        <v>1</v>
      </c>
      <c r="AF304">
        <f t="shared" si="69"/>
        <v>0</v>
      </c>
    </row>
    <row r="305" spans="1:32" x14ac:dyDescent="0.25">
      <c r="A305" s="3" t="s">
        <v>309</v>
      </c>
      <c r="B305" s="4">
        <v>45830</v>
      </c>
      <c r="C305" s="4" t="str">
        <f t="shared" si="56"/>
        <v>Jun-2025</v>
      </c>
      <c r="D305" s="4" t="str">
        <f t="shared" si="57"/>
        <v>Q2</v>
      </c>
      <c r="E305" s="4">
        <v>45846</v>
      </c>
      <c r="F305" s="10">
        <f t="shared" si="58"/>
        <v>16</v>
      </c>
      <c r="G305" s="3" t="s">
        <v>641</v>
      </c>
      <c r="H305" s="3" t="s">
        <v>650</v>
      </c>
      <c r="I305" s="3" t="s">
        <v>675</v>
      </c>
      <c r="J305" t="str">
        <f t="shared" si="59"/>
        <v>Europe &gt; United Kingdom &gt; London</v>
      </c>
      <c r="K305" s="3" t="s">
        <v>694</v>
      </c>
      <c r="L305" s="3" t="s">
        <v>703</v>
      </c>
      <c r="M305" s="3" t="s">
        <v>712</v>
      </c>
      <c r="N305" s="3" t="s">
        <v>722</v>
      </c>
      <c r="O305" s="3" t="s">
        <v>1028</v>
      </c>
      <c r="P305" s="6">
        <v>892.73</v>
      </c>
      <c r="Q305" s="6">
        <v>979.84</v>
      </c>
      <c r="R305" s="6" t="str">
        <f t="shared" si="60"/>
        <v>Medium</v>
      </c>
      <c r="S305" s="6">
        <v>0.17399999999999999</v>
      </c>
      <c r="T305" s="6">
        <v>10</v>
      </c>
      <c r="U305">
        <f t="shared" si="61"/>
        <v>8093.4784</v>
      </c>
      <c r="V305">
        <f t="shared" si="66"/>
        <v>749696.69617999985</v>
      </c>
      <c r="W305">
        <f t="shared" si="62"/>
        <v>8927.2999999999993</v>
      </c>
      <c r="X305" s="6">
        <f t="shared" si="63"/>
        <v>-833.82159999999931</v>
      </c>
      <c r="Y305">
        <f t="shared" si="64"/>
        <v>-0.10302388649112838</v>
      </c>
      <c r="Z305">
        <v>202506</v>
      </c>
      <c r="AA305" s="18">
        <v>202301</v>
      </c>
      <c r="AB305" t="str">
        <v>Jun-2023</v>
      </c>
      <c r="AC305">
        <f t="shared" si="65"/>
        <v>29</v>
      </c>
      <c r="AD305" t="str">
        <f t="shared" si="67"/>
        <v>Late</v>
      </c>
      <c r="AE305">
        <f t="shared" si="68"/>
        <v>0</v>
      </c>
      <c r="AF305">
        <f t="shared" si="69"/>
        <v>0</v>
      </c>
    </row>
    <row r="306" spans="1:32" x14ac:dyDescent="0.25">
      <c r="A306" s="3" t="s">
        <v>310</v>
      </c>
      <c r="B306" s="4">
        <v>45462</v>
      </c>
      <c r="C306" s="4" t="str">
        <f t="shared" si="56"/>
        <v>Jun-2024</v>
      </c>
      <c r="D306" s="4" t="str">
        <f t="shared" si="57"/>
        <v>Q2</v>
      </c>
      <c r="E306" s="4">
        <v>45463</v>
      </c>
      <c r="F306" s="10">
        <f t="shared" si="58"/>
        <v>1</v>
      </c>
      <c r="G306" s="3" t="s">
        <v>638</v>
      </c>
      <c r="H306" s="3" t="s">
        <v>642</v>
      </c>
      <c r="I306" s="3" t="s">
        <v>654</v>
      </c>
      <c r="J306" t="str">
        <f t="shared" si="59"/>
        <v>Africa &gt; Kenya &gt; Kisumu</v>
      </c>
      <c r="K306" s="3" t="s">
        <v>697</v>
      </c>
      <c r="L306" s="3" t="s">
        <v>703</v>
      </c>
      <c r="M306" s="3" t="s">
        <v>705</v>
      </c>
      <c r="N306" s="3" t="s">
        <v>723</v>
      </c>
      <c r="O306" s="3" t="s">
        <v>1029</v>
      </c>
      <c r="P306" s="6">
        <v>231.63</v>
      </c>
      <c r="Q306" s="6">
        <v>537.39</v>
      </c>
      <c r="R306" s="6" t="str">
        <f t="shared" si="60"/>
        <v>Low</v>
      </c>
      <c r="S306" s="6">
        <v>0.08</v>
      </c>
      <c r="T306" s="6">
        <v>12</v>
      </c>
      <c r="U306">
        <f t="shared" si="61"/>
        <v>5932.7856000000002</v>
      </c>
      <c r="V306">
        <f t="shared" si="66"/>
        <v>749696.69617999985</v>
      </c>
      <c r="W306">
        <f t="shared" si="62"/>
        <v>2779.56</v>
      </c>
      <c r="X306" s="6">
        <f t="shared" si="63"/>
        <v>3153.2256000000002</v>
      </c>
      <c r="Y306">
        <f t="shared" si="64"/>
        <v>0.53149158129024587</v>
      </c>
      <c r="Z306">
        <v>202406</v>
      </c>
      <c r="AA306" s="18">
        <v>202301</v>
      </c>
      <c r="AB306" t="str">
        <v>Jun-2023</v>
      </c>
      <c r="AC306">
        <f t="shared" si="65"/>
        <v>17</v>
      </c>
      <c r="AD306" t="str">
        <f t="shared" si="67"/>
        <v>On Time</v>
      </c>
      <c r="AE306">
        <f t="shared" si="68"/>
        <v>1</v>
      </c>
      <c r="AF306">
        <f t="shared" si="69"/>
        <v>0</v>
      </c>
    </row>
    <row r="307" spans="1:32" x14ac:dyDescent="0.25">
      <c r="A307" s="3" t="s">
        <v>311</v>
      </c>
      <c r="B307" s="4">
        <v>45756</v>
      </c>
      <c r="C307" s="4" t="str">
        <f t="shared" si="56"/>
        <v>Apr-2025</v>
      </c>
      <c r="D307" s="4" t="str">
        <f t="shared" si="57"/>
        <v>Q2</v>
      </c>
      <c r="E307" s="4">
        <v>45759</v>
      </c>
      <c r="F307" s="10">
        <f t="shared" si="58"/>
        <v>3</v>
      </c>
      <c r="G307" s="3" t="s">
        <v>641</v>
      </c>
      <c r="H307" s="3" t="s">
        <v>649</v>
      </c>
      <c r="I307" s="3" t="s">
        <v>671</v>
      </c>
      <c r="J307" t="str">
        <f t="shared" si="59"/>
        <v>Europe &gt; France &gt; Lyon</v>
      </c>
      <c r="K307" s="3" t="s">
        <v>697</v>
      </c>
      <c r="L307" s="3" t="s">
        <v>702</v>
      </c>
      <c r="M307" s="3" t="s">
        <v>714</v>
      </c>
      <c r="N307" s="3" t="s">
        <v>724</v>
      </c>
      <c r="O307" s="3" t="s">
        <v>1030</v>
      </c>
      <c r="P307" s="6">
        <v>86.68</v>
      </c>
      <c r="Q307" s="6">
        <v>213.32</v>
      </c>
      <c r="R307" s="6" t="str">
        <f t="shared" si="60"/>
        <v>Low</v>
      </c>
      <c r="S307" s="6">
        <v>3.7999999999999999E-2</v>
      </c>
      <c r="T307" s="6">
        <v>8</v>
      </c>
      <c r="U307">
        <f t="shared" si="61"/>
        <v>1641.7107199999998</v>
      </c>
      <c r="V307">
        <f t="shared" si="66"/>
        <v>749696.69617999985</v>
      </c>
      <c r="W307">
        <f t="shared" si="62"/>
        <v>693.44</v>
      </c>
      <c r="X307" s="6">
        <f t="shared" si="63"/>
        <v>948.27071999999976</v>
      </c>
      <c r="Y307">
        <f t="shared" si="64"/>
        <v>0.57761133459614611</v>
      </c>
      <c r="Z307">
        <v>202504</v>
      </c>
      <c r="AA307" s="18">
        <v>202301</v>
      </c>
      <c r="AB307" t="str">
        <v>Apr-2023</v>
      </c>
      <c r="AC307">
        <f t="shared" si="65"/>
        <v>27</v>
      </c>
      <c r="AD307" t="str">
        <f t="shared" si="67"/>
        <v>On Time</v>
      </c>
      <c r="AE307">
        <f t="shared" si="68"/>
        <v>1</v>
      </c>
      <c r="AF307">
        <f t="shared" si="69"/>
        <v>0</v>
      </c>
    </row>
    <row r="308" spans="1:32" x14ac:dyDescent="0.25">
      <c r="A308" s="3" t="s">
        <v>312</v>
      </c>
      <c r="B308" s="4">
        <v>45741</v>
      </c>
      <c r="C308" s="4" t="str">
        <f t="shared" si="56"/>
        <v>Mar-2025</v>
      </c>
      <c r="D308" s="4" t="str">
        <f t="shared" si="57"/>
        <v>Q1</v>
      </c>
      <c r="E308" s="4">
        <v>45742</v>
      </c>
      <c r="F308" s="10">
        <f t="shared" si="58"/>
        <v>1</v>
      </c>
      <c r="G308" s="3" t="s">
        <v>638</v>
      </c>
      <c r="H308" s="3" t="s">
        <v>643</v>
      </c>
      <c r="I308" s="3" t="s">
        <v>657</v>
      </c>
      <c r="J308" t="str">
        <f t="shared" si="59"/>
        <v>Africa &gt; Nigeria &gt; Lagos</v>
      </c>
      <c r="K308" s="3" t="s">
        <v>694</v>
      </c>
      <c r="L308" s="3" t="s">
        <v>702</v>
      </c>
      <c r="M308" s="3" t="s">
        <v>707</v>
      </c>
      <c r="N308" s="3" t="s">
        <v>725</v>
      </c>
      <c r="O308" s="3" t="s">
        <v>1031</v>
      </c>
      <c r="P308" s="6">
        <v>1450.43</v>
      </c>
      <c r="Q308" s="6">
        <v>1994.67</v>
      </c>
      <c r="R308" s="6" t="str">
        <f t="shared" si="60"/>
        <v>High</v>
      </c>
      <c r="S308" s="6">
        <v>0.1</v>
      </c>
      <c r="T308" s="6">
        <v>24</v>
      </c>
      <c r="U308">
        <f t="shared" si="61"/>
        <v>43084.872000000003</v>
      </c>
      <c r="V308">
        <f t="shared" si="66"/>
        <v>749696.69617999985</v>
      </c>
      <c r="W308">
        <f t="shared" si="62"/>
        <v>34810.32</v>
      </c>
      <c r="X308" s="6">
        <f t="shared" si="63"/>
        <v>8274.5520000000033</v>
      </c>
      <c r="Y308">
        <f t="shared" si="64"/>
        <v>0.19205237513529116</v>
      </c>
      <c r="Z308">
        <v>202503</v>
      </c>
      <c r="AA308" s="18">
        <v>202301</v>
      </c>
      <c r="AB308" t="str">
        <v>Mar-2023</v>
      </c>
      <c r="AC308">
        <f t="shared" si="65"/>
        <v>26</v>
      </c>
      <c r="AD308" t="str">
        <f t="shared" si="67"/>
        <v>On Time</v>
      </c>
      <c r="AE308">
        <f t="shared" si="68"/>
        <v>1</v>
      </c>
      <c r="AF308">
        <f t="shared" si="69"/>
        <v>0</v>
      </c>
    </row>
    <row r="309" spans="1:32" x14ac:dyDescent="0.25">
      <c r="A309" s="3" t="s">
        <v>313</v>
      </c>
      <c r="B309" s="4">
        <v>45795</v>
      </c>
      <c r="C309" s="4" t="str">
        <f t="shared" si="56"/>
        <v>May-2025</v>
      </c>
      <c r="D309" s="4" t="str">
        <f t="shared" si="57"/>
        <v>Q2</v>
      </c>
      <c r="E309" s="4">
        <v>45817</v>
      </c>
      <c r="F309" s="10">
        <f t="shared" si="58"/>
        <v>22</v>
      </c>
      <c r="G309" s="3" t="s">
        <v>640</v>
      </c>
      <c r="H309" s="3" t="s">
        <v>652</v>
      </c>
      <c r="I309" s="3" t="s">
        <v>692</v>
      </c>
      <c r="J309" t="str">
        <f t="shared" si="59"/>
        <v>Americas &gt; USA &gt; New York</v>
      </c>
      <c r="K309" s="3" t="s">
        <v>696</v>
      </c>
      <c r="L309" s="3" t="s">
        <v>699</v>
      </c>
      <c r="M309" s="3" t="s">
        <v>714</v>
      </c>
      <c r="N309" s="3" t="s">
        <v>721</v>
      </c>
      <c r="O309" s="3" t="s">
        <v>1032</v>
      </c>
      <c r="P309" s="6">
        <v>382.96</v>
      </c>
      <c r="Q309" s="6">
        <v>552.84</v>
      </c>
      <c r="R309" s="6" t="str">
        <f t="shared" si="60"/>
        <v>Low</v>
      </c>
      <c r="S309" s="6">
        <v>0.17599999999999999</v>
      </c>
      <c r="T309" s="6">
        <v>8</v>
      </c>
      <c r="U309">
        <f t="shared" si="61"/>
        <v>3644.3212800000006</v>
      </c>
      <c r="V309">
        <f t="shared" si="66"/>
        <v>749696.69617999985</v>
      </c>
      <c r="W309">
        <f t="shared" si="62"/>
        <v>3063.68</v>
      </c>
      <c r="X309" s="6">
        <f t="shared" si="63"/>
        <v>580.64128000000073</v>
      </c>
      <c r="Y309">
        <f t="shared" si="64"/>
        <v>0.15932768693763483</v>
      </c>
      <c r="Z309">
        <v>202505</v>
      </c>
      <c r="AA309" s="18">
        <v>202301</v>
      </c>
      <c r="AB309" t="str">
        <v>May-2023</v>
      </c>
      <c r="AC309">
        <f t="shared" si="65"/>
        <v>28</v>
      </c>
      <c r="AD309" t="str">
        <f t="shared" si="67"/>
        <v>Late</v>
      </c>
      <c r="AE309">
        <f t="shared" si="68"/>
        <v>0</v>
      </c>
      <c r="AF309">
        <f t="shared" si="69"/>
        <v>0</v>
      </c>
    </row>
    <row r="310" spans="1:32" x14ac:dyDescent="0.25">
      <c r="A310" s="3" t="s">
        <v>314</v>
      </c>
      <c r="B310" s="4">
        <v>45679</v>
      </c>
      <c r="C310" s="4" t="str">
        <f t="shared" si="56"/>
        <v>Jan-2025</v>
      </c>
      <c r="D310" s="4" t="str">
        <f t="shared" si="57"/>
        <v>Q1</v>
      </c>
      <c r="E310" s="4">
        <v>45692</v>
      </c>
      <c r="F310" s="10">
        <f t="shared" si="58"/>
        <v>13</v>
      </c>
      <c r="G310" s="3" t="s">
        <v>639</v>
      </c>
      <c r="H310" s="3" t="s">
        <v>644</v>
      </c>
      <c r="I310" s="3" t="s">
        <v>681</v>
      </c>
      <c r="J310" t="str">
        <f t="shared" si="59"/>
        <v>Asia &gt; Japan &gt; Tokyo</v>
      </c>
      <c r="K310" s="3" t="s">
        <v>697</v>
      </c>
      <c r="L310" s="3" t="s">
        <v>702</v>
      </c>
      <c r="M310" s="3" t="s">
        <v>708</v>
      </c>
      <c r="N310" s="3" t="s">
        <v>720</v>
      </c>
      <c r="O310" s="3" t="s">
        <v>1033</v>
      </c>
      <c r="P310" s="6">
        <v>122.29</v>
      </c>
      <c r="Q310" s="6">
        <v>224.95</v>
      </c>
      <c r="R310" s="6" t="str">
        <f t="shared" si="60"/>
        <v>Low</v>
      </c>
      <c r="S310" s="6">
        <v>0.153</v>
      </c>
      <c r="T310" s="6">
        <v>28</v>
      </c>
      <c r="U310">
        <f t="shared" si="61"/>
        <v>5334.9141999999993</v>
      </c>
      <c r="V310">
        <f t="shared" si="66"/>
        <v>749696.69617999985</v>
      </c>
      <c r="W310">
        <f t="shared" si="62"/>
        <v>3424.1200000000003</v>
      </c>
      <c r="X310" s="6">
        <f t="shared" si="63"/>
        <v>1910.7941999999989</v>
      </c>
      <c r="Y310">
        <f t="shared" si="64"/>
        <v>0.3581677471026618</v>
      </c>
      <c r="Z310">
        <v>202501</v>
      </c>
      <c r="AA310" s="18">
        <v>202303</v>
      </c>
      <c r="AB310" t="str">
        <v>Jan-2023</v>
      </c>
      <c r="AC310">
        <f t="shared" si="65"/>
        <v>22</v>
      </c>
      <c r="AD310" t="str">
        <f t="shared" si="67"/>
        <v>Late</v>
      </c>
      <c r="AE310">
        <f t="shared" si="68"/>
        <v>0</v>
      </c>
      <c r="AF310">
        <f t="shared" si="69"/>
        <v>0</v>
      </c>
    </row>
    <row r="311" spans="1:32" x14ac:dyDescent="0.25">
      <c r="A311" s="3" t="s">
        <v>315</v>
      </c>
      <c r="B311" s="4">
        <v>44936</v>
      </c>
      <c r="C311" s="4" t="str">
        <f t="shared" si="56"/>
        <v>Jan-2023</v>
      </c>
      <c r="D311" s="4" t="str">
        <f t="shared" si="57"/>
        <v>Q1</v>
      </c>
      <c r="E311" s="4">
        <v>44955</v>
      </c>
      <c r="F311" s="10">
        <f t="shared" si="58"/>
        <v>19</v>
      </c>
      <c r="G311" s="3" t="s">
        <v>641</v>
      </c>
      <c r="H311" s="3" t="s">
        <v>649</v>
      </c>
      <c r="I311" s="3" t="s">
        <v>671</v>
      </c>
      <c r="J311" t="str">
        <f t="shared" si="59"/>
        <v>Europe &gt; France &gt; Lyon</v>
      </c>
      <c r="K311" s="3" t="s">
        <v>695</v>
      </c>
      <c r="L311" s="3" t="s">
        <v>703</v>
      </c>
      <c r="M311" s="3" t="s">
        <v>718</v>
      </c>
      <c r="N311" s="3" t="s">
        <v>723</v>
      </c>
      <c r="O311" s="3" t="s">
        <v>1034</v>
      </c>
      <c r="P311" s="6">
        <v>401.66</v>
      </c>
      <c r="Q311" s="6">
        <v>772.09</v>
      </c>
      <c r="R311" s="6" t="str">
        <f t="shared" si="60"/>
        <v>Low</v>
      </c>
      <c r="S311" s="6">
        <v>8.8999999999999996E-2</v>
      </c>
      <c r="T311" s="6">
        <v>14</v>
      </c>
      <c r="U311">
        <f t="shared" si="61"/>
        <v>9847.2358600000007</v>
      </c>
      <c r="V311">
        <f t="shared" si="66"/>
        <v>749696.69617999985</v>
      </c>
      <c r="W311">
        <f t="shared" si="62"/>
        <v>5623.2400000000007</v>
      </c>
      <c r="X311" s="6">
        <f t="shared" si="63"/>
        <v>4223.99586</v>
      </c>
      <c r="Y311">
        <f t="shared" si="64"/>
        <v>0.42895244107619046</v>
      </c>
      <c r="Z311">
        <v>202301</v>
      </c>
      <c r="AA311" s="18">
        <v>202301</v>
      </c>
      <c r="AB311" t="str">
        <v>Jan-2023</v>
      </c>
      <c r="AC311">
        <f t="shared" si="65"/>
        <v>0</v>
      </c>
      <c r="AD311" t="str">
        <f t="shared" si="67"/>
        <v>Late</v>
      </c>
      <c r="AE311">
        <f t="shared" si="68"/>
        <v>0</v>
      </c>
      <c r="AF311">
        <f t="shared" si="69"/>
        <v>0</v>
      </c>
    </row>
    <row r="312" spans="1:32" x14ac:dyDescent="0.25">
      <c r="A312" s="3" t="s">
        <v>316</v>
      </c>
      <c r="B312" s="4">
        <v>45655</v>
      </c>
      <c r="C312" s="4" t="str">
        <f t="shared" si="56"/>
        <v>Dec-2024</v>
      </c>
      <c r="D312" s="4" t="str">
        <f t="shared" si="57"/>
        <v>Q4</v>
      </c>
      <c r="E312" s="4">
        <v>45669</v>
      </c>
      <c r="F312" s="10">
        <f t="shared" si="58"/>
        <v>14</v>
      </c>
      <c r="G312" s="3" t="s">
        <v>641</v>
      </c>
      <c r="H312" s="3" t="s">
        <v>650</v>
      </c>
      <c r="I312" s="3" t="s">
        <v>685</v>
      </c>
      <c r="J312" t="str">
        <f t="shared" si="59"/>
        <v>Europe &gt; United Kingdom &gt; Manchester</v>
      </c>
      <c r="K312" s="3" t="s">
        <v>693</v>
      </c>
      <c r="L312" s="3" t="s">
        <v>703</v>
      </c>
      <c r="M312" s="3" t="s">
        <v>709</v>
      </c>
      <c r="N312" s="3" t="s">
        <v>724</v>
      </c>
      <c r="O312" s="3" t="s">
        <v>1035</v>
      </c>
      <c r="P312" s="6">
        <v>1399.72</v>
      </c>
      <c r="Q312" s="6">
        <v>3149.21</v>
      </c>
      <c r="R312" s="6" t="str">
        <f t="shared" si="60"/>
        <v>High</v>
      </c>
      <c r="S312" s="6">
        <v>0.185</v>
      </c>
      <c r="T312" s="6">
        <v>12</v>
      </c>
      <c r="U312">
        <f t="shared" si="61"/>
        <v>30799.273800000003</v>
      </c>
      <c r="V312">
        <f t="shared" si="66"/>
        <v>749696.69617999985</v>
      </c>
      <c r="W312">
        <f t="shared" si="62"/>
        <v>16796.64</v>
      </c>
      <c r="X312" s="6">
        <f t="shared" si="63"/>
        <v>14002.633800000003</v>
      </c>
      <c r="Y312">
        <f t="shared" si="64"/>
        <v>0.45464168703873797</v>
      </c>
      <c r="Z312">
        <v>202412</v>
      </c>
      <c r="AA312" s="18">
        <v>202301</v>
      </c>
      <c r="AB312" t="str">
        <v>Dec-2023</v>
      </c>
      <c r="AC312">
        <f t="shared" si="65"/>
        <v>23</v>
      </c>
      <c r="AD312" t="str">
        <f t="shared" si="67"/>
        <v>Late</v>
      </c>
      <c r="AE312">
        <f t="shared" si="68"/>
        <v>0</v>
      </c>
      <c r="AF312">
        <f t="shared" si="69"/>
        <v>0</v>
      </c>
    </row>
    <row r="313" spans="1:32" x14ac:dyDescent="0.25">
      <c r="A313" s="3" t="s">
        <v>317</v>
      </c>
      <c r="B313" s="4">
        <v>45435</v>
      </c>
      <c r="C313" s="4" t="str">
        <f t="shared" si="56"/>
        <v>May-2024</v>
      </c>
      <c r="D313" s="4" t="str">
        <f t="shared" si="57"/>
        <v>Q2</v>
      </c>
      <c r="E313" s="4">
        <v>45449</v>
      </c>
      <c r="F313" s="10">
        <f t="shared" si="58"/>
        <v>14</v>
      </c>
      <c r="G313" s="3" t="s">
        <v>640</v>
      </c>
      <c r="H313" s="3" t="s">
        <v>647</v>
      </c>
      <c r="I313" s="3" t="s">
        <v>684</v>
      </c>
      <c r="J313" t="str">
        <f t="shared" si="59"/>
        <v>Americas &gt; Brazil &gt; Rio de Janeiro</v>
      </c>
      <c r="K313" s="3" t="s">
        <v>695</v>
      </c>
      <c r="L313" s="3" t="s">
        <v>700</v>
      </c>
      <c r="M313" s="3" t="s">
        <v>706</v>
      </c>
      <c r="N313" s="3" t="s">
        <v>721</v>
      </c>
      <c r="O313" s="3" t="s">
        <v>1036</v>
      </c>
      <c r="P313" s="6">
        <v>51.13</v>
      </c>
      <c r="Q313" s="6">
        <v>57.53</v>
      </c>
      <c r="R313" s="6" t="str">
        <f t="shared" si="60"/>
        <v>Low</v>
      </c>
      <c r="S313" s="6">
        <v>4.4999999999999998E-2</v>
      </c>
      <c r="T313" s="6">
        <v>16</v>
      </c>
      <c r="U313">
        <f t="shared" si="61"/>
        <v>879.05840000000001</v>
      </c>
      <c r="V313">
        <f t="shared" si="66"/>
        <v>749696.69617999985</v>
      </c>
      <c r="W313">
        <f t="shared" si="62"/>
        <v>818.08</v>
      </c>
      <c r="X313" s="6">
        <f t="shared" si="63"/>
        <v>60.978399999999965</v>
      </c>
      <c r="Y313">
        <f t="shared" si="64"/>
        <v>6.9367859973808302E-2</v>
      </c>
      <c r="Z313">
        <v>202405</v>
      </c>
      <c r="AA313" s="18">
        <v>202301</v>
      </c>
      <c r="AB313" t="str">
        <v>May-2023</v>
      </c>
      <c r="AC313">
        <f t="shared" si="65"/>
        <v>16</v>
      </c>
      <c r="AD313" t="str">
        <f t="shared" si="67"/>
        <v>Late</v>
      </c>
      <c r="AE313">
        <f t="shared" si="68"/>
        <v>0</v>
      </c>
      <c r="AF313">
        <f t="shared" si="69"/>
        <v>0</v>
      </c>
    </row>
    <row r="314" spans="1:32" x14ac:dyDescent="0.25">
      <c r="A314" s="3" t="s">
        <v>318</v>
      </c>
      <c r="B314" s="4">
        <v>45101</v>
      </c>
      <c r="C314" s="4" t="str">
        <f t="shared" si="56"/>
        <v>Jun-2023</v>
      </c>
      <c r="D314" s="4" t="str">
        <f t="shared" si="57"/>
        <v>Q2</v>
      </c>
      <c r="E314" s="4">
        <v>45103</v>
      </c>
      <c r="F314" s="10">
        <f t="shared" si="58"/>
        <v>2</v>
      </c>
      <c r="G314" s="3" t="s">
        <v>640</v>
      </c>
      <c r="H314" s="3" t="s">
        <v>645</v>
      </c>
      <c r="I314" s="3" t="s">
        <v>659</v>
      </c>
      <c r="J314" t="str">
        <f t="shared" si="59"/>
        <v>Americas &gt; Canada &gt; Toronto</v>
      </c>
      <c r="K314" s="3" t="s">
        <v>695</v>
      </c>
      <c r="L314" s="3" t="s">
        <v>699</v>
      </c>
      <c r="M314" s="3" t="s">
        <v>716</v>
      </c>
      <c r="N314" s="3" t="s">
        <v>725</v>
      </c>
      <c r="O314" s="3" t="s">
        <v>1037</v>
      </c>
      <c r="P314" s="6">
        <v>471.42</v>
      </c>
      <c r="Q314" s="6">
        <v>824.81</v>
      </c>
      <c r="R314" s="6" t="str">
        <f t="shared" si="60"/>
        <v>Low</v>
      </c>
      <c r="S314" s="6">
        <v>8.7999999999999995E-2</v>
      </c>
      <c r="T314" s="6">
        <v>15</v>
      </c>
      <c r="U314">
        <f t="shared" si="61"/>
        <v>11283.400799999999</v>
      </c>
      <c r="V314">
        <f t="shared" si="66"/>
        <v>749696.69617999985</v>
      </c>
      <c r="W314">
        <f t="shared" si="62"/>
        <v>7071.3</v>
      </c>
      <c r="X314" s="6">
        <f t="shared" si="63"/>
        <v>4212.1007999999993</v>
      </c>
      <c r="Y314">
        <f t="shared" si="64"/>
        <v>0.37330064531608231</v>
      </c>
      <c r="Z314">
        <v>202306</v>
      </c>
      <c r="AA314" s="18">
        <v>202301</v>
      </c>
      <c r="AB314" t="str">
        <v>Jun-2023</v>
      </c>
      <c r="AC314">
        <f t="shared" si="65"/>
        <v>5</v>
      </c>
      <c r="AD314" t="str">
        <f t="shared" si="67"/>
        <v>On Time</v>
      </c>
      <c r="AE314">
        <f t="shared" si="68"/>
        <v>1</v>
      </c>
      <c r="AF314">
        <f t="shared" si="69"/>
        <v>0</v>
      </c>
    </row>
    <row r="315" spans="1:32" x14ac:dyDescent="0.25">
      <c r="A315" s="3" t="s">
        <v>319</v>
      </c>
      <c r="B315" s="4">
        <v>45600</v>
      </c>
      <c r="C315" s="4" t="str">
        <f t="shared" si="56"/>
        <v>Nov-2024</v>
      </c>
      <c r="D315" s="4" t="str">
        <f t="shared" si="57"/>
        <v>Q4</v>
      </c>
      <c r="E315" s="4">
        <v>45601</v>
      </c>
      <c r="F315" s="10">
        <f t="shared" si="58"/>
        <v>1</v>
      </c>
      <c r="G315" s="3" t="s">
        <v>641</v>
      </c>
      <c r="H315" s="3" t="s">
        <v>650</v>
      </c>
      <c r="I315" s="3" t="s">
        <v>675</v>
      </c>
      <c r="J315" t="str">
        <f t="shared" si="59"/>
        <v>Europe &gt; United Kingdom &gt; London</v>
      </c>
      <c r="K315" s="3" t="s">
        <v>693</v>
      </c>
      <c r="L315" s="3" t="s">
        <v>699</v>
      </c>
      <c r="M315" s="3" t="s">
        <v>716</v>
      </c>
      <c r="N315" s="3" t="s">
        <v>720</v>
      </c>
      <c r="O315" s="3" t="s">
        <v>1038</v>
      </c>
      <c r="P315" s="6">
        <v>840.68</v>
      </c>
      <c r="Q315" s="6">
        <v>1493.53</v>
      </c>
      <c r="R315" s="6" t="str">
        <f t="shared" si="60"/>
        <v>Medium</v>
      </c>
      <c r="S315" s="6">
        <v>0</v>
      </c>
      <c r="T315" s="6">
        <v>27</v>
      </c>
      <c r="U315">
        <f t="shared" si="61"/>
        <v>40325.31</v>
      </c>
      <c r="V315">
        <f t="shared" si="66"/>
        <v>749696.69617999985</v>
      </c>
      <c r="W315">
        <f t="shared" si="62"/>
        <v>22698.359999999997</v>
      </c>
      <c r="X315" s="6">
        <f t="shared" si="63"/>
        <v>17626.95</v>
      </c>
      <c r="Y315">
        <f t="shared" si="64"/>
        <v>0.43711877230454027</v>
      </c>
      <c r="Z315">
        <v>202411</v>
      </c>
      <c r="AA315" s="18">
        <v>202301</v>
      </c>
      <c r="AB315" t="str">
        <v>Nov-2023</v>
      </c>
      <c r="AC315">
        <f t="shared" si="65"/>
        <v>22</v>
      </c>
      <c r="AD315" t="str">
        <f t="shared" si="67"/>
        <v>On Time</v>
      </c>
      <c r="AE315">
        <f t="shared" si="68"/>
        <v>1</v>
      </c>
      <c r="AF315">
        <f t="shared" si="69"/>
        <v>0</v>
      </c>
    </row>
    <row r="316" spans="1:32" x14ac:dyDescent="0.25">
      <c r="A316" s="3" t="s">
        <v>320</v>
      </c>
      <c r="B316" s="4">
        <v>45451</v>
      </c>
      <c r="C316" s="4" t="str">
        <f t="shared" si="56"/>
        <v>Jun-2024</v>
      </c>
      <c r="D316" s="4" t="str">
        <f t="shared" si="57"/>
        <v>Q2</v>
      </c>
      <c r="E316" s="4">
        <v>45467</v>
      </c>
      <c r="F316" s="10">
        <f t="shared" si="58"/>
        <v>16</v>
      </c>
      <c r="G316" s="3" t="s">
        <v>638</v>
      </c>
      <c r="H316" s="3" t="s">
        <v>653</v>
      </c>
      <c r="I316" s="3" t="s">
        <v>679</v>
      </c>
      <c r="J316" t="str">
        <f t="shared" si="59"/>
        <v>Africa &gt; South Africa &gt; Durban</v>
      </c>
      <c r="K316" s="3" t="s">
        <v>694</v>
      </c>
      <c r="L316" s="3" t="s">
        <v>702</v>
      </c>
      <c r="M316" s="3" t="s">
        <v>714</v>
      </c>
      <c r="N316" s="3" t="s">
        <v>724</v>
      </c>
      <c r="O316" s="3" t="s">
        <v>1039</v>
      </c>
      <c r="P316" s="6">
        <v>597.85</v>
      </c>
      <c r="Q316" s="6">
        <v>741.92</v>
      </c>
      <c r="R316" s="6" t="str">
        <f t="shared" si="60"/>
        <v>Medium</v>
      </c>
      <c r="S316" s="6">
        <v>3.1E-2</v>
      </c>
      <c r="T316" s="6">
        <v>7</v>
      </c>
      <c r="U316">
        <f t="shared" si="61"/>
        <v>5032.4433599999993</v>
      </c>
      <c r="V316">
        <f t="shared" si="66"/>
        <v>749696.69617999985</v>
      </c>
      <c r="W316">
        <f t="shared" si="62"/>
        <v>4184.95</v>
      </c>
      <c r="X316" s="6">
        <f t="shared" si="63"/>
        <v>847.49335999999948</v>
      </c>
      <c r="Y316">
        <f t="shared" si="64"/>
        <v>0.16840594108544515</v>
      </c>
      <c r="Z316">
        <v>202406</v>
      </c>
      <c r="AA316" s="18">
        <v>202301</v>
      </c>
      <c r="AB316" t="str">
        <v>Jun-2023</v>
      </c>
      <c r="AC316">
        <f t="shared" si="65"/>
        <v>17</v>
      </c>
      <c r="AD316" t="str">
        <f t="shared" si="67"/>
        <v>Late</v>
      </c>
      <c r="AE316">
        <f t="shared" si="68"/>
        <v>0</v>
      </c>
      <c r="AF316">
        <f t="shared" si="69"/>
        <v>0</v>
      </c>
    </row>
    <row r="317" spans="1:32" x14ac:dyDescent="0.25">
      <c r="A317" s="3" t="s">
        <v>321</v>
      </c>
      <c r="B317" s="4">
        <v>45809</v>
      </c>
      <c r="C317" s="4" t="str">
        <f t="shared" si="56"/>
        <v>Jun-2025</v>
      </c>
      <c r="D317" s="4" t="str">
        <f t="shared" si="57"/>
        <v>Q2</v>
      </c>
      <c r="E317" s="4">
        <v>45814</v>
      </c>
      <c r="F317" s="10">
        <f t="shared" si="58"/>
        <v>5</v>
      </c>
      <c r="G317" s="3" t="s">
        <v>641</v>
      </c>
      <c r="H317" s="3" t="s">
        <v>649</v>
      </c>
      <c r="I317" s="3" t="s">
        <v>682</v>
      </c>
      <c r="J317" t="str">
        <f t="shared" si="59"/>
        <v>Europe &gt; France &gt; Paris</v>
      </c>
      <c r="K317" s="3" t="s">
        <v>696</v>
      </c>
      <c r="L317" s="3" t="s">
        <v>702</v>
      </c>
      <c r="M317" s="3" t="s">
        <v>707</v>
      </c>
      <c r="N317" s="3" t="s">
        <v>719</v>
      </c>
      <c r="O317" s="3" t="s">
        <v>1040</v>
      </c>
      <c r="P317" s="6">
        <v>379.45</v>
      </c>
      <c r="Q317" s="6">
        <v>742.23</v>
      </c>
      <c r="R317" s="6" t="str">
        <f t="shared" si="60"/>
        <v>Low</v>
      </c>
      <c r="S317" s="6">
        <v>0.09</v>
      </c>
      <c r="T317" s="6">
        <v>13</v>
      </c>
      <c r="U317">
        <f t="shared" si="61"/>
        <v>8780.5809000000008</v>
      </c>
      <c r="V317">
        <f t="shared" si="66"/>
        <v>749696.69617999985</v>
      </c>
      <c r="W317">
        <f t="shared" si="62"/>
        <v>4932.8499999999995</v>
      </c>
      <c r="X317" s="6">
        <f t="shared" si="63"/>
        <v>3847.7309000000014</v>
      </c>
      <c r="Y317">
        <f t="shared" si="64"/>
        <v>0.43820915083192286</v>
      </c>
      <c r="Z317">
        <v>202506</v>
      </c>
      <c r="AA317" s="18">
        <v>202301</v>
      </c>
      <c r="AB317" t="str">
        <v>Jun-2023</v>
      </c>
      <c r="AC317">
        <f t="shared" si="65"/>
        <v>29</v>
      </c>
      <c r="AD317" t="str">
        <f t="shared" si="67"/>
        <v>On Time</v>
      </c>
      <c r="AE317">
        <f t="shared" si="68"/>
        <v>1</v>
      </c>
      <c r="AF317">
        <f t="shared" si="69"/>
        <v>0</v>
      </c>
    </row>
    <row r="318" spans="1:32" x14ac:dyDescent="0.25">
      <c r="A318" s="3" t="s">
        <v>322</v>
      </c>
      <c r="B318" s="4">
        <v>45052</v>
      </c>
      <c r="C318" s="4" t="str">
        <f t="shared" si="56"/>
        <v>May-2023</v>
      </c>
      <c r="D318" s="4" t="str">
        <f t="shared" si="57"/>
        <v>Q2</v>
      </c>
      <c r="E318" s="4">
        <v>45060</v>
      </c>
      <c r="F318" s="10">
        <f t="shared" si="58"/>
        <v>8</v>
      </c>
      <c r="G318" s="3" t="s">
        <v>639</v>
      </c>
      <c r="H318" s="3" t="s">
        <v>644</v>
      </c>
      <c r="I318" s="3" t="s">
        <v>658</v>
      </c>
      <c r="J318" t="str">
        <f t="shared" si="59"/>
        <v>Asia &gt; Japan &gt; Osaka</v>
      </c>
      <c r="K318" s="3" t="s">
        <v>698</v>
      </c>
      <c r="L318" s="3" t="s">
        <v>701</v>
      </c>
      <c r="M318" s="3" t="s">
        <v>709</v>
      </c>
      <c r="N318" s="3" t="s">
        <v>722</v>
      </c>
      <c r="O318" s="3" t="s">
        <v>1041</v>
      </c>
      <c r="P318" s="6">
        <v>291.18</v>
      </c>
      <c r="Q318" s="6">
        <v>479.54</v>
      </c>
      <c r="R318" s="6" t="str">
        <f t="shared" si="60"/>
        <v>Low</v>
      </c>
      <c r="S318" s="6">
        <v>0.14099999999999999</v>
      </c>
      <c r="T318" s="6">
        <v>22</v>
      </c>
      <c r="U318">
        <f t="shared" si="61"/>
        <v>9062.34692</v>
      </c>
      <c r="V318">
        <f t="shared" si="66"/>
        <v>740916.11527999991</v>
      </c>
      <c r="W318">
        <f t="shared" si="62"/>
        <v>6405.96</v>
      </c>
      <c r="X318" s="6">
        <f t="shared" si="63"/>
        <v>2656.3869199999999</v>
      </c>
      <c r="Y318">
        <f t="shared" si="64"/>
        <v>0.29312350801066001</v>
      </c>
      <c r="Z318">
        <v>202305</v>
      </c>
      <c r="AA318" s="18">
        <v>202303</v>
      </c>
      <c r="AB318" t="str">
        <v>May-2023</v>
      </c>
      <c r="AC318">
        <f t="shared" si="65"/>
        <v>2</v>
      </c>
      <c r="AD318" t="str">
        <f t="shared" si="67"/>
        <v>Late</v>
      </c>
      <c r="AE318">
        <f t="shared" si="68"/>
        <v>0</v>
      </c>
      <c r="AF318">
        <f t="shared" si="69"/>
        <v>0</v>
      </c>
    </row>
    <row r="319" spans="1:32" x14ac:dyDescent="0.25">
      <c r="A319" s="3" t="s">
        <v>323</v>
      </c>
      <c r="B319" s="4">
        <v>45244</v>
      </c>
      <c r="C319" s="4" t="str">
        <f t="shared" si="56"/>
        <v>Nov-2023</v>
      </c>
      <c r="D319" s="4" t="str">
        <f t="shared" si="57"/>
        <v>Q4</v>
      </c>
      <c r="E319" s="4">
        <v>45260</v>
      </c>
      <c r="F319" s="10">
        <f t="shared" si="58"/>
        <v>16</v>
      </c>
      <c r="G319" s="3" t="s">
        <v>640</v>
      </c>
      <c r="H319" s="3" t="s">
        <v>647</v>
      </c>
      <c r="I319" s="3" t="s">
        <v>662</v>
      </c>
      <c r="J319" t="str">
        <f t="shared" si="59"/>
        <v>Americas &gt; Brazil &gt; São Paulo</v>
      </c>
      <c r="K319" s="3" t="s">
        <v>698</v>
      </c>
      <c r="L319" s="3" t="s">
        <v>703</v>
      </c>
      <c r="M319" s="3" t="s">
        <v>715</v>
      </c>
      <c r="N319" s="3" t="s">
        <v>721</v>
      </c>
      <c r="O319" s="3" t="s">
        <v>1042</v>
      </c>
      <c r="P319" s="6">
        <v>1017.92</v>
      </c>
      <c r="Q319" s="6">
        <v>1175.25</v>
      </c>
      <c r="R319" s="6" t="str">
        <f t="shared" si="60"/>
        <v>High</v>
      </c>
      <c r="S319" s="6">
        <v>7.4999999999999997E-2</v>
      </c>
      <c r="T319" s="6">
        <v>15</v>
      </c>
      <c r="U319">
        <f t="shared" si="61"/>
        <v>16306.59375</v>
      </c>
      <c r="V319">
        <f t="shared" si="66"/>
        <v>740916.11527999991</v>
      </c>
      <c r="W319">
        <f t="shared" si="62"/>
        <v>15268.8</v>
      </c>
      <c r="X319" s="6">
        <f t="shared" si="63"/>
        <v>1037.7937500000007</v>
      </c>
      <c r="Y319">
        <f t="shared" si="64"/>
        <v>6.3642583234159542E-2</v>
      </c>
      <c r="Z319">
        <v>202311</v>
      </c>
      <c r="AA319" s="18">
        <v>202301</v>
      </c>
      <c r="AB319" t="str">
        <v>Nov-2023</v>
      </c>
      <c r="AC319">
        <f t="shared" si="65"/>
        <v>10</v>
      </c>
      <c r="AD319" t="str">
        <f t="shared" si="67"/>
        <v>Late</v>
      </c>
      <c r="AE319">
        <f t="shared" si="68"/>
        <v>0</v>
      </c>
      <c r="AF319">
        <f t="shared" si="69"/>
        <v>0</v>
      </c>
    </row>
    <row r="320" spans="1:32" x14ac:dyDescent="0.25">
      <c r="A320" s="3" t="s">
        <v>324</v>
      </c>
      <c r="B320" s="4">
        <v>45748</v>
      </c>
      <c r="C320" s="4" t="str">
        <f t="shared" si="56"/>
        <v>Apr-2025</v>
      </c>
      <c r="D320" s="4" t="str">
        <f t="shared" si="57"/>
        <v>Q2</v>
      </c>
      <c r="E320" s="4">
        <v>45774</v>
      </c>
      <c r="F320" s="10">
        <f t="shared" si="58"/>
        <v>26</v>
      </c>
      <c r="G320" s="3" t="s">
        <v>640</v>
      </c>
      <c r="H320" s="3" t="s">
        <v>652</v>
      </c>
      <c r="I320" s="3" t="s">
        <v>678</v>
      </c>
      <c r="J320" t="str">
        <f t="shared" si="59"/>
        <v>Americas &gt; USA &gt; San Francisco</v>
      </c>
      <c r="K320" s="3" t="s">
        <v>693</v>
      </c>
      <c r="L320" s="3" t="s">
        <v>703</v>
      </c>
      <c r="M320" s="3" t="s">
        <v>706</v>
      </c>
      <c r="N320" s="3" t="s">
        <v>724</v>
      </c>
      <c r="O320" s="3" t="s">
        <v>1043</v>
      </c>
      <c r="P320" s="6">
        <v>156.55000000000001</v>
      </c>
      <c r="Q320" s="6">
        <v>227.45</v>
      </c>
      <c r="R320" s="6" t="str">
        <f t="shared" si="60"/>
        <v>Low</v>
      </c>
      <c r="S320" s="6">
        <v>1.4E-2</v>
      </c>
      <c r="T320" s="6">
        <v>13</v>
      </c>
      <c r="U320">
        <f t="shared" si="61"/>
        <v>2915.4540999999999</v>
      </c>
      <c r="V320">
        <f t="shared" si="66"/>
        <v>740916.11527999991</v>
      </c>
      <c r="W320">
        <f t="shared" si="62"/>
        <v>2035.15</v>
      </c>
      <c r="X320" s="6">
        <f t="shared" si="63"/>
        <v>880.30409999999983</v>
      </c>
      <c r="Y320">
        <f t="shared" si="64"/>
        <v>0.3019440779396938</v>
      </c>
      <c r="Z320">
        <v>202504</v>
      </c>
      <c r="AA320" s="18">
        <v>202301</v>
      </c>
      <c r="AB320" t="str">
        <v>Apr-2023</v>
      </c>
      <c r="AC320">
        <f t="shared" si="65"/>
        <v>27</v>
      </c>
      <c r="AD320" t="str">
        <f t="shared" si="67"/>
        <v>Late</v>
      </c>
      <c r="AE320">
        <f t="shared" si="68"/>
        <v>0</v>
      </c>
      <c r="AF320">
        <f t="shared" si="69"/>
        <v>0</v>
      </c>
    </row>
    <row r="321" spans="1:32" x14ac:dyDescent="0.25">
      <c r="A321" s="3" t="s">
        <v>325</v>
      </c>
      <c r="B321" s="4">
        <v>45008</v>
      </c>
      <c r="C321" s="4" t="str">
        <f t="shared" si="56"/>
        <v>Mar-2023</v>
      </c>
      <c r="D321" s="4" t="str">
        <f t="shared" si="57"/>
        <v>Q1</v>
      </c>
      <c r="E321" s="4">
        <v>45031</v>
      </c>
      <c r="F321" s="10">
        <f t="shared" si="58"/>
        <v>23</v>
      </c>
      <c r="G321" s="3" t="s">
        <v>638</v>
      </c>
      <c r="H321" s="3" t="s">
        <v>642</v>
      </c>
      <c r="I321" s="3" t="s">
        <v>667</v>
      </c>
      <c r="J321" t="str">
        <f t="shared" si="59"/>
        <v>Africa &gt; Kenya &gt; Mombasa</v>
      </c>
      <c r="K321" s="3" t="s">
        <v>697</v>
      </c>
      <c r="L321" s="3" t="s">
        <v>699</v>
      </c>
      <c r="M321" s="3" t="s">
        <v>704</v>
      </c>
      <c r="N321" s="3" t="s">
        <v>725</v>
      </c>
      <c r="O321" s="3" t="s">
        <v>1044</v>
      </c>
      <c r="P321" s="6">
        <v>875.36</v>
      </c>
      <c r="Q321" s="6">
        <v>1178.6199999999999</v>
      </c>
      <c r="R321" s="6" t="str">
        <f t="shared" si="60"/>
        <v>Medium</v>
      </c>
      <c r="S321" s="6">
        <v>0.151</v>
      </c>
      <c r="T321" s="6">
        <v>53</v>
      </c>
      <c r="U321">
        <f t="shared" si="61"/>
        <v>53034.364139999991</v>
      </c>
      <c r="V321">
        <f t="shared" si="66"/>
        <v>740916.11527999991</v>
      </c>
      <c r="W321">
        <f t="shared" si="62"/>
        <v>46394.080000000002</v>
      </c>
      <c r="X321" s="6">
        <f t="shared" si="63"/>
        <v>6640.2841399999888</v>
      </c>
      <c r="Y321">
        <f t="shared" si="64"/>
        <v>0.12520719815685888</v>
      </c>
      <c r="Z321">
        <v>202303</v>
      </c>
      <c r="AA321" s="18">
        <v>202301</v>
      </c>
      <c r="AB321" t="str">
        <v>Mar-2023</v>
      </c>
      <c r="AC321">
        <f t="shared" si="65"/>
        <v>2</v>
      </c>
      <c r="AD321" t="str">
        <f t="shared" si="67"/>
        <v>Late</v>
      </c>
      <c r="AE321">
        <f t="shared" si="68"/>
        <v>0</v>
      </c>
      <c r="AF321">
        <f t="shared" si="69"/>
        <v>0</v>
      </c>
    </row>
    <row r="322" spans="1:32" x14ac:dyDescent="0.25">
      <c r="A322" s="3" t="s">
        <v>326</v>
      </c>
      <c r="B322" s="4">
        <v>45440</v>
      </c>
      <c r="C322" s="4" t="str">
        <f t="shared" ref="C322:C385" si="70">TEXT(B322,"MMM-YYYY")</f>
        <v>May-2024</v>
      </c>
      <c r="D322" s="4" t="str">
        <f t="shared" ref="D322:D385" si="71">IF(MONTH(B322)&lt;=3,"Q1",IF(MONTH(B322)&lt;=6,"Q2",IF(MONTH(B322)&lt;=9,"Q3","Q4")))</f>
        <v>Q2</v>
      </c>
      <c r="E322" s="4">
        <v>45461</v>
      </c>
      <c r="F322" s="10">
        <f t="shared" ref="F322:F385" si="72">ABS(E322-B322)</f>
        <v>21</v>
      </c>
      <c r="G322" s="3" t="s">
        <v>641</v>
      </c>
      <c r="H322" s="3" t="s">
        <v>648</v>
      </c>
      <c r="I322" s="3" t="s">
        <v>690</v>
      </c>
      <c r="J322" t="str">
        <f t="shared" ref="J322:J385" si="73">G322 &amp; " &gt; " &amp; H322 &amp; " &gt; " &amp; I322</f>
        <v>Europe &gt; Germany &gt; Frankfurt</v>
      </c>
      <c r="K322" s="3" t="s">
        <v>697</v>
      </c>
      <c r="L322" s="3" t="s">
        <v>700</v>
      </c>
      <c r="M322" s="3" t="s">
        <v>710</v>
      </c>
      <c r="N322" s="3" t="s">
        <v>722</v>
      </c>
      <c r="O322" s="3" t="s">
        <v>1045</v>
      </c>
      <c r="P322" s="6">
        <v>986.85</v>
      </c>
      <c r="Q322" s="6">
        <v>2422.1</v>
      </c>
      <c r="R322" s="6" t="str">
        <f t="shared" ref="R322:R385" si="74">IF(P322&lt;=500,"Low",IF(P322&lt;=1000,"Medium","High"))</f>
        <v>Medium</v>
      </c>
      <c r="S322" s="6">
        <v>7.5999999999999998E-2</v>
      </c>
      <c r="T322" s="6">
        <v>10</v>
      </c>
      <c r="U322">
        <f t="shared" ref="U322:U385" si="75">(Q322*T322*(1-S322))</f>
        <v>22380.204000000002</v>
      </c>
      <c r="V322">
        <f t="shared" si="66"/>
        <v>740916.11527999991</v>
      </c>
      <c r="W322">
        <f t="shared" ref="W322:W385" si="76">(P322*T322)</f>
        <v>9868.5</v>
      </c>
      <c r="X322" s="6">
        <f t="shared" ref="X322:X385" si="77">(U322-W322)</f>
        <v>12511.704000000002</v>
      </c>
      <c r="Y322">
        <f t="shared" ref="Y322:Y385" si="78">IF(U322=0,0,X322/U322)</f>
        <v>0.55905227673527913</v>
      </c>
      <c r="Z322">
        <v>202405</v>
      </c>
      <c r="AA322" s="18">
        <v>202301</v>
      </c>
      <c r="AB322" t="str">
        <v>May-2023</v>
      </c>
      <c r="AC322">
        <f t="shared" ref="AC322:AC385" si="79">DATEDIF(DATE(LEFT(AA322,4),RIGHT(AA322,2),1),B322,"M")</f>
        <v>16</v>
      </c>
      <c r="AD322" t="str">
        <f t="shared" si="67"/>
        <v>Late</v>
      </c>
      <c r="AE322">
        <f t="shared" si="68"/>
        <v>0</v>
      </c>
      <c r="AF322">
        <f t="shared" si="69"/>
        <v>0</v>
      </c>
    </row>
    <row r="323" spans="1:32" x14ac:dyDescent="0.25">
      <c r="A323" s="3" t="s">
        <v>327</v>
      </c>
      <c r="B323" s="4">
        <v>45293</v>
      </c>
      <c r="C323" s="4" t="str">
        <f t="shared" si="70"/>
        <v>Jan-2024</v>
      </c>
      <c r="D323" s="4" t="str">
        <f t="shared" si="71"/>
        <v>Q1</v>
      </c>
      <c r="E323" s="4">
        <v>45294</v>
      </c>
      <c r="F323" s="10">
        <f t="shared" si="72"/>
        <v>1</v>
      </c>
      <c r="G323" s="3" t="s">
        <v>640</v>
      </c>
      <c r="H323" s="3" t="s">
        <v>652</v>
      </c>
      <c r="I323" s="3" t="s">
        <v>669</v>
      </c>
      <c r="J323" t="str">
        <f t="shared" si="73"/>
        <v>Americas &gt; USA &gt; Chicago</v>
      </c>
      <c r="K323" s="3" t="s">
        <v>694</v>
      </c>
      <c r="L323" s="3" t="s">
        <v>701</v>
      </c>
      <c r="M323" s="3" t="s">
        <v>709</v>
      </c>
      <c r="N323" s="3" t="s">
        <v>721</v>
      </c>
      <c r="O323" s="3" t="s">
        <v>1046</v>
      </c>
      <c r="P323" s="6">
        <v>404.77</v>
      </c>
      <c r="Q323" s="6">
        <v>433.88</v>
      </c>
      <c r="R323" s="6" t="str">
        <f t="shared" si="74"/>
        <v>Low</v>
      </c>
      <c r="S323" s="6">
        <v>0.215</v>
      </c>
      <c r="T323" s="6">
        <v>22</v>
      </c>
      <c r="U323">
        <f t="shared" si="75"/>
        <v>7493.1076000000012</v>
      </c>
      <c r="V323">
        <f t="shared" ref="V323:V386" si="80">SUMIFS(U323:U954,N323:N954,"Components")</f>
        <v>740916.11527999991</v>
      </c>
      <c r="W323">
        <f t="shared" si="76"/>
        <v>8904.9399999999987</v>
      </c>
      <c r="X323" s="6">
        <f t="shared" si="77"/>
        <v>-1411.8323999999975</v>
      </c>
      <c r="Y323">
        <f t="shared" si="78"/>
        <v>-0.18841747314558746</v>
      </c>
      <c r="Z323">
        <v>202401</v>
      </c>
      <c r="AA323" s="18">
        <v>202301</v>
      </c>
      <c r="AB323" t="str">
        <v>Jan-2023</v>
      </c>
      <c r="AC323">
        <f t="shared" si="79"/>
        <v>12</v>
      </c>
      <c r="AD323" t="str">
        <f t="shared" ref="AD323:AD386" si="81">IF(F323&lt;=7,"On Time","Late")</f>
        <v>On Time</v>
      </c>
      <c r="AE323">
        <f t="shared" ref="AE323:AE386" si="82">IF(F323&lt;=7,1,0)</f>
        <v>1</v>
      </c>
      <c r="AF323">
        <f t="shared" ref="AF323:AF386" si="83">IF(S323&gt;0.2,1,0)</f>
        <v>1</v>
      </c>
    </row>
    <row r="324" spans="1:32" x14ac:dyDescent="0.25">
      <c r="A324" s="3" t="s">
        <v>328</v>
      </c>
      <c r="B324" s="4">
        <v>44985</v>
      </c>
      <c r="C324" s="4" t="str">
        <f t="shared" si="70"/>
        <v>Feb-2023</v>
      </c>
      <c r="D324" s="4" t="str">
        <f t="shared" si="71"/>
        <v>Q1</v>
      </c>
      <c r="E324" s="4">
        <v>44986</v>
      </c>
      <c r="F324" s="10">
        <f t="shared" si="72"/>
        <v>1</v>
      </c>
      <c r="G324" s="3" t="s">
        <v>641</v>
      </c>
      <c r="H324" s="3" t="s">
        <v>649</v>
      </c>
      <c r="I324" s="3" t="s">
        <v>665</v>
      </c>
      <c r="J324" t="str">
        <f t="shared" si="73"/>
        <v>Europe &gt; France &gt; Marseille</v>
      </c>
      <c r="K324" s="3" t="s">
        <v>693</v>
      </c>
      <c r="L324" s="3" t="s">
        <v>699</v>
      </c>
      <c r="M324" s="3" t="s">
        <v>715</v>
      </c>
      <c r="N324" s="3" t="s">
        <v>721</v>
      </c>
      <c r="O324" s="3" t="s">
        <v>1047</v>
      </c>
      <c r="P324" s="6">
        <v>1299.81</v>
      </c>
      <c r="Q324" s="6">
        <v>3149.13</v>
      </c>
      <c r="R324" s="6" t="str">
        <f t="shared" si="74"/>
        <v>High</v>
      </c>
      <c r="S324" s="6">
        <v>0.10299999999999999</v>
      </c>
      <c r="T324" s="6">
        <v>14</v>
      </c>
      <c r="U324">
        <f t="shared" si="75"/>
        <v>39546.774539999999</v>
      </c>
      <c r="V324">
        <f t="shared" si="80"/>
        <v>740916.11527999991</v>
      </c>
      <c r="W324">
        <f t="shared" si="76"/>
        <v>18197.34</v>
      </c>
      <c r="X324" s="6">
        <f t="shared" si="77"/>
        <v>21349.434539999998</v>
      </c>
      <c r="Y324">
        <f t="shared" si="78"/>
        <v>0.53985273864511729</v>
      </c>
      <c r="Z324">
        <v>202302</v>
      </c>
      <c r="AA324" s="18">
        <v>202301</v>
      </c>
      <c r="AB324" t="str">
        <v>Feb-2023</v>
      </c>
      <c r="AC324">
        <f t="shared" si="79"/>
        <v>1</v>
      </c>
      <c r="AD324" t="str">
        <f t="shared" si="81"/>
        <v>On Time</v>
      </c>
      <c r="AE324">
        <f t="shared" si="82"/>
        <v>1</v>
      </c>
      <c r="AF324">
        <f t="shared" si="83"/>
        <v>0</v>
      </c>
    </row>
    <row r="325" spans="1:32" x14ac:dyDescent="0.25">
      <c r="A325" s="3" t="s">
        <v>329</v>
      </c>
      <c r="B325" s="4">
        <v>45340</v>
      </c>
      <c r="C325" s="4" t="str">
        <f t="shared" si="70"/>
        <v>Feb-2024</v>
      </c>
      <c r="D325" s="4" t="str">
        <f t="shared" si="71"/>
        <v>Q1</v>
      </c>
      <c r="E325" s="4">
        <v>45362</v>
      </c>
      <c r="F325" s="10">
        <f t="shared" si="72"/>
        <v>22</v>
      </c>
      <c r="G325" s="3" t="s">
        <v>640</v>
      </c>
      <c r="H325" s="3" t="s">
        <v>647</v>
      </c>
      <c r="I325" s="3" t="s">
        <v>662</v>
      </c>
      <c r="J325" t="str">
        <f t="shared" si="73"/>
        <v>Americas &gt; Brazil &gt; São Paulo</v>
      </c>
      <c r="K325" s="3" t="s">
        <v>696</v>
      </c>
      <c r="L325" s="3" t="s">
        <v>700</v>
      </c>
      <c r="M325" s="3" t="s">
        <v>712</v>
      </c>
      <c r="N325" s="3" t="s">
        <v>719</v>
      </c>
      <c r="O325" s="3" t="s">
        <v>1048</v>
      </c>
      <c r="P325" s="6">
        <v>80.48</v>
      </c>
      <c r="Q325" s="6">
        <v>65.650000000000006</v>
      </c>
      <c r="R325" s="6" t="str">
        <f t="shared" si="74"/>
        <v>Low</v>
      </c>
      <c r="S325" s="6">
        <v>0.17599999999999999</v>
      </c>
      <c r="T325" s="6">
        <v>13</v>
      </c>
      <c r="U325">
        <f t="shared" si="75"/>
        <v>703.2428000000001</v>
      </c>
      <c r="V325">
        <f t="shared" si="80"/>
        <v>740916.11527999991</v>
      </c>
      <c r="W325">
        <f t="shared" si="76"/>
        <v>1046.24</v>
      </c>
      <c r="X325" s="6">
        <f t="shared" si="77"/>
        <v>-342.99719999999991</v>
      </c>
      <c r="Y325">
        <f t="shared" si="78"/>
        <v>-0.48773652570634191</v>
      </c>
      <c r="Z325">
        <v>202402</v>
      </c>
      <c r="AA325" s="18">
        <v>202301</v>
      </c>
      <c r="AB325" t="str">
        <v>Feb-2023</v>
      </c>
      <c r="AC325">
        <f t="shared" si="79"/>
        <v>13</v>
      </c>
      <c r="AD325" t="str">
        <f t="shared" si="81"/>
        <v>Late</v>
      </c>
      <c r="AE325">
        <f t="shared" si="82"/>
        <v>0</v>
      </c>
      <c r="AF325">
        <f t="shared" si="83"/>
        <v>0</v>
      </c>
    </row>
    <row r="326" spans="1:32" x14ac:dyDescent="0.25">
      <c r="A326" s="3" t="s">
        <v>330</v>
      </c>
      <c r="B326" s="4">
        <v>45544</v>
      </c>
      <c r="C326" s="4" t="str">
        <f t="shared" si="70"/>
        <v>Sept-2024</v>
      </c>
      <c r="D326" s="4" t="str">
        <f t="shared" si="71"/>
        <v>Q3</v>
      </c>
      <c r="E326" s="4">
        <v>45573</v>
      </c>
      <c r="F326" s="10">
        <f t="shared" si="72"/>
        <v>29</v>
      </c>
      <c r="G326" s="3" t="s">
        <v>640</v>
      </c>
      <c r="H326" s="3" t="s">
        <v>647</v>
      </c>
      <c r="I326" s="3" t="s">
        <v>662</v>
      </c>
      <c r="J326" t="str">
        <f t="shared" si="73"/>
        <v>Americas &gt; Brazil &gt; São Paulo</v>
      </c>
      <c r="K326" s="3" t="s">
        <v>694</v>
      </c>
      <c r="L326" s="3" t="s">
        <v>703</v>
      </c>
      <c r="M326" s="3" t="s">
        <v>705</v>
      </c>
      <c r="N326" s="3" t="s">
        <v>719</v>
      </c>
      <c r="O326" s="3" t="s">
        <v>1049</v>
      </c>
      <c r="P326" s="6">
        <v>1010.33</v>
      </c>
      <c r="Q326" s="6">
        <v>2492.14</v>
      </c>
      <c r="R326" s="6" t="str">
        <f t="shared" si="74"/>
        <v>High</v>
      </c>
      <c r="S326" s="6">
        <v>5.0999999999999997E-2</v>
      </c>
      <c r="T326" s="6">
        <v>11</v>
      </c>
      <c r="U326">
        <f t="shared" si="75"/>
        <v>26015.449459999996</v>
      </c>
      <c r="V326">
        <f t="shared" si="80"/>
        <v>740212.8724799999</v>
      </c>
      <c r="W326">
        <f t="shared" si="76"/>
        <v>11113.630000000001</v>
      </c>
      <c r="X326" s="6">
        <f t="shared" si="77"/>
        <v>14901.819459999995</v>
      </c>
      <c r="Y326">
        <f t="shared" si="78"/>
        <v>0.57280653493656752</v>
      </c>
      <c r="Z326">
        <v>202409</v>
      </c>
      <c r="AA326" s="18">
        <v>202301</v>
      </c>
      <c r="AB326" t="str">
        <v>Sept-2023</v>
      </c>
      <c r="AC326">
        <f t="shared" si="79"/>
        <v>20</v>
      </c>
      <c r="AD326" t="str">
        <f t="shared" si="81"/>
        <v>Late</v>
      </c>
      <c r="AE326">
        <f t="shared" si="82"/>
        <v>0</v>
      </c>
      <c r="AF326">
        <f t="shared" si="83"/>
        <v>0</v>
      </c>
    </row>
    <row r="327" spans="1:32" x14ac:dyDescent="0.25">
      <c r="A327" s="3" t="s">
        <v>331</v>
      </c>
      <c r="B327" s="4">
        <v>45053</v>
      </c>
      <c r="C327" s="4" t="str">
        <f t="shared" si="70"/>
        <v>May-2023</v>
      </c>
      <c r="D327" s="4" t="str">
        <f t="shared" si="71"/>
        <v>Q2</v>
      </c>
      <c r="E327" s="4">
        <v>45075</v>
      </c>
      <c r="F327" s="10">
        <f t="shared" si="72"/>
        <v>22</v>
      </c>
      <c r="G327" s="3" t="s">
        <v>638</v>
      </c>
      <c r="H327" s="3" t="s">
        <v>653</v>
      </c>
      <c r="I327" s="3" t="s">
        <v>679</v>
      </c>
      <c r="J327" t="str">
        <f t="shared" si="73"/>
        <v>Africa &gt; South Africa &gt; Durban</v>
      </c>
      <c r="K327" s="3" t="s">
        <v>694</v>
      </c>
      <c r="L327" s="3" t="s">
        <v>702</v>
      </c>
      <c r="M327" s="3" t="s">
        <v>715</v>
      </c>
      <c r="N327" s="3" t="s">
        <v>725</v>
      </c>
      <c r="O327" s="3" t="s">
        <v>1050</v>
      </c>
      <c r="P327" s="6">
        <v>653.86</v>
      </c>
      <c r="Q327" s="6">
        <v>931.84</v>
      </c>
      <c r="R327" s="6" t="str">
        <f t="shared" si="74"/>
        <v>Medium</v>
      </c>
      <c r="S327" s="6">
        <v>0.121</v>
      </c>
      <c r="T327" s="6">
        <v>12</v>
      </c>
      <c r="U327">
        <f t="shared" si="75"/>
        <v>9829.0483199999999</v>
      </c>
      <c r="V327">
        <f t="shared" si="80"/>
        <v>714197.42301999987</v>
      </c>
      <c r="W327">
        <f t="shared" si="76"/>
        <v>7846.32</v>
      </c>
      <c r="X327" s="6">
        <f t="shared" si="77"/>
        <v>1982.7283200000002</v>
      </c>
      <c r="Y327">
        <f t="shared" si="78"/>
        <v>0.20172129136506273</v>
      </c>
      <c r="Z327">
        <v>202305</v>
      </c>
      <c r="AA327" s="18">
        <v>202301</v>
      </c>
      <c r="AB327" t="str">
        <v>May-2023</v>
      </c>
      <c r="AC327">
        <f t="shared" si="79"/>
        <v>4</v>
      </c>
      <c r="AD327" t="str">
        <f t="shared" si="81"/>
        <v>Late</v>
      </c>
      <c r="AE327">
        <f t="shared" si="82"/>
        <v>0</v>
      </c>
      <c r="AF327">
        <f t="shared" si="83"/>
        <v>0</v>
      </c>
    </row>
    <row r="328" spans="1:32" x14ac:dyDescent="0.25">
      <c r="A328" s="3" t="s">
        <v>332</v>
      </c>
      <c r="B328" s="4">
        <v>45303</v>
      </c>
      <c r="C328" s="4" t="str">
        <f t="shared" si="70"/>
        <v>Jan-2024</v>
      </c>
      <c r="D328" s="4" t="str">
        <f t="shared" si="71"/>
        <v>Q1</v>
      </c>
      <c r="E328" s="4">
        <v>45320</v>
      </c>
      <c r="F328" s="10">
        <f t="shared" si="72"/>
        <v>17</v>
      </c>
      <c r="G328" s="3" t="s">
        <v>639</v>
      </c>
      <c r="H328" s="3" t="s">
        <v>646</v>
      </c>
      <c r="I328" s="3" t="s">
        <v>688</v>
      </c>
      <c r="J328" t="str">
        <f t="shared" si="73"/>
        <v>Asia &gt; India &gt; Hyderabad</v>
      </c>
      <c r="K328" s="3" t="s">
        <v>697</v>
      </c>
      <c r="L328" s="3" t="s">
        <v>703</v>
      </c>
      <c r="M328" s="3" t="s">
        <v>709</v>
      </c>
      <c r="N328" s="3" t="s">
        <v>719</v>
      </c>
      <c r="O328" s="3" t="s">
        <v>1051</v>
      </c>
      <c r="P328" s="6">
        <v>310.02</v>
      </c>
      <c r="Q328" s="6">
        <v>619.51</v>
      </c>
      <c r="R328" s="6" t="str">
        <f t="shared" si="74"/>
        <v>Low</v>
      </c>
      <c r="S328" s="6">
        <v>4.2000000000000003E-2</v>
      </c>
      <c r="T328" s="6">
        <v>4</v>
      </c>
      <c r="U328">
        <f t="shared" si="75"/>
        <v>2373.9623200000001</v>
      </c>
      <c r="V328">
        <f t="shared" si="80"/>
        <v>714197.42301999987</v>
      </c>
      <c r="W328">
        <f t="shared" si="76"/>
        <v>1240.08</v>
      </c>
      <c r="X328" s="6">
        <f t="shared" si="77"/>
        <v>1133.8823200000002</v>
      </c>
      <c r="Y328">
        <f t="shared" si="78"/>
        <v>0.47763282106347843</v>
      </c>
      <c r="Z328">
        <v>202401</v>
      </c>
      <c r="AA328" s="18">
        <v>202301</v>
      </c>
      <c r="AB328" t="str">
        <v>Jan-2023</v>
      </c>
      <c r="AC328">
        <f t="shared" si="79"/>
        <v>12</v>
      </c>
      <c r="AD328" t="str">
        <f t="shared" si="81"/>
        <v>Late</v>
      </c>
      <c r="AE328">
        <f t="shared" si="82"/>
        <v>0</v>
      </c>
      <c r="AF328">
        <f t="shared" si="83"/>
        <v>0</v>
      </c>
    </row>
    <row r="329" spans="1:32" x14ac:dyDescent="0.25">
      <c r="A329" s="3" t="s">
        <v>333</v>
      </c>
      <c r="B329" s="4">
        <v>45087</v>
      </c>
      <c r="C329" s="4" t="str">
        <f t="shared" si="70"/>
        <v>Jun-2023</v>
      </c>
      <c r="D329" s="4" t="str">
        <f t="shared" si="71"/>
        <v>Q2</v>
      </c>
      <c r="E329" s="4">
        <v>45095</v>
      </c>
      <c r="F329" s="10">
        <f t="shared" si="72"/>
        <v>8</v>
      </c>
      <c r="G329" s="3" t="s">
        <v>638</v>
      </c>
      <c r="H329" s="3" t="s">
        <v>642</v>
      </c>
      <c r="I329" s="3" t="s">
        <v>670</v>
      </c>
      <c r="J329" t="str">
        <f t="shared" si="73"/>
        <v>Africa &gt; Kenya &gt; Nakuru</v>
      </c>
      <c r="K329" s="3" t="s">
        <v>698</v>
      </c>
      <c r="L329" s="3" t="s">
        <v>703</v>
      </c>
      <c r="M329" s="3" t="s">
        <v>714</v>
      </c>
      <c r="N329" s="3" t="s">
        <v>722</v>
      </c>
      <c r="O329" s="3" t="s">
        <v>1052</v>
      </c>
      <c r="P329" s="6">
        <v>894.23</v>
      </c>
      <c r="Q329" s="6">
        <v>1421.55</v>
      </c>
      <c r="R329" s="6" t="str">
        <f t="shared" si="74"/>
        <v>Medium</v>
      </c>
      <c r="S329" s="6">
        <v>0.109</v>
      </c>
      <c r="T329" s="6">
        <v>3</v>
      </c>
      <c r="U329">
        <f t="shared" si="75"/>
        <v>3799.8031499999997</v>
      </c>
      <c r="V329">
        <f t="shared" si="80"/>
        <v>711823.46069999994</v>
      </c>
      <c r="W329">
        <f t="shared" si="76"/>
        <v>2682.69</v>
      </c>
      <c r="X329" s="6">
        <f t="shared" si="77"/>
        <v>1117.1131499999997</v>
      </c>
      <c r="Y329">
        <f t="shared" si="78"/>
        <v>0.29399237431549574</v>
      </c>
      <c r="Z329">
        <v>202306</v>
      </c>
      <c r="AA329" s="18">
        <v>202301</v>
      </c>
      <c r="AB329" t="str">
        <v>Jun-2023</v>
      </c>
      <c r="AC329">
        <f t="shared" si="79"/>
        <v>5</v>
      </c>
      <c r="AD329" t="str">
        <f t="shared" si="81"/>
        <v>Late</v>
      </c>
      <c r="AE329">
        <f t="shared" si="82"/>
        <v>0</v>
      </c>
      <c r="AF329">
        <f t="shared" si="83"/>
        <v>0</v>
      </c>
    </row>
    <row r="330" spans="1:32" x14ac:dyDescent="0.25">
      <c r="A330" s="3" t="s">
        <v>334</v>
      </c>
      <c r="B330" s="4">
        <v>45796</v>
      </c>
      <c r="C330" s="4" t="str">
        <f t="shared" si="70"/>
        <v>May-2025</v>
      </c>
      <c r="D330" s="4" t="str">
        <f t="shared" si="71"/>
        <v>Q2</v>
      </c>
      <c r="E330" s="4">
        <v>45798</v>
      </c>
      <c r="F330" s="10">
        <f t="shared" si="72"/>
        <v>2</v>
      </c>
      <c r="G330" s="3" t="s">
        <v>640</v>
      </c>
      <c r="H330" s="3" t="s">
        <v>647</v>
      </c>
      <c r="I330" s="3" t="s">
        <v>662</v>
      </c>
      <c r="J330" t="str">
        <f t="shared" si="73"/>
        <v>Americas &gt; Brazil &gt; São Paulo</v>
      </c>
      <c r="K330" s="3" t="s">
        <v>697</v>
      </c>
      <c r="L330" s="3" t="s">
        <v>702</v>
      </c>
      <c r="M330" s="3" t="s">
        <v>708</v>
      </c>
      <c r="N330" s="3" t="s">
        <v>724</v>
      </c>
      <c r="O330" s="3" t="s">
        <v>1053</v>
      </c>
      <c r="P330" s="6">
        <v>383.77</v>
      </c>
      <c r="Q330" s="6">
        <v>952.56</v>
      </c>
      <c r="R330" s="6" t="str">
        <f t="shared" si="74"/>
        <v>Low</v>
      </c>
      <c r="S330" s="6">
        <v>0.34599999999999997</v>
      </c>
      <c r="T330" s="6">
        <v>10</v>
      </c>
      <c r="U330">
        <f t="shared" si="75"/>
        <v>6229.7423999999992</v>
      </c>
      <c r="V330">
        <f t="shared" si="80"/>
        <v>711823.46069999994</v>
      </c>
      <c r="W330">
        <f t="shared" si="76"/>
        <v>3837.7</v>
      </c>
      <c r="X330" s="6">
        <f t="shared" si="77"/>
        <v>2392.0423999999994</v>
      </c>
      <c r="Y330">
        <f t="shared" si="78"/>
        <v>0.38397131797937578</v>
      </c>
      <c r="Z330">
        <v>202505</v>
      </c>
      <c r="AA330" s="18">
        <v>202301</v>
      </c>
      <c r="AB330" t="str">
        <v>May-2023</v>
      </c>
      <c r="AC330">
        <f t="shared" si="79"/>
        <v>28</v>
      </c>
      <c r="AD330" t="str">
        <f t="shared" si="81"/>
        <v>On Time</v>
      </c>
      <c r="AE330">
        <f t="shared" si="82"/>
        <v>1</v>
      </c>
      <c r="AF330">
        <f t="shared" si="83"/>
        <v>1</v>
      </c>
    </row>
    <row r="331" spans="1:32" x14ac:dyDescent="0.25">
      <c r="A331" s="3" t="s">
        <v>335</v>
      </c>
      <c r="B331" s="4">
        <v>45221</v>
      </c>
      <c r="C331" s="4" t="str">
        <f t="shared" si="70"/>
        <v>Oct-2023</v>
      </c>
      <c r="D331" s="4" t="str">
        <f t="shared" si="71"/>
        <v>Q4</v>
      </c>
      <c r="E331" s="4">
        <v>45246</v>
      </c>
      <c r="F331" s="10">
        <f t="shared" si="72"/>
        <v>25</v>
      </c>
      <c r="G331" s="3" t="s">
        <v>640</v>
      </c>
      <c r="H331" s="3" t="s">
        <v>645</v>
      </c>
      <c r="I331" s="3" t="s">
        <v>659</v>
      </c>
      <c r="J331" t="str">
        <f t="shared" si="73"/>
        <v>Americas &gt; Canada &gt; Toronto</v>
      </c>
      <c r="K331" s="3" t="s">
        <v>697</v>
      </c>
      <c r="L331" s="3" t="s">
        <v>701</v>
      </c>
      <c r="M331" s="3" t="s">
        <v>706</v>
      </c>
      <c r="N331" s="3" t="s">
        <v>723</v>
      </c>
      <c r="O331" s="3" t="s">
        <v>1054</v>
      </c>
      <c r="P331" s="6">
        <v>1373.31</v>
      </c>
      <c r="Q331" s="6">
        <v>3154.14</v>
      </c>
      <c r="R331" s="6" t="str">
        <f t="shared" si="74"/>
        <v>High</v>
      </c>
      <c r="S331" s="6">
        <v>0.2</v>
      </c>
      <c r="T331" s="6">
        <v>11</v>
      </c>
      <c r="U331">
        <f t="shared" si="75"/>
        <v>27756.432000000001</v>
      </c>
      <c r="V331">
        <f t="shared" si="80"/>
        <v>711823.46069999994</v>
      </c>
      <c r="W331">
        <f t="shared" si="76"/>
        <v>15106.41</v>
      </c>
      <c r="X331" s="6">
        <f t="shared" si="77"/>
        <v>12650.022000000001</v>
      </c>
      <c r="Y331">
        <f t="shared" si="78"/>
        <v>0.45575101295440279</v>
      </c>
      <c r="Z331">
        <v>202310</v>
      </c>
      <c r="AA331" s="18">
        <v>202301</v>
      </c>
      <c r="AB331" t="str">
        <v>Oct-2023</v>
      </c>
      <c r="AC331">
        <f t="shared" si="79"/>
        <v>9</v>
      </c>
      <c r="AD331" t="str">
        <f t="shared" si="81"/>
        <v>Late</v>
      </c>
      <c r="AE331">
        <f t="shared" si="82"/>
        <v>0</v>
      </c>
      <c r="AF331">
        <f t="shared" si="83"/>
        <v>0</v>
      </c>
    </row>
    <row r="332" spans="1:32" x14ac:dyDescent="0.25">
      <c r="A332" s="3" t="s">
        <v>336</v>
      </c>
      <c r="B332" s="4">
        <v>45668</v>
      </c>
      <c r="C332" s="4" t="str">
        <f t="shared" si="70"/>
        <v>Jan-2025</v>
      </c>
      <c r="D332" s="4" t="str">
        <f t="shared" si="71"/>
        <v>Q1</v>
      </c>
      <c r="E332" s="4">
        <v>45680</v>
      </c>
      <c r="F332" s="10">
        <f t="shared" si="72"/>
        <v>12</v>
      </c>
      <c r="G332" s="3" t="s">
        <v>640</v>
      </c>
      <c r="H332" s="3" t="s">
        <v>652</v>
      </c>
      <c r="I332" s="3" t="s">
        <v>689</v>
      </c>
      <c r="J332" t="str">
        <f t="shared" si="73"/>
        <v>Americas &gt; USA &gt; Austin</v>
      </c>
      <c r="K332" s="3" t="s">
        <v>696</v>
      </c>
      <c r="L332" s="3" t="s">
        <v>702</v>
      </c>
      <c r="M332" s="3" t="s">
        <v>714</v>
      </c>
      <c r="N332" s="3" t="s">
        <v>722</v>
      </c>
      <c r="O332" s="3" t="s">
        <v>1055</v>
      </c>
      <c r="P332" s="6">
        <v>100.69</v>
      </c>
      <c r="Q332" s="6">
        <v>226.14</v>
      </c>
      <c r="R332" s="6" t="str">
        <f t="shared" si="74"/>
        <v>Low</v>
      </c>
      <c r="S332" s="6">
        <v>6.5000000000000002E-2</v>
      </c>
      <c r="T332" s="6">
        <v>12</v>
      </c>
      <c r="U332">
        <f t="shared" si="75"/>
        <v>2537.2908000000002</v>
      </c>
      <c r="V332">
        <f t="shared" si="80"/>
        <v>711823.46069999994</v>
      </c>
      <c r="W332">
        <f t="shared" si="76"/>
        <v>1208.28</v>
      </c>
      <c r="X332" s="6">
        <f t="shared" si="77"/>
        <v>1329.0108000000002</v>
      </c>
      <c r="Y332">
        <f t="shared" si="78"/>
        <v>0.52379128162999689</v>
      </c>
      <c r="Z332">
        <v>202501</v>
      </c>
      <c r="AA332" s="18">
        <v>202301</v>
      </c>
      <c r="AB332" t="str">
        <v>Jan-2023</v>
      </c>
      <c r="AC332">
        <f t="shared" si="79"/>
        <v>24</v>
      </c>
      <c r="AD332" t="str">
        <f t="shared" si="81"/>
        <v>Late</v>
      </c>
      <c r="AE332">
        <f t="shared" si="82"/>
        <v>0</v>
      </c>
      <c r="AF332">
        <f t="shared" si="83"/>
        <v>0</v>
      </c>
    </row>
    <row r="333" spans="1:32" x14ac:dyDescent="0.25">
      <c r="A333" s="3" t="s">
        <v>337</v>
      </c>
      <c r="B333" s="4">
        <v>45914</v>
      </c>
      <c r="C333" s="4" t="str">
        <f t="shared" si="70"/>
        <v>Sept-2025</v>
      </c>
      <c r="D333" s="4" t="str">
        <f t="shared" si="71"/>
        <v>Q3</v>
      </c>
      <c r="E333" s="4">
        <v>45926</v>
      </c>
      <c r="F333" s="10">
        <f t="shared" si="72"/>
        <v>12</v>
      </c>
      <c r="G333" s="3" t="s">
        <v>641</v>
      </c>
      <c r="H333" s="3" t="s">
        <v>650</v>
      </c>
      <c r="I333" s="3" t="s">
        <v>675</v>
      </c>
      <c r="J333" t="str">
        <f t="shared" si="73"/>
        <v>Europe &gt; United Kingdom &gt; London</v>
      </c>
      <c r="K333" s="3" t="s">
        <v>697</v>
      </c>
      <c r="L333" s="3" t="s">
        <v>703</v>
      </c>
      <c r="M333" s="3" t="s">
        <v>717</v>
      </c>
      <c r="N333" s="3" t="s">
        <v>721</v>
      </c>
      <c r="O333" s="3" t="s">
        <v>1056</v>
      </c>
      <c r="P333" s="6">
        <v>425.15</v>
      </c>
      <c r="Q333" s="6">
        <v>885.92</v>
      </c>
      <c r="R333" s="6" t="str">
        <f t="shared" si="74"/>
        <v>Low</v>
      </c>
      <c r="S333" s="6">
        <v>0.23899999999999999</v>
      </c>
      <c r="T333" s="6">
        <v>13</v>
      </c>
      <c r="U333">
        <f t="shared" si="75"/>
        <v>8764.4065599999994</v>
      </c>
      <c r="V333">
        <f t="shared" si="80"/>
        <v>711823.46069999994</v>
      </c>
      <c r="W333">
        <f t="shared" si="76"/>
        <v>5526.95</v>
      </c>
      <c r="X333" s="6">
        <f t="shared" si="77"/>
        <v>3237.4565599999996</v>
      </c>
      <c r="Y333">
        <f t="shared" si="78"/>
        <v>0.3693868532725848</v>
      </c>
      <c r="Z333">
        <v>202509</v>
      </c>
      <c r="AA333" s="18">
        <v>202301</v>
      </c>
      <c r="AB333" t="str">
        <v>Sept-2023</v>
      </c>
      <c r="AC333">
        <f t="shared" si="79"/>
        <v>32</v>
      </c>
      <c r="AD333" t="str">
        <f t="shared" si="81"/>
        <v>Late</v>
      </c>
      <c r="AE333">
        <f t="shared" si="82"/>
        <v>0</v>
      </c>
      <c r="AF333">
        <f t="shared" si="83"/>
        <v>1</v>
      </c>
    </row>
    <row r="334" spans="1:32" x14ac:dyDescent="0.25">
      <c r="A334" s="3" t="s">
        <v>338</v>
      </c>
      <c r="B334" s="4">
        <v>45168</v>
      </c>
      <c r="C334" s="4" t="str">
        <f t="shared" si="70"/>
        <v>Aug-2023</v>
      </c>
      <c r="D334" s="4" t="str">
        <f t="shared" si="71"/>
        <v>Q3</v>
      </c>
      <c r="E334" s="4">
        <v>45172</v>
      </c>
      <c r="F334" s="10">
        <f t="shared" si="72"/>
        <v>4</v>
      </c>
      <c r="G334" s="3" t="s">
        <v>639</v>
      </c>
      <c r="H334" s="3" t="s">
        <v>646</v>
      </c>
      <c r="I334" s="3" t="s">
        <v>672</v>
      </c>
      <c r="J334" t="str">
        <f t="shared" si="73"/>
        <v>Asia &gt; India &gt; Delhi</v>
      </c>
      <c r="K334" s="3" t="s">
        <v>697</v>
      </c>
      <c r="L334" s="3" t="s">
        <v>701</v>
      </c>
      <c r="M334" s="3" t="s">
        <v>708</v>
      </c>
      <c r="N334" s="3" t="s">
        <v>725</v>
      </c>
      <c r="O334" s="3" t="s">
        <v>1057</v>
      </c>
      <c r="P334" s="6">
        <v>1082.25</v>
      </c>
      <c r="Q334" s="6">
        <v>2433.34</v>
      </c>
      <c r="R334" s="6" t="str">
        <f t="shared" si="74"/>
        <v>High</v>
      </c>
      <c r="S334" s="6">
        <v>0.27</v>
      </c>
      <c r="T334" s="6">
        <v>4</v>
      </c>
      <c r="U334">
        <f t="shared" si="75"/>
        <v>7105.3528000000006</v>
      </c>
      <c r="V334">
        <f t="shared" si="80"/>
        <v>711823.46069999994</v>
      </c>
      <c r="W334">
        <f t="shared" si="76"/>
        <v>4329</v>
      </c>
      <c r="X334" s="6">
        <f t="shared" si="77"/>
        <v>2776.3528000000006</v>
      </c>
      <c r="Y334">
        <f t="shared" si="78"/>
        <v>0.3907410199251472</v>
      </c>
      <c r="Z334">
        <v>202308</v>
      </c>
      <c r="AA334" s="18">
        <v>202301</v>
      </c>
      <c r="AB334" t="str">
        <v>Aug-2023</v>
      </c>
      <c r="AC334">
        <f t="shared" si="79"/>
        <v>7</v>
      </c>
      <c r="AD334" t="str">
        <f t="shared" si="81"/>
        <v>On Time</v>
      </c>
      <c r="AE334">
        <f t="shared" si="82"/>
        <v>1</v>
      </c>
      <c r="AF334">
        <f t="shared" si="83"/>
        <v>1</v>
      </c>
    </row>
    <row r="335" spans="1:32" x14ac:dyDescent="0.25">
      <c r="A335" s="3" t="s">
        <v>339</v>
      </c>
      <c r="B335" s="4">
        <v>45245</v>
      </c>
      <c r="C335" s="4" t="str">
        <f t="shared" si="70"/>
        <v>Nov-2023</v>
      </c>
      <c r="D335" s="4" t="str">
        <f t="shared" si="71"/>
        <v>Q4</v>
      </c>
      <c r="E335" s="4">
        <v>45266</v>
      </c>
      <c r="F335" s="10">
        <f t="shared" si="72"/>
        <v>21</v>
      </c>
      <c r="G335" s="3" t="s">
        <v>641</v>
      </c>
      <c r="H335" s="3" t="s">
        <v>650</v>
      </c>
      <c r="I335" s="3" t="s">
        <v>685</v>
      </c>
      <c r="J335" t="str">
        <f t="shared" si="73"/>
        <v>Europe &gt; United Kingdom &gt; Manchester</v>
      </c>
      <c r="K335" s="3" t="s">
        <v>694</v>
      </c>
      <c r="L335" s="3" t="s">
        <v>703</v>
      </c>
      <c r="M335" s="3" t="s">
        <v>714</v>
      </c>
      <c r="N335" s="3" t="s">
        <v>725</v>
      </c>
      <c r="O335" s="3" t="s">
        <v>1058</v>
      </c>
      <c r="P335" s="6">
        <v>1184.99</v>
      </c>
      <c r="Q335" s="6">
        <v>1154.3399999999999</v>
      </c>
      <c r="R335" s="6" t="str">
        <f t="shared" si="74"/>
        <v>High</v>
      </c>
      <c r="S335" s="6">
        <v>2.8000000000000001E-2</v>
      </c>
      <c r="T335" s="6">
        <v>5</v>
      </c>
      <c r="U335">
        <f t="shared" si="75"/>
        <v>5610.0923999999995</v>
      </c>
      <c r="V335">
        <f t="shared" si="80"/>
        <v>711823.46069999994</v>
      </c>
      <c r="W335">
        <f t="shared" si="76"/>
        <v>5924.95</v>
      </c>
      <c r="X335" s="6">
        <f t="shared" si="77"/>
        <v>-314.85760000000028</v>
      </c>
      <c r="Y335">
        <f t="shared" si="78"/>
        <v>-5.6123424990290764E-2</v>
      </c>
      <c r="Z335">
        <v>202311</v>
      </c>
      <c r="AA335" s="18">
        <v>202301</v>
      </c>
      <c r="AB335" t="str">
        <v>Nov-2023</v>
      </c>
      <c r="AC335">
        <f t="shared" si="79"/>
        <v>10</v>
      </c>
      <c r="AD335" t="str">
        <f t="shared" si="81"/>
        <v>Late</v>
      </c>
      <c r="AE335">
        <f t="shared" si="82"/>
        <v>0</v>
      </c>
      <c r="AF335">
        <f t="shared" si="83"/>
        <v>0</v>
      </c>
    </row>
    <row r="336" spans="1:32" x14ac:dyDescent="0.25">
      <c r="A336" s="3" t="s">
        <v>340</v>
      </c>
      <c r="B336" s="4">
        <v>45774</v>
      </c>
      <c r="C336" s="4" t="str">
        <f t="shared" si="70"/>
        <v>Apr-2025</v>
      </c>
      <c r="D336" s="4" t="str">
        <f t="shared" si="71"/>
        <v>Q2</v>
      </c>
      <c r="E336" s="4">
        <v>45804</v>
      </c>
      <c r="F336" s="10">
        <f t="shared" si="72"/>
        <v>30</v>
      </c>
      <c r="G336" s="3" t="s">
        <v>639</v>
      </c>
      <c r="H336" s="3" t="s">
        <v>646</v>
      </c>
      <c r="I336" s="3" t="s">
        <v>1413</v>
      </c>
      <c r="J336" t="str">
        <f t="shared" si="73"/>
        <v>Asia &gt; India &gt; Not Provided</v>
      </c>
      <c r="K336" s="3" t="s">
        <v>698</v>
      </c>
      <c r="L336" s="3" t="s">
        <v>701</v>
      </c>
      <c r="M336" s="3" t="s">
        <v>714</v>
      </c>
      <c r="N336" s="3" t="s">
        <v>722</v>
      </c>
      <c r="O336" s="3" t="s">
        <v>1059</v>
      </c>
      <c r="P336" s="6">
        <v>481.32</v>
      </c>
      <c r="Q336" s="6">
        <v>1135.99</v>
      </c>
      <c r="R336" s="6" t="str">
        <f t="shared" si="74"/>
        <v>Low</v>
      </c>
      <c r="S336" s="6">
        <v>0.14499999999999999</v>
      </c>
      <c r="T336" s="6">
        <v>5</v>
      </c>
      <c r="U336">
        <f t="shared" si="75"/>
        <v>4856.35725</v>
      </c>
      <c r="V336">
        <f t="shared" si="80"/>
        <v>711823.46069999994</v>
      </c>
      <c r="W336">
        <f t="shared" si="76"/>
        <v>2406.6</v>
      </c>
      <c r="X336" s="6">
        <f t="shared" si="77"/>
        <v>2449.7572500000001</v>
      </c>
      <c r="Y336">
        <f t="shared" si="78"/>
        <v>0.50444337677175621</v>
      </c>
      <c r="Z336">
        <v>202504</v>
      </c>
      <c r="AA336" s="18">
        <v>202301</v>
      </c>
      <c r="AB336" t="str">
        <v>Apr-2023</v>
      </c>
      <c r="AC336">
        <f t="shared" si="79"/>
        <v>27</v>
      </c>
      <c r="AD336" t="str">
        <f t="shared" si="81"/>
        <v>Late</v>
      </c>
      <c r="AE336">
        <f t="shared" si="82"/>
        <v>0</v>
      </c>
      <c r="AF336">
        <f t="shared" si="83"/>
        <v>0</v>
      </c>
    </row>
    <row r="337" spans="1:32" x14ac:dyDescent="0.25">
      <c r="A337" s="3" t="s">
        <v>341</v>
      </c>
      <c r="B337" s="4">
        <v>45391</v>
      </c>
      <c r="C337" s="4" t="str">
        <f t="shared" si="70"/>
        <v>Apr-2024</v>
      </c>
      <c r="D337" s="4" t="str">
        <f t="shared" si="71"/>
        <v>Q2</v>
      </c>
      <c r="E337" s="4">
        <v>45400</v>
      </c>
      <c r="F337" s="10">
        <f t="shared" si="72"/>
        <v>9</v>
      </c>
      <c r="G337" s="3" t="s">
        <v>641</v>
      </c>
      <c r="H337" s="3" t="s">
        <v>649</v>
      </c>
      <c r="I337" s="3" t="s">
        <v>671</v>
      </c>
      <c r="J337" t="str">
        <f t="shared" si="73"/>
        <v>Europe &gt; France &gt; Lyon</v>
      </c>
      <c r="K337" s="3" t="s">
        <v>696</v>
      </c>
      <c r="L337" s="3" t="s">
        <v>700</v>
      </c>
      <c r="M337" s="3" t="s">
        <v>710</v>
      </c>
      <c r="N337" s="3" t="s">
        <v>720</v>
      </c>
      <c r="O337" s="3" t="s">
        <v>1060</v>
      </c>
      <c r="P337" s="6">
        <v>1288.8499999999999</v>
      </c>
      <c r="Q337" s="6">
        <v>2751.84</v>
      </c>
      <c r="R337" s="6" t="str">
        <f t="shared" si="74"/>
        <v>High</v>
      </c>
      <c r="S337" s="6">
        <v>0.158</v>
      </c>
      <c r="T337" s="6">
        <v>7</v>
      </c>
      <c r="U337">
        <f t="shared" si="75"/>
        <v>16219.34496</v>
      </c>
      <c r="V337">
        <f t="shared" si="80"/>
        <v>711823.46069999994</v>
      </c>
      <c r="W337">
        <f t="shared" si="76"/>
        <v>9021.9499999999989</v>
      </c>
      <c r="X337" s="6">
        <f t="shared" si="77"/>
        <v>7197.3949600000014</v>
      </c>
      <c r="Y337">
        <f t="shared" si="78"/>
        <v>0.44375373837538756</v>
      </c>
      <c r="Z337">
        <v>202404</v>
      </c>
      <c r="AA337" s="18">
        <v>202301</v>
      </c>
      <c r="AB337" t="str">
        <v>Apr-2023</v>
      </c>
      <c r="AC337">
        <f t="shared" si="79"/>
        <v>15</v>
      </c>
      <c r="AD337" t="str">
        <f t="shared" si="81"/>
        <v>Late</v>
      </c>
      <c r="AE337">
        <f t="shared" si="82"/>
        <v>0</v>
      </c>
      <c r="AF337">
        <f t="shared" si="83"/>
        <v>0</v>
      </c>
    </row>
    <row r="338" spans="1:32" x14ac:dyDescent="0.25">
      <c r="A338" s="3" t="s">
        <v>342</v>
      </c>
      <c r="B338" s="4">
        <v>45484</v>
      </c>
      <c r="C338" s="4" t="str">
        <f t="shared" si="70"/>
        <v>Jul-2024</v>
      </c>
      <c r="D338" s="4" t="str">
        <f t="shared" si="71"/>
        <v>Q3</v>
      </c>
      <c r="E338" s="4">
        <v>45504</v>
      </c>
      <c r="F338" s="10">
        <f t="shared" si="72"/>
        <v>20</v>
      </c>
      <c r="G338" s="3" t="s">
        <v>639</v>
      </c>
      <c r="H338" s="3" t="s">
        <v>651</v>
      </c>
      <c r="I338" s="3" t="s">
        <v>668</v>
      </c>
      <c r="J338" t="str">
        <f t="shared" si="73"/>
        <v>Asia &gt; China &gt; Shenzhen</v>
      </c>
      <c r="K338" s="3" t="s">
        <v>696</v>
      </c>
      <c r="L338" s="3" t="s">
        <v>700</v>
      </c>
      <c r="M338" s="3" t="s">
        <v>707</v>
      </c>
      <c r="N338" s="3" t="s">
        <v>722</v>
      </c>
      <c r="O338" s="3" t="s">
        <v>1061</v>
      </c>
      <c r="P338" s="6">
        <v>647.26</v>
      </c>
      <c r="Q338" s="6">
        <v>1374.72</v>
      </c>
      <c r="R338" s="6" t="str">
        <f t="shared" si="74"/>
        <v>Medium</v>
      </c>
      <c r="S338" s="6">
        <v>6.6000000000000003E-2</v>
      </c>
      <c r="T338" s="6">
        <v>22</v>
      </c>
      <c r="U338">
        <f t="shared" si="75"/>
        <v>28247.74656</v>
      </c>
      <c r="V338">
        <f t="shared" si="80"/>
        <v>711823.46069999994</v>
      </c>
      <c r="W338">
        <f t="shared" si="76"/>
        <v>14239.72</v>
      </c>
      <c r="X338" s="6">
        <f t="shared" si="77"/>
        <v>14008.02656</v>
      </c>
      <c r="Y338">
        <f t="shared" si="78"/>
        <v>0.49589890401508901</v>
      </c>
      <c r="Z338">
        <v>202407</v>
      </c>
      <c r="AA338" s="18">
        <v>202301</v>
      </c>
      <c r="AB338" t="str">
        <v>Jul-2023</v>
      </c>
      <c r="AC338">
        <f t="shared" si="79"/>
        <v>18</v>
      </c>
      <c r="AD338" t="str">
        <f t="shared" si="81"/>
        <v>Late</v>
      </c>
      <c r="AE338">
        <f t="shared" si="82"/>
        <v>0</v>
      </c>
      <c r="AF338">
        <f t="shared" si="83"/>
        <v>0</v>
      </c>
    </row>
    <row r="339" spans="1:32" x14ac:dyDescent="0.25">
      <c r="A339" s="3" t="s">
        <v>343</v>
      </c>
      <c r="B339" s="4">
        <v>45340</v>
      </c>
      <c r="C339" s="4" t="str">
        <f t="shared" si="70"/>
        <v>Feb-2024</v>
      </c>
      <c r="D339" s="4" t="str">
        <f t="shared" si="71"/>
        <v>Q1</v>
      </c>
      <c r="E339" s="4">
        <v>45354</v>
      </c>
      <c r="F339" s="10">
        <f t="shared" si="72"/>
        <v>14</v>
      </c>
      <c r="G339" s="3" t="s">
        <v>640</v>
      </c>
      <c r="H339" s="3" t="s">
        <v>647</v>
      </c>
      <c r="I339" s="3" t="s">
        <v>1413</v>
      </c>
      <c r="J339" t="str">
        <f t="shared" si="73"/>
        <v>Americas &gt; Brazil &gt; Not Provided</v>
      </c>
      <c r="K339" s="3" t="s">
        <v>698</v>
      </c>
      <c r="L339" s="3" t="s">
        <v>702</v>
      </c>
      <c r="M339" s="3" t="s">
        <v>712</v>
      </c>
      <c r="N339" s="3" t="s">
        <v>720</v>
      </c>
      <c r="O339" s="3" t="s">
        <v>1062</v>
      </c>
      <c r="P339" s="6">
        <v>624.23</v>
      </c>
      <c r="Q339" s="6">
        <v>1318.37</v>
      </c>
      <c r="R339" s="6" t="str">
        <f t="shared" si="74"/>
        <v>Medium</v>
      </c>
      <c r="S339" s="6">
        <v>0.21</v>
      </c>
      <c r="T339" s="6">
        <v>37</v>
      </c>
      <c r="U339">
        <f t="shared" si="75"/>
        <v>38535.955099999999</v>
      </c>
      <c r="V339">
        <f t="shared" si="80"/>
        <v>711823.46069999994</v>
      </c>
      <c r="W339">
        <f t="shared" si="76"/>
        <v>23096.510000000002</v>
      </c>
      <c r="X339" s="6">
        <f t="shared" si="77"/>
        <v>15439.445099999997</v>
      </c>
      <c r="Y339">
        <f t="shared" si="78"/>
        <v>0.40065038118128793</v>
      </c>
      <c r="Z339">
        <v>202402</v>
      </c>
      <c r="AA339" s="18">
        <v>202301</v>
      </c>
      <c r="AB339" t="str">
        <v>Feb-2023</v>
      </c>
      <c r="AC339">
        <f t="shared" si="79"/>
        <v>13</v>
      </c>
      <c r="AD339" t="str">
        <f t="shared" si="81"/>
        <v>Late</v>
      </c>
      <c r="AE339">
        <f t="shared" si="82"/>
        <v>0</v>
      </c>
      <c r="AF339">
        <f t="shared" si="83"/>
        <v>1</v>
      </c>
    </row>
    <row r="340" spans="1:32" x14ac:dyDescent="0.25">
      <c r="A340" s="3" t="s">
        <v>344</v>
      </c>
      <c r="B340" s="4">
        <v>45132</v>
      </c>
      <c r="C340" s="4" t="str">
        <f t="shared" si="70"/>
        <v>Jul-2023</v>
      </c>
      <c r="D340" s="4" t="str">
        <f t="shared" si="71"/>
        <v>Q3</v>
      </c>
      <c r="E340" s="4">
        <v>45148</v>
      </c>
      <c r="F340" s="10">
        <f t="shared" si="72"/>
        <v>16</v>
      </c>
      <c r="G340" s="3" t="s">
        <v>638</v>
      </c>
      <c r="H340" s="3" t="s">
        <v>643</v>
      </c>
      <c r="I340" s="3" t="s">
        <v>655</v>
      </c>
      <c r="J340" t="str">
        <f t="shared" si="73"/>
        <v>Africa &gt; Nigeria &gt; Port Harcourt</v>
      </c>
      <c r="K340" s="3" t="s">
        <v>693</v>
      </c>
      <c r="L340" s="3" t="s">
        <v>702</v>
      </c>
      <c r="M340" s="3" t="s">
        <v>706</v>
      </c>
      <c r="N340" s="3" t="s">
        <v>725</v>
      </c>
      <c r="O340" s="3" t="s">
        <v>1063</v>
      </c>
      <c r="P340" s="6">
        <v>506.83</v>
      </c>
      <c r="Q340" s="6">
        <v>441.74</v>
      </c>
      <c r="R340" s="6" t="str">
        <f t="shared" si="74"/>
        <v>Medium</v>
      </c>
      <c r="S340" s="6">
        <v>0.24</v>
      </c>
      <c r="T340" s="6">
        <v>9</v>
      </c>
      <c r="U340">
        <f t="shared" si="75"/>
        <v>3021.5016000000001</v>
      </c>
      <c r="V340">
        <f t="shared" si="80"/>
        <v>711823.46069999994</v>
      </c>
      <c r="W340">
        <f t="shared" si="76"/>
        <v>4561.47</v>
      </c>
      <c r="X340" s="6">
        <f t="shared" si="77"/>
        <v>-1539.9684000000002</v>
      </c>
      <c r="Y340">
        <f t="shared" si="78"/>
        <v>-0.50966989393618067</v>
      </c>
      <c r="Z340">
        <v>202307</v>
      </c>
      <c r="AA340" s="18">
        <v>202301</v>
      </c>
      <c r="AB340" t="str">
        <v>Jul-2023</v>
      </c>
      <c r="AC340">
        <f t="shared" si="79"/>
        <v>6</v>
      </c>
      <c r="AD340" t="str">
        <f t="shared" si="81"/>
        <v>Late</v>
      </c>
      <c r="AE340">
        <f t="shared" si="82"/>
        <v>0</v>
      </c>
      <c r="AF340">
        <f t="shared" si="83"/>
        <v>1</v>
      </c>
    </row>
    <row r="341" spans="1:32" x14ac:dyDescent="0.25">
      <c r="A341" s="3" t="s">
        <v>345</v>
      </c>
      <c r="B341" s="4">
        <v>45121</v>
      </c>
      <c r="C341" s="4" t="str">
        <f t="shared" si="70"/>
        <v>Jul-2023</v>
      </c>
      <c r="D341" s="4" t="str">
        <f t="shared" si="71"/>
        <v>Q3</v>
      </c>
      <c r="E341" s="4">
        <v>45128</v>
      </c>
      <c r="F341" s="10">
        <f t="shared" si="72"/>
        <v>7</v>
      </c>
      <c r="G341" s="3" t="s">
        <v>638</v>
      </c>
      <c r="H341" s="3" t="s">
        <v>653</v>
      </c>
      <c r="I341" s="3" t="s">
        <v>679</v>
      </c>
      <c r="J341" t="str">
        <f t="shared" si="73"/>
        <v>Africa &gt; South Africa &gt; Durban</v>
      </c>
      <c r="K341" s="3" t="s">
        <v>698</v>
      </c>
      <c r="L341" s="3" t="s">
        <v>701</v>
      </c>
      <c r="M341" s="3" t="s">
        <v>1413</v>
      </c>
      <c r="N341" s="3" t="s">
        <v>724</v>
      </c>
      <c r="O341" s="3" t="s">
        <v>1064</v>
      </c>
      <c r="P341" s="6">
        <v>620.74</v>
      </c>
      <c r="Q341" s="6">
        <v>1330.07</v>
      </c>
      <c r="R341" s="6" t="str">
        <f t="shared" si="74"/>
        <v>Medium</v>
      </c>
      <c r="S341" s="6">
        <v>0.29899999999999999</v>
      </c>
      <c r="T341" s="6">
        <v>28</v>
      </c>
      <c r="U341">
        <f t="shared" si="75"/>
        <v>26106.613960000002</v>
      </c>
      <c r="V341">
        <f t="shared" si="80"/>
        <v>711823.46069999994</v>
      </c>
      <c r="W341">
        <f t="shared" si="76"/>
        <v>17380.72</v>
      </c>
      <c r="X341" s="6">
        <f t="shared" si="77"/>
        <v>8725.8939600000012</v>
      </c>
      <c r="Y341">
        <f t="shared" si="78"/>
        <v>0.33424073965967516</v>
      </c>
      <c r="Z341">
        <v>202307</v>
      </c>
      <c r="AA341" s="18">
        <v>202301</v>
      </c>
      <c r="AB341" t="str">
        <v>Jul-2023</v>
      </c>
      <c r="AC341">
        <f t="shared" si="79"/>
        <v>6</v>
      </c>
      <c r="AD341" t="str">
        <f t="shared" si="81"/>
        <v>On Time</v>
      </c>
      <c r="AE341">
        <f t="shared" si="82"/>
        <v>1</v>
      </c>
      <c r="AF341">
        <f t="shared" si="83"/>
        <v>1</v>
      </c>
    </row>
    <row r="342" spans="1:32" x14ac:dyDescent="0.25">
      <c r="A342" s="3" t="s">
        <v>346</v>
      </c>
      <c r="B342" s="4">
        <v>45131</v>
      </c>
      <c r="C342" s="4" t="str">
        <f t="shared" si="70"/>
        <v>Jul-2023</v>
      </c>
      <c r="D342" s="4" t="str">
        <f t="shared" si="71"/>
        <v>Q3</v>
      </c>
      <c r="E342" s="4">
        <v>45157</v>
      </c>
      <c r="F342" s="10">
        <f t="shared" si="72"/>
        <v>26</v>
      </c>
      <c r="G342" s="3" t="s">
        <v>638</v>
      </c>
      <c r="H342" s="3" t="s">
        <v>642</v>
      </c>
      <c r="I342" s="3" t="s">
        <v>656</v>
      </c>
      <c r="J342" t="str">
        <f t="shared" si="73"/>
        <v>Africa &gt; Kenya &gt; Nairobi</v>
      </c>
      <c r="K342" s="3" t="s">
        <v>698</v>
      </c>
      <c r="L342" s="3" t="s">
        <v>702</v>
      </c>
      <c r="M342" s="3" t="s">
        <v>716</v>
      </c>
      <c r="N342" s="3" t="s">
        <v>725</v>
      </c>
      <c r="O342" s="3" t="s">
        <v>1065</v>
      </c>
      <c r="P342" s="6">
        <v>661.45</v>
      </c>
      <c r="Q342" s="6">
        <v>1634.86</v>
      </c>
      <c r="R342" s="6" t="str">
        <f t="shared" si="74"/>
        <v>Medium</v>
      </c>
      <c r="S342" s="6">
        <v>0.56499999999999995</v>
      </c>
      <c r="T342" s="6">
        <v>24</v>
      </c>
      <c r="U342">
        <f t="shared" si="75"/>
        <v>17067.938400000003</v>
      </c>
      <c r="V342">
        <f t="shared" si="80"/>
        <v>711823.46069999994</v>
      </c>
      <c r="W342">
        <f t="shared" si="76"/>
        <v>15874.800000000001</v>
      </c>
      <c r="X342" s="6">
        <f t="shared" si="77"/>
        <v>1193.1384000000016</v>
      </c>
      <c r="Y342">
        <f t="shared" si="78"/>
        <v>6.9905244092045793E-2</v>
      </c>
      <c r="Z342">
        <v>202307</v>
      </c>
      <c r="AA342" s="18">
        <v>202301</v>
      </c>
      <c r="AB342" t="str">
        <v>Jul-2023</v>
      </c>
      <c r="AC342">
        <f t="shared" si="79"/>
        <v>6</v>
      </c>
      <c r="AD342" t="str">
        <f t="shared" si="81"/>
        <v>Late</v>
      </c>
      <c r="AE342">
        <f t="shared" si="82"/>
        <v>0</v>
      </c>
      <c r="AF342">
        <f t="shared" si="83"/>
        <v>1</v>
      </c>
    </row>
    <row r="343" spans="1:32" x14ac:dyDescent="0.25">
      <c r="A343" s="3" t="s">
        <v>347</v>
      </c>
      <c r="B343" s="4">
        <v>45029</v>
      </c>
      <c r="C343" s="4" t="str">
        <f t="shared" si="70"/>
        <v>Apr-2023</v>
      </c>
      <c r="D343" s="4" t="str">
        <f t="shared" si="71"/>
        <v>Q2</v>
      </c>
      <c r="E343" s="4">
        <v>45031</v>
      </c>
      <c r="F343" s="10">
        <f t="shared" si="72"/>
        <v>2</v>
      </c>
      <c r="G343" s="3" t="s">
        <v>640</v>
      </c>
      <c r="H343" s="3" t="s">
        <v>652</v>
      </c>
      <c r="I343" s="3" t="s">
        <v>678</v>
      </c>
      <c r="J343" t="str">
        <f t="shared" si="73"/>
        <v>Americas &gt; USA &gt; San Francisco</v>
      </c>
      <c r="K343" s="3" t="s">
        <v>694</v>
      </c>
      <c r="L343" s="3" t="s">
        <v>701</v>
      </c>
      <c r="M343" s="3" t="s">
        <v>707</v>
      </c>
      <c r="N343" s="3" t="s">
        <v>721</v>
      </c>
      <c r="O343" s="3" t="s">
        <v>1066</v>
      </c>
      <c r="P343" s="6">
        <v>32.1</v>
      </c>
      <c r="Q343" s="6">
        <v>70.599999999999994</v>
      </c>
      <c r="R343" s="6" t="str">
        <f t="shared" si="74"/>
        <v>Low</v>
      </c>
      <c r="S343" s="6">
        <v>0.28199999999999997</v>
      </c>
      <c r="T343" s="6">
        <v>22</v>
      </c>
      <c r="U343">
        <f t="shared" si="75"/>
        <v>1115.1975999999997</v>
      </c>
      <c r="V343">
        <f t="shared" si="80"/>
        <v>711823.46069999994</v>
      </c>
      <c r="W343">
        <f t="shared" si="76"/>
        <v>706.2</v>
      </c>
      <c r="X343" s="6">
        <f t="shared" si="77"/>
        <v>408.99759999999969</v>
      </c>
      <c r="Y343">
        <f t="shared" si="78"/>
        <v>0.36674899587301818</v>
      </c>
      <c r="Z343">
        <v>202304</v>
      </c>
      <c r="AA343" s="18">
        <v>202301</v>
      </c>
      <c r="AB343" t="str">
        <v>Apr-2023</v>
      </c>
      <c r="AC343">
        <f t="shared" si="79"/>
        <v>3</v>
      </c>
      <c r="AD343" t="str">
        <f t="shared" si="81"/>
        <v>On Time</v>
      </c>
      <c r="AE343">
        <f t="shared" si="82"/>
        <v>1</v>
      </c>
      <c r="AF343">
        <f t="shared" si="83"/>
        <v>1</v>
      </c>
    </row>
    <row r="344" spans="1:32" x14ac:dyDescent="0.25">
      <c r="A344" s="3" t="s">
        <v>348</v>
      </c>
      <c r="B344" s="4">
        <v>45594</v>
      </c>
      <c r="C344" s="4" t="str">
        <f t="shared" si="70"/>
        <v>Oct-2024</v>
      </c>
      <c r="D344" s="4" t="str">
        <f t="shared" si="71"/>
        <v>Q4</v>
      </c>
      <c r="E344" s="4">
        <v>45600</v>
      </c>
      <c r="F344" s="10">
        <f t="shared" si="72"/>
        <v>6</v>
      </c>
      <c r="G344" s="3" t="s">
        <v>638</v>
      </c>
      <c r="H344" s="3" t="s">
        <v>642</v>
      </c>
      <c r="I344" s="3" t="s">
        <v>656</v>
      </c>
      <c r="J344" t="str">
        <f t="shared" si="73"/>
        <v>Africa &gt; Kenya &gt; Nairobi</v>
      </c>
      <c r="K344" s="3" t="s">
        <v>693</v>
      </c>
      <c r="L344" s="3" t="s">
        <v>702</v>
      </c>
      <c r="M344" s="3" t="s">
        <v>716</v>
      </c>
      <c r="N344" s="3" t="s">
        <v>720</v>
      </c>
      <c r="O344" s="3" t="s">
        <v>1067</v>
      </c>
      <c r="P344" s="6">
        <v>805.81</v>
      </c>
      <c r="Q344" s="6">
        <v>1823.04</v>
      </c>
      <c r="R344" s="6" t="str">
        <f t="shared" si="74"/>
        <v>Medium</v>
      </c>
      <c r="S344" s="6">
        <v>0</v>
      </c>
      <c r="T344" s="6">
        <v>11</v>
      </c>
      <c r="U344">
        <f t="shared" si="75"/>
        <v>20053.439999999999</v>
      </c>
      <c r="V344">
        <f t="shared" si="80"/>
        <v>711823.46069999994</v>
      </c>
      <c r="W344">
        <f t="shared" si="76"/>
        <v>8863.91</v>
      </c>
      <c r="X344" s="6">
        <f t="shared" si="77"/>
        <v>11189.529999999999</v>
      </c>
      <c r="Y344">
        <f t="shared" si="78"/>
        <v>0.55798556257679477</v>
      </c>
      <c r="Z344">
        <v>202410</v>
      </c>
      <c r="AA344" s="18">
        <v>202301</v>
      </c>
      <c r="AB344" t="str">
        <v>Oct-2023</v>
      </c>
      <c r="AC344">
        <f t="shared" si="79"/>
        <v>21</v>
      </c>
      <c r="AD344" t="str">
        <f t="shared" si="81"/>
        <v>On Time</v>
      </c>
      <c r="AE344">
        <f t="shared" si="82"/>
        <v>1</v>
      </c>
      <c r="AF344">
        <f t="shared" si="83"/>
        <v>0</v>
      </c>
    </row>
    <row r="345" spans="1:32" x14ac:dyDescent="0.25">
      <c r="A345" s="3" t="s">
        <v>349</v>
      </c>
      <c r="B345" s="4">
        <v>45339</v>
      </c>
      <c r="C345" s="4" t="str">
        <f t="shared" si="70"/>
        <v>Feb-2024</v>
      </c>
      <c r="D345" s="4" t="str">
        <f t="shared" si="71"/>
        <v>Q1</v>
      </c>
      <c r="E345" s="4">
        <v>45355</v>
      </c>
      <c r="F345" s="10">
        <f t="shared" si="72"/>
        <v>16</v>
      </c>
      <c r="G345" s="3" t="s">
        <v>639</v>
      </c>
      <c r="H345" s="3" t="s">
        <v>646</v>
      </c>
      <c r="I345" s="3" t="s">
        <v>672</v>
      </c>
      <c r="J345" t="str">
        <f t="shared" si="73"/>
        <v>Asia &gt; India &gt; Delhi</v>
      </c>
      <c r="K345" s="3" t="s">
        <v>697</v>
      </c>
      <c r="L345" s="3" t="s">
        <v>701</v>
      </c>
      <c r="M345" s="3" t="s">
        <v>713</v>
      </c>
      <c r="N345" s="3" t="s">
        <v>722</v>
      </c>
      <c r="O345" s="3" t="s">
        <v>1068</v>
      </c>
      <c r="P345" s="6">
        <v>1231.8</v>
      </c>
      <c r="Q345" s="6">
        <v>2015.99</v>
      </c>
      <c r="R345" s="6" t="str">
        <f t="shared" si="74"/>
        <v>High</v>
      </c>
      <c r="S345" s="6">
        <v>0.26100000000000001</v>
      </c>
      <c r="T345" s="6">
        <v>6</v>
      </c>
      <c r="U345">
        <f t="shared" si="75"/>
        <v>8938.8996600000009</v>
      </c>
      <c r="V345">
        <f t="shared" si="80"/>
        <v>711823.46069999994</v>
      </c>
      <c r="W345">
        <f t="shared" si="76"/>
        <v>7390.7999999999993</v>
      </c>
      <c r="X345" s="6">
        <f t="shared" si="77"/>
        <v>1548.0996600000017</v>
      </c>
      <c r="Y345">
        <f t="shared" si="78"/>
        <v>0.17318682599464391</v>
      </c>
      <c r="Z345">
        <v>202402</v>
      </c>
      <c r="AA345" s="18">
        <v>202301</v>
      </c>
      <c r="AB345" t="str">
        <v>Feb-2023</v>
      </c>
      <c r="AC345">
        <f t="shared" si="79"/>
        <v>13</v>
      </c>
      <c r="AD345" t="str">
        <f t="shared" si="81"/>
        <v>Late</v>
      </c>
      <c r="AE345">
        <f t="shared" si="82"/>
        <v>0</v>
      </c>
      <c r="AF345">
        <f t="shared" si="83"/>
        <v>1</v>
      </c>
    </row>
    <row r="346" spans="1:32" x14ac:dyDescent="0.25">
      <c r="A346" s="3" t="s">
        <v>350</v>
      </c>
      <c r="B346" s="4">
        <v>45486</v>
      </c>
      <c r="C346" s="4" t="str">
        <f t="shared" si="70"/>
        <v>Jul-2024</v>
      </c>
      <c r="D346" s="4" t="str">
        <f t="shared" si="71"/>
        <v>Q3</v>
      </c>
      <c r="E346" s="4">
        <v>45487</v>
      </c>
      <c r="F346" s="10">
        <f t="shared" si="72"/>
        <v>1</v>
      </c>
      <c r="G346" s="3" t="s">
        <v>639</v>
      </c>
      <c r="H346" s="3" t="s">
        <v>644</v>
      </c>
      <c r="I346" s="3" t="s">
        <v>686</v>
      </c>
      <c r="J346" t="str">
        <f t="shared" si="73"/>
        <v>Asia &gt; Japan &gt; Nagoya</v>
      </c>
      <c r="K346" s="3" t="s">
        <v>697</v>
      </c>
      <c r="L346" s="3" t="s">
        <v>701</v>
      </c>
      <c r="M346" s="3" t="s">
        <v>713</v>
      </c>
      <c r="N346" s="3" t="s">
        <v>721</v>
      </c>
      <c r="O346" s="3" t="s">
        <v>1069</v>
      </c>
      <c r="P346" s="6">
        <v>105.13</v>
      </c>
      <c r="Q346" s="6">
        <v>244.13</v>
      </c>
      <c r="R346" s="6" t="str">
        <f t="shared" si="74"/>
        <v>Low</v>
      </c>
      <c r="S346" s="6">
        <v>7.0999999999999994E-2</v>
      </c>
      <c r="T346" s="6">
        <v>14</v>
      </c>
      <c r="U346">
        <f t="shared" si="75"/>
        <v>3175.1547799999998</v>
      </c>
      <c r="V346">
        <f t="shared" si="80"/>
        <v>711823.46069999994</v>
      </c>
      <c r="W346">
        <f t="shared" si="76"/>
        <v>1471.82</v>
      </c>
      <c r="X346" s="6">
        <f t="shared" si="77"/>
        <v>1703.3347799999999</v>
      </c>
      <c r="Y346">
        <f t="shared" si="78"/>
        <v>0.53645724319618837</v>
      </c>
      <c r="Z346">
        <v>202407</v>
      </c>
      <c r="AA346" s="18">
        <v>202303</v>
      </c>
      <c r="AB346" t="str">
        <v>Jul-2023</v>
      </c>
      <c r="AC346">
        <f t="shared" si="79"/>
        <v>16</v>
      </c>
      <c r="AD346" t="str">
        <f t="shared" si="81"/>
        <v>On Time</v>
      </c>
      <c r="AE346">
        <f t="shared" si="82"/>
        <v>1</v>
      </c>
      <c r="AF346">
        <f t="shared" si="83"/>
        <v>0</v>
      </c>
    </row>
    <row r="347" spans="1:32" x14ac:dyDescent="0.25">
      <c r="A347" s="3" t="s">
        <v>351</v>
      </c>
      <c r="B347" s="4">
        <v>45261</v>
      </c>
      <c r="C347" s="4" t="str">
        <f t="shared" si="70"/>
        <v>Dec-2023</v>
      </c>
      <c r="D347" s="4" t="str">
        <f t="shared" si="71"/>
        <v>Q4</v>
      </c>
      <c r="E347" s="4">
        <v>45278</v>
      </c>
      <c r="F347" s="10">
        <f t="shared" si="72"/>
        <v>17</v>
      </c>
      <c r="G347" s="3" t="s">
        <v>639</v>
      </c>
      <c r="H347" s="3" t="s">
        <v>644</v>
      </c>
      <c r="I347" s="3" t="s">
        <v>686</v>
      </c>
      <c r="J347" t="str">
        <f t="shared" si="73"/>
        <v>Asia &gt; Japan &gt; Nagoya</v>
      </c>
      <c r="K347" s="3" t="s">
        <v>697</v>
      </c>
      <c r="L347" s="3" t="s">
        <v>703</v>
      </c>
      <c r="M347" s="3" t="s">
        <v>717</v>
      </c>
      <c r="N347" s="3" t="s">
        <v>723</v>
      </c>
      <c r="O347" s="3" t="s">
        <v>1070</v>
      </c>
      <c r="P347" s="6">
        <v>1495.79</v>
      </c>
      <c r="Q347" s="6">
        <v>2783.12</v>
      </c>
      <c r="R347" s="6" t="str">
        <f t="shared" si="74"/>
        <v>High</v>
      </c>
      <c r="S347" s="6">
        <v>0.02</v>
      </c>
      <c r="T347" s="6">
        <v>5</v>
      </c>
      <c r="U347">
        <f t="shared" si="75"/>
        <v>13637.287999999999</v>
      </c>
      <c r="V347">
        <f t="shared" si="80"/>
        <v>711823.46069999994</v>
      </c>
      <c r="W347">
        <f t="shared" si="76"/>
        <v>7478.95</v>
      </c>
      <c r="X347" s="6">
        <f t="shared" si="77"/>
        <v>6158.3379999999988</v>
      </c>
      <c r="Y347">
        <f t="shared" si="78"/>
        <v>0.45158084217331185</v>
      </c>
      <c r="Z347">
        <v>202312</v>
      </c>
      <c r="AA347" s="18">
        <v>202303</v>
      </c>
      <c r="AB347" t="str">
        <v>Dec-2023</v>
      </c>
      <c r="AC347">
        <f t="shared" si="79"/>
        <v>9</v>
      </c>
      <c r="AD347" t="str">
        <f t="shared" si="81"/>
        <v>Late</v>
      </c>
      <c r="AE347">
        <f t="shared" si="82"/>
        <v>0</v>
      </c>
      <c r="AF347">
        <f t="shared" si="83"/>
        <v>0</v>
      </c>
    </row>
    <row r="348" spans="1:32" x14ac:dyDescent="0.25">
      <c r="A348" s="3" t="s">
        <v>352</v>
      </c>
      <c r="B348" s="4">
        <v>45498</v>
      </c>
      <c r="C348" s="4" t="str">
        <f t="shared" si="70"/>
        <v>Jul-2024</v>
      </c>
      <c r="D348" s="4" t="str">
        <f t="shared" si="71"/>
        <v>Q3</v>
      </c>
      <c r="E348" s="4">
        <v>45506</v>
      </c>
      <c r="F348" s="10">
        <f t="shared" si="72"/>
        <v>8</v>
      </c>
      <c r="G348" s="3" t="s">
        <v>640</v>
      </c>
      <c r="H348" s="3" t="s">
        <v>645</v>
      </c>
      <c r="I348" s="3" t="s">
        <v>673</v>
      </c>
      <c r="J348" t="str">
        <f t="shared" si="73"/>
        <v>Americas &gt; Canada &gt; Montreal</v>
      </c>
      <c r="K348" s="3" t="s">
        <v>696</v>
      </c>
      <c r="L348" s="3" t="s">
        <v>703</v>
      </c>
      <c r="M348" s="3" t="s">
        <v>705</v>
      </c>
      <c r="N348" s="3" t="s">
        <v>725</v>
      </c>
      <c r="O348" s="3" t="s">
        <v>1071</v>
      </c>
      <c r="P348" s="6">
        <v>986.81</v>
      </c>
      <c r="Q348" s="6">
        <v>2050.31</v>
      </c>
      <c r="R348" s="6" t="str">
        <f t="shared" si="74"/>
        <v>Medium</v>
      </c>
      <c r="S348" s="6">
        <v>0.10299999999999999</v>
      </c>
      <c r="T348" s="6">
        <v>43</v>
      </c>
      <c r="U348">
        <f t="shared" si="75"/>
        <v>79082.507010000001</v>
      </c>
      <c r="V348">
        <f t="shared" si="80"/>
        <v>711823.46069999994</v>
      </c>
      <c r="W348">
        <f t="shared" si="76"/>
        <v>42432.829999999994</v>
      </c>
      <c r="X348" s="6">
        <f t="shared" si="77"/>
        <v>36649.677010000007</v>
      </c>
      <c r="Y348">
        <f t="shared" si="78"/>
        <v>0.46343595310358138</v>
      </c>
      <c r="Z348">
        <v>202407</v>
      </c>
      <c r="AA348" s="18">
        <v>202301</v>
      </c>
      <c r="AB348" t="str">
        <v>Jul-2023</v>
      </c>
      <c r="AC348">
        <f t="shared" si="79"/>
        <v>18</v>
      </c>
      <c r="AD348" t="str">
        <f t="shared" si="81"/>
        <v>Late</v>
      </c>
      <c r="AE348">
        <f t="shared" si="82"/>
        <v>0</v>
      </c>
      <c r="AF348">
        <f t="shared" si="83"/>
        <v>0</v>
      </c>
    </row>
    <row r="349" spans="1:32" x14ac:dyDescent="0.25">
      <c r="A349" s="3" t="s">
        <v>353</v>
      </c>
      <c r="B349" s="4">
        <v>45050</v>
      </c>
      <c r="C349" s="4" t="str">
        <f t="shared" si="70"/>
        <v>May-2023</v>
      </c>
      <c r="D349" s="4" t="str">
        <f t="shared" si="71"/>
        <v>Q2</v>
      </c>
      <c r="E349" s="4">
        <v>45062</v>
      </c>
      <c r="F349" s="10">
        <f t="shared" si="72"/>
        <v>12</v>
      </c>
      <c r="G349" s="3" t="s">
        <v>638</v>
      </c>
      <c r="H349" s="3" t="s">
        <v>643</v>
      </c>
      <c r="I349" s="3" t="s">
        <v>661</v>
      </c>
      <c r="J349" t="str">
        <f t="shared" si="73"/>
        <v>Africa &gt; Nigeria &gt; Abuja</v>
      </c>
      <c r="K349" s="3" t="s">
        <v>697</v>
      </c>
      <c r="L349" s="3" t="s">
        <v>701</v>
      </c>
      <c r="M349" s="3" t="s">
        <v>705</v>
      </c>
      <c r="N349" s="3" t="s">
        <v>722</v>
      </c>
      <c r="O349" s="3" t="s">
        <v>1072</v>
      </c>
      <c r="P349" s="6">
        <v>77.739999999999995</v>
      </c>
      <c r="Q349" s="6">
        <v>147.12</v>
      </c>
      <c r="R349" s="6" t="str">
        <f t="shared" si="74"/>
        <v>Low</v>
      </c>
      <c r="S349" s="6">
        <v>0</v>
      </c>
      <c r="T349" s="6">
        <v>15</v>
      </c>
      <c r="U349">
        <f t="shared" si="75"/>
        <v>2206.8000000000002</v>
      </c>
      <c r="V349">
        <f t="shared" si="80"/>
        <v>711823.46069999994</v>
      </c>
      <c r="W349">
        <f t="shared" si="76"/>
        <v>1166.0999999999999</v>
      </c>
      <c r="X349" s="6">
        <f t="shared" si="77"/>
        <v>1040.7000000000003</v>
      </c>
      <c r="Y349">
        <f t="shared" si="78"/>
        <v>0.47158781946710177</v>
      </c>
      <c r="Z349">
        <v>202305</v>
      </c>
      <c r="AA349" s="18">
        <v>202301</v>
      </c>
      <c r="AB349" t="str">
        <v>May-2023</v>
      </c>
      <c r="AC349">
        <f t="shared" si="79"/>
        <v>4</v>
      </c>
      <c r="AD349" t="str">
        <f t="shared" si="81"/>
        <v>Late</v>
      </c>
      <c r="AE349">
        <f t="shared" si="82"/>
        <v>0</v>
      </c>
      <c r="AF349">
        <f t="shared" si="83"/>
        <v>0</v>
      </c>
    </row>
    <row r="350" spans="1:32" x14ac:dyDescent="0.25">
      <c r="A350" s="3" t="s">
        <v>354</v>
      </c>
      <c r="B350" s="4">
        <v>45281</v>
      </c>
      <c r="C350" s="4" t="str">
        <f t="shared" si="70"/>
        <v>Dec-2023</v>
      </c>
      <c r="D350" s="4" t="str">
        <f t="shared" si="71"/>
        <v>Q4</v>
      </c>
      <c r="E350" s="4">
        <v>45297</v>
      </c>
      <c r="F350" s="10">
        <f t="shared" si="72"/>
        <v>16</v>
      </c>
      <c r="G350" s="3" t="s">
        <v>638</v>
      </c>
      <c r="H350" s="3" t="s">
        <v>643</v>
      </c>
      <c r="I350" s="3" t="s">
        <v>1413</v>
      </c>
      <c r="J350" t="str">
        <f t="shared" si="73"/>
        <v>Africa &gt; Nigeria &gt; Not Provided</v>
      </c>
      <c r="K350" s="3" t="s">
        <v>693</v>
      </c>
      <c r="L350" s="3" t="s">
        <v>701</v>
      </c>
      <c r="M350" s="3" t="s">
        <v>715</v>
      </c>
      <c r="N350" s="3" t="s">
        <v>719</v>
      </c>
      <c r="O350" s="3" t="s">
        <v>1073</v>
      </c>
      <c r="P350" s="6">
        <v>932.61</v>
      </c>
      <c r="Q350" s="6">
        <v>1982.98</v>
      </c>
      <c r="R350" s="6" t="str">
        <f t="shared" si="74"/>
        <v>Medium</v>
      </c>
      <c r="S350" s="6">
        <v>0.14399999999999999</v>
      </c>
      <c r="T350" s="6">
        <v>16</v>
      </c>
      <c r="U350">
        <f t="shared" si="75"/>
        <v>27158.894079999998</v>
      </c>
      <c r="V350">
        <f t="shared" si="80"/>
        <v>711823.46069999994</v>
      </c>
      <c r="W350">
        <f t="shared" si="76"/>
        <v>14921.76</v>
      </c>
      <c r="X350" s="6">
        <f t="shared" si="77"/>
        <v>12237.134079999998</v>
      </c>
      <c r="Y350">
        <f t="shared" si="78"/>
        <v>0.45057556629345635</v>
      </c>
      <c r="Z350">
        <v>202312</v>
      </c>
      <c r="AA350" s="18">
        <v>202301</v>
      </c>
      <c r="AB350" t="str">
        <v>Dec-2023</v>
      </c>
      <c r="AC350">
        <f t="shared" si="79"/>
        <v>11</v>
      </c>
      <c r="AD350" t="str">
        <f t="shared" si="81"/>
        <v>Late</v>
      </c>
      <c r="AE350">
        <f t="shared" si="82"/>
        <v>0</v>
      </c>
      <c r="AF350">
        <f t="shared" si="83"/>
        <v>0</v>
      </c>
    </row>
    <row r="351" spans="1:32" x14ac:dyDescent="0.25">
      <c r="A351" s="3" t="s">
        <v>355</v>
      </c>
      <c r="B351" s="4">
        <v>45825</v>
      </c>
      <c r="C351" s="4" t="str">
        <f t="shared" si="70"/>
        <v>Jun-2025</v>
      </c>
      <c r="D351" s="4" t="str">
        <f t="shared" si="71"/>
        <v>Q2</v>
      </c>
      <c r="E351" s="4">
        <v>45843</v>
      </c>
      <c r="F351" s="10">
        <f t="shared" si="72"/>
        <v>18</v>
      </c>
      <c r="G351" s="3" t="s">
        <v>639</v>
      </c>
      <c r="H351" s="3" t="s">
        <v>646</v>
      </c>
      <c r="I351" s="3" t="s">
        <v>672</v>
      </c>
      <c r="J351" t="str">
        <f t="shared" si="73"/>
        <v>Asia &gt; India &gt; Delhi</v>
      </c>
      <c r="K351" s="3" t="s">
        <v>696</v>
      </c>
      <c r="L351" s="3" t="s">
        <v>701</v>
      </c>
      <c r="M351" s="3" t="s">
        <v>708</v>
      </c>
      <c r="N351" s="3" t="s">
        <v>723</v>
      </c>
      <c r="O351" s="3" t="s">
        <v>1074</v>
      </c>
      <c r="P351" s="6">
        <v>982.93</v>
      </c>
      <c r="Q351" s="6">
        <v>2299.3000000000002</v>
      </c>
      <c r="R351" s="6" t="str">
        <f t="shared" si="74"/>
        <v>Medium</v>
      </c>
      <c r="S351" s="6">
        <v>0.113</v>
      </c>
      <c r="T351" s="6">
        <v>6</v>
      </c>
      <c r="U351">
        <f t="shared" si="75"/>
        <v>12236.874600000001</v>
      </c>
      <c r="V351">
        <f t="shared" si="80"/>
        <v>684664.56661999994</v>
      </c>
      <c r="W351">
        <f t="shared" si="76"/>
        <v>5897.58</v>
      </c>
      <c r="X351" s="6">
        <f t="shared" si="77"/>
        <v>6339.2946000000011</v>
      </c>
      <c r="Y351">
        <f t="shared" si="78"/>
        <v>0.51804850562087157</v>
      </c>
      <c r="Z351">
        <v>202506</v>
      </c>
      <c r="AA351" s="18">
        <v>202301</v>
      </c>
      <c r="AB351" t="str">
        <v>Jun-2023</v>
      </c>
      <c r="AC351">
        <f t="shared" si="79"/>
        <v>29</v>
      </c>
      <c r="AD351" t="str">
        <f t="shared" si="81"/>
        <v>Late</v>
      </c>
      <c r="AE351">
        <f t="shared" si="82"/>
        <v>0</v>
      </c>
      <c r="AF351">
        <f t="shared" si="83"/>
        <v>0</v>
      </c>
    </row>
    <row r="352" spans="1:32" x14ac:dyDescent="0.25">
      <c r="A352" s="3" t="s">
        <v>356</v>
      </c>
      <c r="B352" s="4">
        <v>44980</v>
      </c>
      <c r="C352" s="4" t="str">
        <f t="shared" si="70"/>
        <v>Feb-2023</v>
      </c>
      <c r="D352" s="4" t="str">
        <f t="shared" si="71"/>
        <v>Q1</v>
      </c>
      <c r="E352" s="4">
        <v>44993</v>
      </c>
      <c r="F352" s="10">
        <f t="shared" si="72"/>
        <v>13</v>
      </c>
      <c r="G352" s="3" t="s">
        <v>641</v>
      </c>
      <c r="H352" s="3" t="s">
        <v>650</v>
      </c>
      <c r="I352" s="3" t="s">
        <v>685</v>
      </c>
      <c r="J352" t="str">
        <f t="shared" si="73"/>
        <v>Europe &gt; United Kingdom &gt; Manchester</v>
      </c>
      <c r="K352" s="3" t="s">
        <v>697</v>
      </c>
      <c r="L352" s="3" t="s">
        <v>703</v>
      </c>
      <c r="M352" s="3" t="s">
        <v>704</v>
      </c>
      <c r="N352" s="3" t="s">
        <v>720</v>
      </c>
      <c r="O352" s="3" t="s">
        <v>1075</v>
      </c>
      <c r="P352" s="6">
        <v>307.37</v>
      </c>
      <c r="Q352" s="6">
        <v>462.61</v>
      </c>
      <c r="R352" s="6" t="str">
        <f t="shared" si="74"/>
        <v>Low</v>
      </c>
      <c r="S352" s="6">
        <v>0.188</v>
      </c>
      <c r="T352" s="6">
        <v>11</v>
      </c>
      <c r="U352">
        <f t="shared" si="75"/>
        <v>4132.0325200000007</v>
      </c>
      <c r="V352">
        <f t="shared" si="80"/>
        <v>684664.56661999994</v>
      </c>
      <c r="W352">
        <f t="shared" si="76"/>
        <v>3381.07</v>
      </c>
      <c r="X352" s="6">
        <f t="shared" si="77"/>
        <v>750.9625200000005</v>
      </c>
      <c r="Y352">
        <f t="shared" si="78"/>
        <v>0.18174167709599739</v>
      </c>
      <c r="Z352">
        <v>202302</v>
      </c>
      <c r="AA352" s="18">
        <v>202301</v>
      </c>
      <c r="AB352" t="str">
        <v>Feb-2023</v>
      </c>
      <c r="AC352">
        <f t="shared" si="79"/>
        <v>1</v>
      </c>
      <c r="AD352" t="str">
        <f t="shared" si="81"/>
        <v>Late</v>
      </c>
      <c r="AE352">
        <f t="shared" si="82"/>
        <v>0</v>
      </c>
      <c r="AF352">
        <f t="shared" si="83"/>
        <v>0</v>
      </c>
    </row>
    <row r="353" spans="1:32" x14ac:dyDescent="0.25">
      <c r="A353" s="3" t="s">
        <v>357</v>
      </c>
      <c r="B353" s="4">
        <v>45262</v>
      </c>
      <c r="C353" s="4" t="str">
        <f t="shared" si="70"/>
        <v>Dec-2023</v>
      </c>
      <c r="D353" s="4" t="str">
        <f t="shared" si="71"/>
        <v>Q4</v>
      </c>
      <c r="E353" s="4">
        <v>45276</v>
      </c>
      <c r="F353" s="10">
        <f t="shared" si="72"/>
        <v>14</v>
      </c>
      <c r="G353" s="3" t="s">
        <v>641</v>
      </c>
      <c r="H353" s="3" t="s">
        <v>648</v>
      </c>
      <c r="I353" s="3" t="s">
        <v>690</v>
      </c>
      <c r="J353" t="str">
        <f t="shared" si="73"/>
        <v>Europe &gt; Germany &gt; Frankfurt</v>
      </c>
      <c r="K353" s="3" t="s">
        <v>694</v>
      </c>
      <c r="L353" s="3" t="s">
        <v>703</v>
      </c>
      <c r="M353" s="3" t="s">
        <v>717</v>
      </c>
      <c r="N353" s="3" t="s">
        <v>724</v>
      </c>
      <c r="O353" s="3" t="s">
        <v>1076</v>
      </c>
      <c r="P353" s="6">
        <v>879.08</v>
      </c>
      <c r="Q353" s="6">
        <v>1093.3900000000001</v>
      </c>
      <c r="R353" s="6" t="str">
        <f t="shared" si="74"/>
        <v>Medium</v>
      </c>
      <c r="S353" s="6">
        <v>0.113</v>
      </c>
      <c r="T353" s="6">
        <v>17</v>
      </c>
      <c r="U353">
        <f t="shared" si="75"/>
        <v>16487.22781</v>
      </c>
      <c r="V353">
        <f t="shared" si="80"/>
        <v>684664.56661999994</v>
      </c>
      <c r="W353">
        <f t="shared" si="76"/>
        <v>14944.36</v>
      </c>
      <c r="X353" s="6">
        <f t="shared" si="77"/>
        <v>1542.8678099999997</v>
      </c>
      <c r="Y353">
        <f t="shared" si="78"/>
        <v>9.3579577341935186E-2</v>
      </c>
      <c r="Z353">
        <v>202312</v>
      </c>
      <c r="AA353" s="18">
        <v>202301</v>
      </c>
      <c r="AB353" t="str">
        <v>Dec-2023</v>
      </c>
      <c r="AC353">
        <f t="shared" si="79"/>
        <v>11</v>
      </c>
      <c r="AD353" t="str">
        <f t="shared" si="81"/>
        <v>Late</v>
      </c>
      <c r="AE353">
        <f t="shared" si="82"/>
        <v>0</v>
      </c>
      <c r="AF353">
        <f t="shared" si="83"/>
        <v>0</v>
      </c>
    </row>
    <row r="354" spans="1:32" x14ac:dyDescent="0.25">
      <c r="A354" s="3" t="s">
        <v>358</v>
      </c>
      <c r="B354" s="4">
        <v>45121</v>
      </c>
      <c r="C354" s="4" t="str">
        <f t="shared" si="70"/>
        <v>Jul-2023</v>
      </c>
      <c r="D354" s="4" t="str">
        <f t="shared" si="71"/>
        <v>Q3</v>
      </c>
      <c r="E354" s="4">
        <v>45121</v>
      </c>
      <c r="F354" s="10">
        <f t="shared" si="72"/>
        <v>0</v>
      </c>
      <c r="G354" s="3" t="s">
        <v>638</v>
      </c>
      <c r="H354" s="3" t="s">
        <v>643</v>
      </c>
      <c r="I354" s="3" t="s">
        <v>657</v>
      </c>
      <c r="J354" t="str">
        <f t="shared" si="73"/>
        <v>Africa &gt; Nigeria &gt; Lagos</v>
      </c>
      <c r="K354" s="3" t="s">
        <v>694</v>
      </c>
      <c r="L354" s="3" t="s">
        <v>699</v>
      </c>
      <c r="M354" s="3" t="s">
        <v>706</v>
      </c>
      <c r="N354" s="3" t="s">
        <v>725</v>
      </c>
      <c r="O354" s="3" t="s">
        <v>1077</v>
      </c>
      <c r="P354" s="6">
        <v>956.38</v>
      </c>
      <c r="Q354" s="6">
        <v>1454.22</v>
      </c>
      <c r="R354" s="6" t="str">
        <f t="shared" si="74"/>
        <v>Medium</v>
      </c>
      <c r="S354" s="6">
        <v>3.9E-2</v>
      </c>
      <c r="T354" s="6">
        <v>19</v>
      </c>
      <c r="U354">
        <f t="shared" si="75"/>
        <v>26552.60298</v>
      </c>
      <c r="V354">
        <f t="shared" si="80"/>
        <v>684664.56661999994</v>
      </c>
      <c r="W354">
        <f t="shared" si="76"/>
        <v>18171.22</v>
      </c>
      <c r="X354" s="6">
        <f t="shared" si="77"/>
        <v>8381.3829799999985</v>
      </c>
      <c r="Y354">
        <f t="shared" si="78"/>
        <v>0.31565202802576603</v>
      </c>
      <c r="Z354">
        <v>202307</v>
      </c>
      <c r="AA354" s="18">
        <v>202301</v>
      </c>
      <c r="AB354" t="str">
        <v>Jul-2023</v>
      </c>
      <c r="AC354">
        <f t="shared" si="79"/>
        <v>6</v>
      </c>
      <c r="AD354" t="str">
        <f t="shared" si="81"/>
        <v>On Time</v>
      </c>
      <c r="AE354">
        <f t="shared" si="82"/>
        <v>1</v>
      </c>
      <c r="AF354">
        <f t="shared" si="83"/>
        <v>0</v>
      </c>
    </row>
    <row r="355" spans="1:32" x14ac:dyDescent="0.25">
      <c r="A355" s="3" t="s">
        <v>359</v>
      </c>
      <c r="B355" s="4">
        <v>45512</v>
      </c>
      <c r="C355" s="4" t="str">
        <f t="shared" si="70"/>
        <v>Aug-2024</v>
      </c>
      <c r="D355" s="4" t="str">
        <f t="shared" si="71"/>
        <v>Q3</v>
      </c>
      <c r="E355" s="4">
        <v>45524</v>
      </c>
      <c r="F355" s="10">
        <f t="shared" si="72"/>
        <v>12</v>
      </c>
      <c r="G355" s="3" t="s">
        <v>639</v>
      </c>
      <c r="H355" s="3" t="s">
        <v>644</v>
      </c>
      <c r="I355" s="3" t="s">
        <v>658</v>
      </c>
      <c r="J355" t="str">
        <f t="shared" si="73"/>
        <v>Asia &gt; Japan &gt; Osaka</v>
      </c>
      <c r="K355" s="3" t="s">
        <v>697</v>
      </c>
      <c r="L355" s="3" t="s">
        <v>699</v>
      </c>
      <c r="M355" s="3" t="s">
        <v>714</v>
      </c>
      <c r="N355" s="3" t="s">
        <v>721</v>
      </c>
      <c r="O355" s="3" t="s">
        <v>1078</v>
      </c>
      <c r="P355" s="6">
        <v>1233.3599999999999</v>
      </c>
      <c r="Q355" s="6">
        <v>2120.4</v>
      </c>
      <c r="R355" s="6" t="str">
        <f t="shared" si="74"/>
        <v>High</v>
      </c>
      <c r="S355" s="6">
        <v>0.17899999999999999</v>
      </c>
      <c r="T355" s="6">
        <v>20</v>
      </c>
      <c r="U355">
        <f t="shared" si="75"/>
        <v>34816.968000000001</v>
      </c>
      <c r="V355">
        <f t="shared" si="80"/>
        <v>684664.56661999994</v>
      </c>
      <c r="W355">
        <f t="shared" si="76"/>
        <v>24667.199999999997</v>
      </c>
      <c r="X355" s="6">
        <f t="shared" si="77"/>
        <v>10149.768000000004</v>
      </c>
      <c r="Y355">
        <f t="shared" si="78"/>
        <v>0.29151785991244278</v>
      </c>
      <c r="Z355">
        <v>202408</v>
      </c>
      <c r="AA355" s="18">
        <v>202303</v>
      </c>
      <c r="AB355" t="str">
        <v>Aug-2023</v>
      </c>
      <c r="AC355">
        <f t="shared" si="79"/>
        <v>17</v>
      </c>
      <c r="AD355" t="str">
        <f t="shared" si="81"/>
        <v>Late</v>
      </c>
      <c r="AE355">
        <f t="shared" si="82"/>
        <v>0</v>
      </c>
      <c r="AF355">
        <f t="shared" si="83"/>
        <v>0</v>
      </c>
    </row>
    <row r="356" spans="1:32" x14ac:dyDescent="0.25">
      <c r="A356" s="3" t="s">
        <v>360</v>
      </c>
      <c r="B356" s="4">
        <v>45603</v>
      </c>
      <c r="C356" s="4" t="str">
        <f t="shared" si="70"/>
        <v>Nov-2024</v>
      </c>
      <c r="D356" s="4" t="str">
        <f t="shared" si="71"/>
        <v>Q4</v>
      </c>
      <c r="E356" s="4">
        <v>45622</v>
      </c>
      <c r="F356" s="10">
        <f t="shared" si="72"/>
        <v>19</v>
      </c>
      <c r="G356" s="3" t="s">
        <v>640</v>
      </c>
      <c r="H356" s="3" t="s">
        <v>647</v>
      </c>
      <c r="I356" s="3" t="s">
        <v>684</v>
      </c>
      <c r="J356" t="str">
        <f t="shared" si="73"/>
        <v>Americas &gt; Brazil &gt; Rio de Janeiro</v>
      </c>
      <c r="K356" s="3" t="s">
        <v>695</v>
      </c>
      <c r="L356" s="3" t="s">
        <v>702</v>
      </c>
      <c r="M356" s="3" t="s">
        <v>705</v>
      </c>
      <c r="N356" s="3" t="s">
        <v>720</v>
      </c>
      <c r="O356" s="3" t="s">
        <v>1079</v>
      </c>
      <c r="P356" s="6">
        <v>55.35</v>
      </c>
      <c r="Q356" s="6">
        <v>128.68</v>
      </c>
      <c r="R356" s="6" t="str">
        <f t="shared" si="74"/>
        <v>Low</v>
      </c>
      <c r="S356" s="6">
        <v>0.128</v>
      </c>
      <c r="T356" s="6">
        <v>10</v>
      </c>
      <c r="U356">
        <f t="shared" si="75"/>
        <v>1122.0896000000002</v>
      </c>
      <c r="V356">
        <f t="shared" si="80"/>
        <v>684664.56661999994</v>
      </c>
      <c r="W356">
        <f t="shared" si="76"/>
        <v>553.5</v>
      </c>
      <c r="X356" s="6">
        <f t="shared" si="77"/>
        <v>568.58960000000025</v>
      </c>
      <c r="Y356">
        <f t="shared" si="78"/>
        <v>0.50672388372550647</v>
      </c>
      <c r="Z356">
        <v>202411</v>
      </c>
      <c r="AA356" s="18">
        <v>202301</v>
      </c>
      <c r="AB356" t="str">
        <v>Nov-2023</v>
      </c>
      <c r="AC356">
        <f t="shared" si="79"/>
        <v>22</v>
      </c>
      <c r="AD356" t="str">
        <f t="shared" si="81"/>
        <v>Late</v>
      </c>
      <c r="AE356">
        <f t="shared" si="82"/>
        <v>0</v>
      </c>
      <c r="AF356">
        <f t="shared" si="83"/>
        <v>0</v>
      </c>
    </row>
    <row r="357" spans="1:32" x14ac:dyDescent="0.25">
      <c r="A357" s="3" t="s">
        <v>361</v>
      </c>
      <c r="B357" s="4">
        <v>45292</v>
      </c>
      <c r="C357" s="4" t="str">
        <f t="shared" si="70"/>
        <v>Jan-2024</v>
      </c>
      <c r="D357" s="4" t="str">
        <f t="shared" si="71"/>
        <v>Q1</v>
      </c>
      <c r="E357" s="4">
        <v>45318</v>
      </c>
      <c r="F357" s="10">
        <f t="shared" si="72"/>
        <v>26</v>
      </c>
      <c r="G357" s="3" t="s">
        <v>641</v>
      </c>
      <c r="H357" s="3" t="s">
        <v>650</v>
      </c>
      <c r="I357" s="3" t="s">
        <v>685</v>
      </c>
      <c r="J357" t="str">
        <f t="shared" si="73"/>
        <v>Europe &gt; United Kingdom &gt; Manchester</v>
      </c>
      <c r="K357" s="3" t="s">
        <v>694</v>
      </c>
      <c r="L357" s="3" t="s">
        <v>702</v>
      </c>
      <c r="M357" s="3" t="s">
        <v>718</v>
      </c>
      <c r="N357" s="3" t="s">
        <v>725</v>
      </c>
      <c r="O357" s="3" t="s">
        <v>1080</v>
      </c>
      <c r="P357" s="6">
        <v>657.45</v>
      </c>
      <c r="Q357" s="6">
        <v>1325.96</v>
      </c>
      <c r="R357" s="6" t="str">
        <f t="shared" si="74"/>
        <v>Medium</v>
      </c>
      <c r="S357" s="6">
        <v>0.16700000000000001</v>
      </c>
      <c r="T357" s="6">
        <v>21</v>
      </c>
      <c r="U357">
        <f t="shared" si="75"/>
        <v>23195.01828</v>
      </c>
      <c r="V357">
        <f t="shared" si="80"/>
        <v>684664.56661999994</v>
      </c>
      <c r="W357">
        <f t="shared" si="76"/>
        <v>13806.45</v>
      </c>
      <c r="X357" s="6">
        <f t="shared" si="77"/>
        <v>9388.5682799999995</v>
      </c>
      <c r="Y357">
        <f t="shared" si="78"/>
        <v>0.40476658249048808</v>
      </c>
      <c r="Z357">
        <v>202401</v>
      </c>
      <c r="AA357" s="18">
        <v>202301</v>
      </c>
      <c r="AB357" t="str">
        <v>Jan-2023</v>
      </c>
      <c r="AC357">
        <f t="shared" si="79"/>
        <v>12</v>
      </c>
      <c r="AD357" t="str">
        <f t="shared" si="81"/>
        <v>Late</v>
      </c>
      <c r="AE357">
        <f t="shared" si="82"/>
        <v>0</v>
      </c>
      <c r="AF357">
        <f t="shared" si="83"/>
        <v>0</v>
      </c>
    </row>
    <row r="358" spans="1:32" x14ac:dyDescent="0.25">
      <c r="A358" s="3" t="s">
        <v>362</v>
      </c>
      <c r="B358" s="4">
        <v>45883</v>
      </c>
      <c r="C358" s="4" t="str">
        <f t="shared" si="70"/>
        <v>Aug-2025</v>
      </c>
      <c r="D358" s="4" t="str">
        <f t="shared" si="71"/>
        <v>Q3</v>
      </c>
      <c r="E358" s="4">
        <v>45911</v>
      </c>
      <c r="F358" s="10">
        <f t="shared" si="72"/>
        <v>28</v>
      </c>
      <c r="G358" s="3" t="s">
        <v>640</v>
      </c>
      <c r="H358" s="3" t="s">
        <v>647</v>
      </c>
      <c r="I358" s="3" t="s">
        <v>662</v>
      </c>
      <c r="J358" t="str">
        <f t="shared" si="73"/>
        <v>Americas &gt; Brazil &gt; São Paulo</v>
      </c>
      <c r="K358" s="3" t="s">
        <v>695</v>
      </c>
      <c r="L358" s="3" t="s">
        <v>703</v>
      </c>
      <c r="M358" s="3" t="s">
        <v>713</v>
      </c>
      <c r="N358" s="3" t="s">
        <v>720</v>
      </c>
      <c r="O358" s="3" t="s">
        <v>1081</v>
      </c>
      <c r="P358" s="6">
        <v>1203.02</v>
      </c>
      <c r="Q358" s="6">
        <v>2439.33</v>
      </c>
      <c r="R358" s="6" t="str">
        <f t="shared" si="74"/>
        <v>High</v>
      </c>
      <c r="S358" s="6">
        <v>0</v>
      </c>
      <c r="T358" s="6">
        <v>18</v>
      </c>
      <c r="U358">
        <f t="shared" si="75"/>
        <v>43907.94</v>
      </c>
      <c r="V358">
        <f t="shared" si="80"/>
        <v>684664.56661999994</v>
      </c>
      <c r="W358">
        <f t="shared" si="76"/>
        <v>21654.36</v>
      </c>
      <c r="X358" s="6">
        <f t="shared" si="77"/>
        <v>22253.58</v>
      </c>
      <c r="Y358">
        <f t="shared" si="78"/>
        <v>0.50682359500354612</v>
      </c>
      <c r="Z358">
        <v>202508</v>
      </c>
      <c r="AA358" s="18">
        <v>202301</v>
      </c>
      <c r="AB358" t="str">
        <v>Aug-2023</v>
      </c>
      <c r="AC358">
        <f t="shared" si="79"/>
        <v>31</v>
      </c>
      <c r="AD358" t="str">
        <f t="shared" si="81"/>
        <v>Late</v>
      </c>
      <c r="AE358">
        <f t="shared" si="82"/>
        <v>0</v>
      </c>
      <c r="AF358">
        <f t="shared" si="83"/>
        <v>0</v>
      </c>
    </row>
    <row r="359" spans="1:32" x14ac:dyDescent="0.25">
      <c r="A359" s="3" t="s">
        <v>363</v>
      </c>
      <c r="B359" s="4">
        <v>45385</v>
      </c>
      <c r="C359" s="4" t="str">
        <f t="shared" si="70"/>
        <v>Apr-2024</v>
      </c>
      <c r="D359" s="4" t="str">
        <f t="shared" si="71"/>
        <v>Q2</v>
      </c>
      <c r="E359" s="4">
        <v>45403</v>
      </c>
      <c r="F359" s="10">
        <f t="shared" si="72"/>
        <v>18</v>
      </c>
      <c r="G359" s="3" t="s">
        <v>640</v>
      </c>
      <c r="H359" s="3" t="s">
        <v>647</v>
      </c>
      <c r="I359" s="3" t="s">
        <v>664</v>
      </c>
      <c r="J359" t="str">
        <f t="shared" si="73"/>
        <v>Americas &gt; Brazil &gt; Brasília</v>
      </c>
      <c r="K359" s="3" t="s">
        <v>697</v>
      </c>
      <c r="L359" s="3" t="s">
        <v>702</v>
      </c>
      <c r="M359" s="3" t="s">
        <v>709</v>
      </c>
      <c r="N359" s="3" t="s">
        <v>721</v>
      </c>
      <c r="O359" s="3" t="s">
        <v>1082</v>
      </c>
      <c r="P359" s="6">
        <v>1176.69</v>
      </c>
      <c r="Q359" s="6">
        <v>2201.54</v>
      </c>
      <c r="R359" s="6" t="str">
        <f t="shared" si="74"/>
        <v>High</v>
      </c>
      <c r="S359" s="6">
        <v>0.17</v>
      </c>
      <c r="T359" s="6">
        <v>27</v>
      </c>
      <c r="U359">
        <f t="shared" si="75"/>
        <v>49336.511399999996</v>
      </c>
      <c r="V359">
        <f t="shared" si="80"/>
        <v>684664.56661999994</v>
      </c>
      <c r="W359">
        <f t="shared" si="76"/>
        <v>31770.63</v>
      </c>
      <c r="X359" s="6">
        <f t="shared" si="77"/>
        <v>17565.881399999995</v>
      </c>
      <c r="Y359">
        <f t="shared" si="78"/>
        <v>0.35604222717701106</v>
      </c>
      <c r="Z359">
        <v>202404</v>
      </c>
      <c r="AA359" s="18">
        <v>202301</v>
      </c>
      <c r="AB359" t="str">
        <v>Apr-2023</v>
      </c>
      <c r="AC359">
        <f t="shared" si="79"/>
        <v>15</v>
      </c>
      <c r="AD359" t="str">
        <f t="shared" si="81"/>
        <v>Late</v>
      </c>
      <c r="AE359">
        <f t="shared" si="82"/>
        <v>0</v>
      </c>
      <c r="AF359">
        <f t="shared" si="83"/>
        <v>0</v>
      </c>
    </row>
    <row r="360" spans="1:32" x14ac:dyDescent="0.25">
      <c r="A360" s="3" t="s">
        <v>364</v>
      </c>
      <c r="B360" s="4">
        <v>45621</v>
      </c>
      <c r="C360" s="4" t="str">
        <f t="shared" si="70"/>
        <v>Nov-2024</v>
      </c>
      <c r="D360" s="4" t="str">
        <f t="shared" si="71"/>
        <v>Q4</v>
      </c>
      <c r="E360" s="4">
        <v>45633</v>
      </c>
      <c r="F360" s="10">
        <f t="shared" si="72"/>
        <v>12</v>
      </c>
      <c r="G360" s="3" t="s">
        <v>639</v>
      </c>
      <c r="H360" s="3" t="s">
        <v>651</v>
      </c>
      <c r="I360" s="3" t="s">
        <v>677</v>
      </c>
      <c r="J360" t="str">
        <f t="shared" si="73"/>
        <v>Asia &gt; China &gt; Shanghai</v>
      </c>
      <c r="K360" s="3" t="s">
        <v>693</v>
      </c>
      <c r="L360" s="3" t="s">
        <v>702</v>
      </c>
      <c r="M360" s="3" t="s">
        <v>712</v>
      </c>
      <c r="N360" s="3" t="s">
        <v>725</v>
      </c>
      <c r="O360" s="3" t="s">
        <v>1083</v>
      </c>
      <c r="P360" s="6">
        <v>769.9</v>
      </c>
      <c r="Q360" s="6">
        <v>814.36</v>
      </c>
      <c r="R360" s="6" t="str">
        <f t="shared" si="74"/>
        <v>Medium</v>
      </c>
      <c r="S360" s="6">
        <v>0</v>
      </c>
      <c r="T360" s="6">
        <v>5</v>
      </c>
      <c r="U360">
        <f t="shared" si="75"/>
        <v>4071.8</v>
      </c>
      <c r="V360">
        <f t="shared" si="80"/>
        <v>684664.56661999994</v>
      </c>
      <c r="W360">
        <f t="shared" si="76"/>
        <v>3849.5</v>
      </c>
      <c r="X360" s="6">
        <f t="shared" si="77"/>
        <v>222.30000000000018</v>
      </c>
      <c r="Y360">
        <f t="shared" si="78"/>
        <v>5.4595019401738831E-2</v>
      </c>
      <c r="Z360">
        <v>202411</v>
      </c>
      <c r="AA360" s="18">
        <v>202301</v>
      </c>
      <c r="AB360" t="str">
        <v>Nov-2023</v>
      </c>
      <c r="AC360">
        <f t="shared" si="79"/>
        <v>22</v>
      </c>
      <c r="AD360" t="str">
        <f t="shared" si="81"/>
        <v>Late</v>
      </c>
      <c r="AE360">
        <f t="shared" si="82"/>
        <v>0</v>
      </c>
      <c r="AF360">
        <f t="shared" si="83"/>
        <v>0</v>
      </c>
    </row>
    <row r="361" spans="1:32" x14ac:dyDescent="0.25">
      <c r="A361" s="3" t="s">
        <v>365</v>
      </c>
      <c r="B361" s="4">
        <v>45309</v>
      </c>
      <c r="C361" s="4" t="str">
        <f t="shared" si="70"/>
        <v>Jan-2024</v>
      </c>
      <c r="D361" s="4" t="str">
        <f t="shared" si="71"/>
        <v>Q1</v>
      </c>
      <c r="E361" s="4">
        <v>45325</v>
      </c>
      <c r="F361" s="10">
        <f t="shared" si="72"/>
        <v>16</v>
      </c>
      <c r="G361" s="3" t="s">
        <v>638</v>
      </c>
      <c r="H361" s="3" t="s">
        <v>653</v>
      </c>
      <c r="I361" s="3" t="s">
        <v>687</v>
      </c>
      <c r="J361" t="str">
        <f t="shared" si="73"/>
        <v>Africa &gt; South Africa &gt; Cape Town</v>
      </c>
      <c r="K361" s="3" t="s">
        <v>695</v>
      </c>
      <c r="L361" s="3" t="s">
        <v>702</v>
      </c>
      <c r="M361" s="3" t="s">
        <v>708</v>
      </c>
      <c r="N361" s="3" t="s">
        <v>720</v>
      </c>
      <c r="O361" s="3" t="s">
        <v>1084</v>
      </c>
      <c r="P361" s="6">
        <v>666.23</v>
      </c>
      <c r="Q361" s="6">
        <v>1382.91</v>
      </c>
      <c r="R361" s="6" t="str">
        <f t="shared" si="74"/>
        <v>Medium</v>
      </c>
      <c r="S361" s="6">
        <v>0.17599999999999999</v>
      </c>
      <c r="T361" s="6">
        <v>13</v>
      </c>
      <c r="U361">
        <f t="shared" si="75"/>
        <v>14813.731920000002</v>
      </c>
      <c r="V361">
        <f t="shared" si="80"/>
        <v>684664.56661999994</v>
      </c>
      <c r="W361">
        <f t="shared" si="76"/>
        <v>8660.99</v>
      </c>
      <c r="X361" s="6">
        <f t="shared" si="77"/>
        <v>6152.7419200000022</v>
      </c>
      <c r="Y361">
        <f t="shared" si="78"/>
        <v>0.41534043907553048</v>
      </c>
      <c r="Z361">
        <v>202401</v>
      </c>
      <c r="AA361" s="18">
        <v>202301</v>
      </c>
      <c r="AB361" t="str">
        <v>Jan-2023</v>
      </c>
      <c r="AC361">
        <f t="shared" si="79"/>
        <v>12</v>
      </c>
      <c r="AD361" t="str">
        <f t="shared" si="81"/>
        <v>Late</v>
      </c>
      <c r="AE361">
        <f t="shared" si="82"/>
        <v>0</v>
      </c>
      <c r="AF361">
        <f t="shared" si="83"/>
        <v>0</v>
      </c>
    </row>
    <row r="362" spans="1:32" x14ac:dyDescent="0.25">
      <c r="A362" s="3" t="s">
        <v>366</v>
      </c>
      <c r="B362" s="4">
        <v>45466</v>
      </c>
      <c r="C362" s="4" t="str">
        <f t="shared" si="70"/>
        <v>Jun-2024</v>
      </c>
      <c r="D362" s="4" t="str">
        <f t="shared" si="71"/>
        <v>Q2</v>
      </c>
      <c r="E362" s="4">
        <v>45468</v>
      </c>
      <c r="F362" s="10">
        <f t="shared" si="72"/>
        <v>2</v>
      </c>
      <c r="G362" s="3" t="s">
        <v>641</v>
      </c>
      <c r="H362" s="3" t="s">
        <v>650</v>
      </c>
      <c r="I362" s="3" t="s">
        <v>666</v>
      </c>
      <c r="J362" t="str">
        <f t="shared" si="73"/>
        <v>Europe &gt; United Kingdom &gt; Birmingham</v>
      </c>
      <c r="K362" s="3" t="s">
        <v>697</v>
      </c>
      <c r="L362" s="3" t="s">
        <v>701</v>
      </c>
      <c r="M362" s="3" t="s">
        <v>708</v>
      </c>
      <c r="N362" s="3" t="s">
        <v>725</v>
      </c>
      <c r="O362" s="3" t="s">
        <v>1085</v>
      </c>
      <c r="P362" s="6">
        <v>951.44</v>
      </c>
      <c r="Q362" s="6">
        <v>1646.43</v>
      </c>
      <c r="R362" s="6" t="str">
        <f t="shared" si="74"/>
        <v>Medium</v>
      </c>
      <c r="S362" s="6">
        <v>0.11</v>
      </c>
      <c r="T362" s="6">
        <v>24</v>
      </c>
      <c r="U362">
        <f t="shared" si="75"/>
        <v>35167.7448</v>
      </c>
      <c r="V362">
        <f t="shared" si="80"/>
        <v>684664.56661999994</v>
      </c>
      <c r="W362">
        <f t="shared" si="76"/>
        <v>22834.560000000001</v>
      </c>
      <c r="X362" s="6">
        <f t="shared" si="77"/>
        <v>12333.184799999999</v>
      </c>
      <c r="Y362">
        <f t="shared" si="78"/>
        <v>0.35069592520473475</v>
      </c>
      <c r="Z362">
        <v>202406</v>
      </c>
      <c r="AA362" s="18">
        <v>202301</v>
      </c>
      <c r="AB362" t="str">
        <v>Jun-2023</v>
      </c>
      <c r="AC362">
        <f t="shared" si="79"/>
        <v>17</v>
      </c>
      <c r="AD362" t="str">
        <f t="shared" si="81"/>
        <v>On Time</v>
      </c>
      <c r="AE362">
        <f t="shared" si="82"/>
        <v>1</v>
      </c>
      <c r="AF362">
        <f t="shared" si="83"/>
        <v>0</v>
      </c>
    </row>
    <row r="363" spans="1:32" x14ac:dyDescent="0.25">
      <c r="A363" s="3" t="s">
        <v>367</v>
      </c>
      <c r="B363" s="4">
        <v>45833</v>
      </c>
      <c r="C363" s="4" t="str">
        <f t="shared" si="70"/>
        <v>Jun-2025</v>
      </c>
      <c r="D363" s="4" t="str">
        <f t="shared" si="71"/>
        <v>Q2</v>
      </c>
      <c r="E363" s="4">
        <v>45848</v>
      </c>
      <c r="F363" s="10">
        <f t="shared" si="72"/>
        <v>15</v>
      </c>
      <c r="G363" s="3" t="s">
        <v>641</v>
      </c>
      <c r="H363" s="3" t="s">
        <v>650</v>
      </c>
      <c r="I363" s="3" t="s">
        <v>666</v>
      </c>
      <c r="J363" t="str">
        <f t="shared" si="73"/>
        <v>Europe &gt; United Kingdom &gt; Birmingham</v>
      </c>
      <c r="K363" s="3" t="s">
        <v>695</v>
      </c>
      <c r="L363" s="3" t="s">
        <v>701</v>
      </c>
      <c r="M363" s="3" t="s">
        <v>718</v>
      </c>
      <c r="N363" s="3" t="s">
        <v>722</v>
      </c>
      <c r="O363" s="3" t="s">
        <v>1086</v>
      </c>
      <c r="P363" s="6">
        <v>546.83000000000004</v>
      </c>
      <c r="Q363" s="6">
        <v>400.84</v>
      </c>
      <c r="R363" s="6" t="str">
        <f t="shared" si="74"/>
        <v>Medium</v>
      </c>
      <c r="S363" s="6">
        <v>7.8E-2</v>
      </c>
      <c r="T363" s="6">
        <v>13</v>
      </c>
      <c r="U363">
        <f t="shared" si="75"/>
        <v>4804.4682400000002</v>
      </c>
      <c r="V363">
        <f t="shared" si="80"/>
        <v>684664.56661999994</v>
      </c>
      <c r="W363">
        <f t="shared" si="76"/>
        <v>7108.7900000000009</v>
      </c>
      <c r="X363" s="6">
        <f t="shared" si="77"/>
        <v>-2304.3217600000007</v>
      </c>
      <c r="Y363">
        <f t="shared" si="78"/>
        <v>-0.47962056254533608</v>
      </c>
      <c r="Z363">
        <v>202506</v>
      </c>
      <c r="AA363" s="18">
        <v>202301</v>
      </c>
      <c r="AB363" t="str">
        <v>Jun-2023</v>
      </c>
      <c r="AC363">
        <f t="shared" si="79"/>
        <v>29</v>
      </c>
      <c r="AD363" t="str">
        <f t="shared" si="81"/>
        <v>Late</v>
      </c>
      <c r="AE363">
        <f t="shared" si="82"/>
        <v>0</v>
      </c>
      <c r="AF363">
        <f t="shared" si="83"/>
        <v>0</v>
      </c>
    </row>
    <row r="364" spans="1:32" x14ac:dyDescent="0.25">
      <c r="A364" s="3" t="s">
        <v>368</v>
      </c>
      <c r="B364" s="4">
        <v>45108</v>
      </c>
      <c r="C364" s="4" t="str">
        <f t="shared" si="70"/>
        <v>Jul-2023</v>
      </c>
      <c r="D364" s="4" t="str">
        <f t="shared" si="71"/>
        <v>Q3</v>
      </c>
      <c r="E364" s="4">
        <v>45115</v>
      </c>
      <c r="F364" s="10">
        <f t="shared" si="72"/>
        <v>7</v>
      </c>
      <c r="G364" s="3" t="s">
        <v>638</v>
      </c>
      <c r="H364" s="3" t="s">
        <v>643</v>
      </c>
      <c r="I364" s="3" t="s">
        <v>655</v>
      </c>
      <c r="J364" t="str">
        <f t="shared" si="73"/>
        <v>Africa &gt; Nigeria &gt; Port Harcourt</v>
      </c>
      <c r="K364" s="3" t="s">
        <v>693</v>
      </c>
      <c r="L364" s="3" t="s">
        <v>699</v>
      </c>
      <c r="M364" s="3" t="s">
        <v>712</v>
      </c>
      <c r="N364" s="3" t="s">
        <v>723</v>
      </c>
      <c r="O364" s="3" t="s">
        <v>1087</v>
      </c>
      <c r="P364" s="6">
        <v>834.26</v>
      </c>
      <c r="Q364" s="6">
        <v>1780.56</v>
      </c>
      <c r="R364" s="6" t="str">
        <f t="shared" si="74"/>
        <v>Medium</v>
      </c>
      <c r="S364" s="6">
        <v>1.4E-2</v>
      </c>
      <c r="T364" s="6">
        <v>47</v>
      </c>
      <c r="U364">
        <f t="shared" si="75"/>
        <v>82514.711519999997</v>
      </c>
      <c r="V364">
        <f t="shared" si="80"/>
        <v>684664.56661999994</v>
      </c>
      <c r="W364">
        <f t="shared" si="76"/>
        <v>39210.22</v>
      </c>
      <c r="X364" s="6">
        <f t="shared" si="77"/>
        <v>43304.491519999996</v>
      </c>
      <c r="Y364">
        <f t="shared" si="78"/>
        <v>0.5248093427497933</v>
      </c>
      <c r="Z364">
        <v>202307</v>
      </c>
      <c r="AA364" s="18">
        <v>202301</v>
      </c>
      <c r="AB364" t="str">
        <v>Jul-2023</v>
      </c>
      <c r="AC364">
        <f t="shared" si="79"/>
        <v>6</v>
      </c>
      <c r="AD364" t="str">
        <f t="shared" si="81"/>
        <v>On Time</v>
      </c>
      <c r="AE364">
        <f t="shared" si="82"/>
        <v>1</v>
      </c>
      <c r="AF364">
        <f t="shared" si="83"/>
        <v>0</v>
      </c>
    </row>
    <row r="365" spans="1:32" x14ac:dyDescent="0.25">
      <c r="A365" s="3" t="s">
        <v>369</v>
      </c>
      <c r="B365" s="4">
        <v>45360</v>
      </c>
      <c r="C365" s="4" t="str">
        <f t="shared" si="70"/>
        <v>Mar-2024</v>
      </c>
      <c r="D365" s="4" t="str">
        <f t="shared" si="71"/>
        <v>Q1</v>
      </c>
      <c r="E365" s="4">
        <v>45377</v>
      </c>
      <c r="F365" s="10">
        <f t="shared" si="72"/>
        <v>17</v>
      </c>
      <c r="G365" s="3" t="s">
        <v>639</v>
      </c>
      <c r="H365" s="3" t="s">
        <v>651</v>
      </c>
      <c r="I365" s="3" t="s">
        <v>668</v>
      </c>
      <c r="J365" t="str">
        <f t="shared" si="73"/>
        <v>Asia &gt; China &gt; Shenzhen</v>
      </c>
      <c r="K365" s="3" t="s">
        <v>698</v>
      </c>
      <c r="L365" s="3" t="s">
        <v>700</v>
      </c>
      <c r="M365" s="3" t="s">
        <v>715</v>
      </c>
      <c r="N365" s="3" t="s">
        <v>724</v>
      </c>
      <c r="O365" s="3" t="s">
        <v>1088</v>
      </c>
      <c r="P365" s="6">
        <v>1029.67</v>
      </c>
      <c r="Q365" s="6">
        <v>1118.43</v>
      </c>
      <c r="R365" s="6" t="str">
        <f t="shared" si="74"/>
        <v>High</v>
      </c>
      <c r="S365" s="6">
        <v>0.27200000000000002</v>
      </c>
      <c r="T365" s="6">
        <v>9</v>
      </c>
      <c r="U365">
        <f t="shared" si="75"/>
        <v>7327.9533600000004</v>
      </c>
      <c r="V365">
        <f t="shared" si="80"/>
        <v>684664.56661999994</v>
      </c>
      <c r="W365">
        <f t="shared" si="76"/>
        <v>9267.0300000000007</v>
      </c>
      <c r="X365" s="6">
        <f t="shared" si="77"/>
        <v>-1939.0766400000002</v>
      </c>
      <c r="Y365">
        <f t="shared" si="78"/>
        <v>-0.26461367106736061</v>
      </c>
      <c r="Z365">
        <v>202403</v>
      </c>
      <c r="AA365" s="18">
        <v>202301</v>
      </c>
      <c r="AB365" t="str">
        <v>Mar-2023</v>
      </c>
      <c r="AC365">
        <f t="shared" si="79"/>
        <v>14</v>
      </c>
      <c r="AD365" t="str">
        <f t="shared" si="81"/>
        <v>Late</v>
      </c>
      <c r="AE365">
        <f t="shared" si="82"/>
        <v>0</v>
      </c>
      <c r="AF365">
        <f t="shared" si="83"/>
        <v>1</v>
      </c>
    </row>
    <row r="366" spans="1:32" x14ac:dyDescent="0.25">
      <c r="A366" s="3" t="s">
        <v>370</v>
      </c>
      <c r="B366" s="4">
        <v>45082</v>
      </c>
      <c r="C366" s="4" t="str">
        <f t="shared" si="70"/>
        <v>Jun-2023</v>
      </c>
      <c r="D366" s="4" t="str">
        <f t="shared" si="71"/>
        <v>Q2</v>
      </c>
      <c r="E366" s="4">
        <v>45105</v>
      </c>
      <c r="F366" s="10">
        <f t="shared" si="72"/>
        <v>23</v>
      </c>
      <c r="G366" s="3" t="s">
        <v>641</v>
      </c>
      <c r="H366" s="3" t="s">
        <v>650</v>
      </c>
      <c r="I366" s="3" t="s">
        <v>666</v>
      </c>
      <c r="J366" t="str">
        <f t="shared" si="73"/>
        <v>Europe &gt; United Kingdom &gt; Birmingham</v>
      </c>
      <c r="K366" s="3" t="s">
        <v>693</v>
      </c>
      <c r="L366" s="3" t="s">
        <v>703</v>
      </c>
      <c r="M366" s="3" t="s">
        <v>715</v>
      </c>
      <c r="N366" s="3" t="s">
        <v>720</v>
      </c>
      <c r="O366" s="3" t="s">
        <v>1089</v>
      </c>
      <c r="P366" s="6">
        <v>605.82000000000005</v>
      </c>
      <c r="Q366" s="6">
        <v>771.12</v>
      </c>
      <c r="R366" s="6" t="str">
        <f t="shared" si="74"/>
        <v>Medium</v>
      </c>
      <c r="S366" s="6">
        <v>0.13200000000000001</v>
      </c>
      <c r="T366" s="6">
        <v>19</v>
      </c>
      <c r="U366">
        <f t="shared" si="75"/>
        <v>12717.311040000001</v>
      </c>
      <c r="V366">
        <f t="shared" si="80"/>
        <v>684664.56661999994</v>
      </c>
      <c r="W366">
        <f t="shared" si="76"/>
        <v>11510.580000000002</v>
      </c>
      <c r="X366" s="6">
        <f t="shared" si="77"/>
        <v>1206.7310399999988</v>
      </c>
      <c r="Y366">
        <f t="shared" si="78"/>
        <v>9.4888851597986767E-2</v>
      </c>
      <c r="Z366">
        <v>202306</v>
      </c>
      <c r="AA366" s="18">
        <v>202301</v>
      </c>
      <c r="AB366" t="str">
        <v>Jun-2023</v>
      </c>
      <c r="AC366">
        <f t="shared" si="79"/>
        <v>5</v>
      </c>
      <c r="AD366" t="str">
        <f t="shared" si="81"/>
        <v>Late</v>
      </c>
      <c r="AE366">
        <f t="shared" si="82"/>
        <v>0</v>
      </c>
      <c r="AF366">
        <f t="shared" si="83"/>
        <v>0</v>
      </c>
    </row>
    <row r="367" spans="1:32" x14ac:dyDescent="0.25">
      <c r="A367" s="3" t="s">
        <v>371</v>
      </c>
      <c r="B367" s="4">
        <v>45737</v>
      </c>
      <c r="C367" s="4" t="str">
        <f t="shared" si="70"/>
        <v>Mar-2025</v>
      </c>
      <c r="D367" s="4" t="str">
        <f t="shared" si="71"/>
        <v>Q1</v>
      </c>
      <c r="E367" s="4">
        <v>45756</v>
      </c>
      <c r="F367" s="10">
        <f t="shared" si="72"/>
        <v>19</v>
      </c>
      <c r="G367" s="3" t="s">
        <v>639</v>
      </c>
      <c r="H367" s="3" t="s">
        <v>644</v>
      </c>
      <c r="I367" s="3" t="s">
        <v>681</v>
      </c>
      <c r="J367" t="str">
        <f t="shared" si="73"/>
        <v>Asia &gt; Japan &gt; Tokyo</v>
      </c>
      <c r="K367" s="3" t="s">
        <v>697</v>
      </c>
      <c r="L367" s="3" t="s">
        <v>702</v>
      </c>
      <c r="M367" s="3" t="s">
        <v>710</v>
      </c>
      <c r="N367" s="3" t="s">
        <v>719</v>
      </c>
      <c r="O367" s="3" t="s">
        <v>1090</v>
      </c>
      <c r="P367" s="6">
        <v>1055.45</v>
      </c>
      <c r="Q367" s="6">
        <v>1210.04</v>
      </c>
      <c r="R367" s="6" t="str">
        <f t="shared" si="74"/>
        <v>High</v>
      </c>
      <c r="S367" s="6">
        <v>8.9999999999999993E-3</v>
      </c>
      <c r="T367" s="6">
        <v>18</v>
      </c>
      <c r="U367">
        <f t="shared" si="75"/>
        <v>21584.693520000001</v>
      </c>
      <c r="V367">
        <f t="shared" si="80"/>
        <v>684664.56661999994</v>
      </c>
      <c r="W367">
        <f t="shared" si="76"/>
        <v>18998.100000000002</v>
      </c>
      <c r="X367" s="6">
        <f t="shared" si="77"/>
        <v>2586.5935199999985</v>
      </c>
      <c r="Y367">
        <f t="shared" si="78"/>
        <v>0.1198346188053727</v>
      </c>
      <c r="Z367">
        <v>202503</v>
      </c>
      <c r="AA367" s="18">
        <v>202303</v>
      </c>
      <c r="AB367" t="str">
        <v>Mar-2023</v>
      </c>
      <c r="AC367">
        <f t="shared" si="79"/>
        <v>24</v>
      </c>
      <c r="AD367" t="str">
        <f t="shared" si="81"/>
        <v>Late</v>
      </c>
      <c r="AE367">
        <f t="shared" si="82"/>
        <v>0</v>
      </c>
      <c r="AF367">
        <f t="shared" si="83"/>
        <v>0</v>
      </c>
    </row>
    <row r="368" spans="1:32" x14ac:dyDescent="0.25">
      <c r="A368" s="3" t="s">
        <v>372</v>
      </c>
      <c r="B368" s="4">
        <v>45445</v>
      </c>
      <c r="C368" s="4" t="str">
        <f t="shared" si="70"/>
        <v>Jun-2024</v>
      </c>
      <c r="D368" s="4" t="str">
        <f t="shared" si="71"/>
        <v>Q2</v>
      </c>
      <c r="E368" s="4">
        <v>45458</v>
      </c>
      <c r="F368" s="10">
        <f t="shared" si="72"/>
        <v>13</v>
      </c>
      <c r="G368" s="3" t="s">
        <v>638</v>
      </c>
      <c r="H368" s="3" t="s">
        <v>642</v>
      </c>
      <c r="I368" s="3" t="s">
        <v>667</v>
      </c>
      <c r="J368" t="str">
        <f t="shared" si="73"/>
        <v>Africa &gt; Kenya &gt; Mombasa</v>
      </c>
      <c r="K368" s="3" t="s">
        <v>694</v>
      </c>
      <c r="L368" s="3" t="s">
        <v>700</v>
      </c>
      <c r="M368" s="3" t="s">
        <v>711</v>
      </c>
      <c r="N368" s="3" t="s">
        <v>722</v>
      </c>
      <c r="O368" s="3" t="s">
        <v>1091</v>
      </c>
      <c r="P368" s="6">
        <v>1295.18</v>
      </c>
      <c r="Q368" s="6">
        <v>3024.03</v>
      </c>
      <c r="R368" s="6" t="str">
        <f t="shared" si="74"/>
        <v>High</v>
      </c>
      <c r="S368" s="6">
        <v>0.192</v>
      </c>
      <c r="T368" s="6">
        <v>8</v>
      </c>
      <c r="U368">
        <f t="shared" si="75"/>
        <v>19547.329920000004</v>
      </c>
      <c r="V368">
        <f t="shared" si="80"/>
        <v>663079.87309999997</v>
      </c>
      <c r="W368">
        <f t="shared" si="76"/>
        <v>10361.44</v>
      </c>
      <c r="X368" s="6">
        <f t="shared" si="77"/>
        <v>9185.8899200000033</v>
      </c>
      <c r="Y368">
        <f t="shared" si="78"/>
        <v>0.46993067378483178</v>
      </c>
      <c r="Z368">
        <v>202406</v>
      </c>
      <c r="AA368" s="18">
        <v>202301</v>
      </c>
      <c r="AB368" t="str">
        <v>Jun-2023</v>
      </c>
      <c r="AC368">
        <f t="shared" si="79"/>
        <v>17</v>
      </c>
      <c r="AD368" t="str">
        <f t="shared" si="81"/>
        <v>Late</v>
      </c>
      <c r="AE368">
        <f t="shared" si="82"/>
        <v>0</v>
      </c>
      <c r="AF368">
        <f t="shared" si="83"/>
        <v>0</v>
      </c>
    </row>
    <row r="369" spans="1:32" x14ac:dyDescent="0.25">
      <c r="A369" s="3" t="s">
        <v>373</v>
      </c>
      <c r="B369" s="4">
        <v>45731</v>
      </c>
      <c r="C369" s="4" t="str">
        <f t="shared" si="70"/>
        <v>Mar-2025</v>
      </c>
      <c r="D369" s="4" t="str">
        <f t="shared" si="71"/>
        <v>Q1</v>
      </c>
      <c r="E369" s="4">
        <v>45745</v>
      </c>
      <c r="F369" s="10">
        <f t="shared" si="72"/>
        <v>14</v>
      </c>
      <c r="G369" s="3" t="s">
        <v>639</v>
      </c>
      <c r="H369" s="3" t="s">
        <v>646</v>
      </c>
      <c r="I369" s="3" t="s">
        <v>683</v>
      </c>
      <c r="J369" t="str">
        <f t="shared" si="73"/>
        <v>Asia &gt; India &gt; Mumbai</v>
      </c>
      <c r="K369" s="3" t="s">
        <v>698</v>
      </c>
      <c r="L369" s="3" t="s">
        <v>703</v>
      </c>
      <c r="M369" s="3" t="s">
        <v>704</v>
      </c>
      <c r="N369" s="3" t="s">
        <v>719</v>
      </c>
      <c r="O369" s="3" t="s">
        <v>1092</v>
      </c>
      <c r="P369" s="6">
        <v>935.83</v>
      </c>
      <c r="Q369" s="6">
        <v>2303.46</v>
      </c>
      <c r="R369" s="6" t="str">
        <f t="shared" si="74"/>
        <v>Medium</v>
      </c>
      <c r="S369" s="6">
        <v>0.105</v>
      </c>
      <c r="T369" s="6">
        <v>9</v>
      </c>
      <c r="U369">
        <f t="shared" si="75"/>
        <v>18554.370299999999</v>
      </c>
      <c r="V369">
        <f t="shared" si="80"/>
        <v>663079.87309999997</v>
      </c>
      <c r="W369">
        <f t="shared" si="76"/>
        <v>8422.4700000000012</v>
      </c>
      <c r="X369" s="6">
        <f t="shared" si="77"/>
        <v>10131.900299999998</v>
      </c>
      <c r="Y369">
        <f t="shared" si="78"/>
        <v>0.54606543559174292</v>
      </c>
      <c r="Z369">
        <v>202503</v>
      </c>
      <c r="AA369" s="18">
        <v>202301</v>
      </c>
      <c r="AB369" t="str">
        <v>Mar-2023</v>
      </c>
      <c r="AC369">
        <f t="shared" si="79"/>
        <v>26</v>
      </c>
      <c r="AD369" t="str">
        <f t="shared" si="81"/>
        <v>Late</v>
      </c>
      <c r="AE369">
        <f t="shared" si="82"/>
        <v>0</v>
      </c>
      <c r="AF369">
        <f t="shared" si="83"/>
        <v>0</v>
      </c>
    </row>
    <row r="370" spans="1:32" x14ac:dyDescent="0.25">
      <c r="A370" s="3" t="s">
        <v>374</v>
      </c>
      <c r="B370" s="4">
        <v>45194</v>
      </c>
      <c r="C370" s="4" t="str">
        <f t="shared" si="70"/>
        <v>Sept-2023</v>
      </c>
      <c r="D370" s="4" t="str">
        <f t="shared" si="71"/>
        <v>Q3</v>
      </c>
      <c r="E370" s="4">
        <v>45208</v>
      </c>
      <c r="F370" s="10">
        <f t="shared" si="72"/>
        <v>14</v>
      </c>
      <c r="G370" s="3" t="s">
        <v>640</v>
      </c>
      <c r="H370" s="3" t="s">
        <v>652</v>
      </c>
      <c r="I370" s="3" t="s">
        <v>692</v>
      </c>
      <c r="J370" t="str">
        <f t="shared" si="73"/>
        <v>Americas &gt; USA &gt; New York</v>
      </c>
      <c r="K370" s="3" t="s">
        <v>697</v>
      </c>
      <c r="L370" s="3" t="s">
        <v>701</v>
      </c>
      <c r="M370" s="3" t="s">
        <v>705</v>
      </c>
      <c r="N370" s="3" t="s">
        <v>723</v>
      </c>
      <c r="O370" s="3" t="s">
        <v>1093</v>
      </c>
      <c r="P370" s="6">
        <v>1279.56</v>
      </c>
      <c r="Q370" s="6">
        <v>3083.8</v>
      </c>
      <c r="R370" s="6" t="str">
        <f t="shared" si="74"/>
        <v>High</v>
      </c>
      <c r="S370" s="6">
        <v>0.106</v>
      </c>
      <c r="T370" s="6">
        <v>5</v>
      </c>
      <c r="U370">
        <f t="shared" si="75"/>
        <v>13784.586000000001</v>
      </c>
      <c r="V370">
        <f t="shared" si="80"/>
        <v>644525.50280000002</v>
      </c>
      <c r="W370">
        <f t="shared" si="76"/>
        <v>6397.7999999999993</v>
      </c>
      <c r="X370" s="6">
        <f t="shared" si="77"/>
        <v>7386.7860000000019</v>
      </c>
      <c r="Y370">
        <f t="shared" si="78"/>
        <v>0.53587289455047848</v>
      </c>
      <c r="Z370">
        <v>202309</v>
      </c>
      <c r="AA370" s="18">
        <v>202301</v>
      </c>
      <c r="AB370" t="str">
        <v>Sept-2023</v>
      </c>
      <c r="AC370">
        <f t="shared" si="79"/>
        <v>8</v>
      </c>
      <c r="AD370" t="str">
        <f t="shared" si="81"/>
        <v>Late</v>
      </c>
      <c r="AE370">
        <f t="shared" si="82"/>
        <v>0</v>
      </c>
      <c r="AF370">
        <f t="shared" si="83"/>
        <v>0</v>
      </c>
    </row>
    <row r="371" spans="1:32" x14ac:dyDescent="0.25">
      <c r="A371" s="3" t="s">
        <v>375</v>
      </c>
      <c r="B371" s="4">
        <v>45832</v>
      </c>
      <c r="C371" s="4" t="str">
        <f t="shared" si="70"/>
        <v>Jun-2025</v>
      </c>
      <c r="D371" s="4" t="str">
        <f t="shared" si="71"/>
        <v>Q2</v>
      </c>
      <c r="E371" s="4">
        <v>45861</v>
      </c>
      <c r="F371" s="10">
        <f t="shared" si="72"/>
        <v>29</v>
      </c>
      <c r="G371" s="3" t="s">
        <v>640</v>
      </c>
      <c r="H371" s="3" t="s">
        <v>645</v>
      </c>
      <c r="I371" s="3" t="s">
        <v>680</v>
      </c>
      <c r="J371" t="str">
        <f t="shared" si="73"/>
        <v>Americas &gt; Canada &gt; Vancouver</v>
      </c>
      <c r="K371" s="3" t="s">
        <v>695</v>
      </c>
      <c r="L371" s="3" t="s">
        <v>701</v>
      </c>
      <c r="M371" s="3" t="s">
        <v>706</v>
      </c>
      <c r="N371" s="3" t="s">
        <v>720</v>
      </c>
      <c r="O371" s="3" t="s">
        <v>1094</v>
      </c>
      <c r="P371" s="6">
        <v>255.4</v>
      </c>
      <c r="Q371" s="6">
        <v>322.70999999999998</v>
      </c>
      <c r="R371" s="6" t="str">
        <f t="shared" si="74"/>
        <v>Low</v>
      </c>
      <c r="S371" s="6">
        <v>0.115</v>
      </c>
      <c r="T371" s="6">
        <v>16</v>
      </c>
      <c r="U371">
        <f t="shared" si="75"/>
        <v>4569.5735999999997</v>
      </c>
      <c r="V371">
        <f t="shared" si="80"/>
        <v>644525.50280000002</v>
      </c>
      <c r="W371">
        <f t="shared" si="76"/>
        <v>4086.4</v>
      </c>
      <c r="X371" s="6">
        <f t="shared" si="77"/>
        <v>483.17359999999962</v>
      </c>
      <c r="Y371">
        <f t="shared" si="78"/>
        <v>0.10573713048412212</v>
      </c>
      <c r="Z371">
        <v>202506</v>
      </c>
      <c r="AA371" s="18">
        <v>202301</v>
      </c>
      <c r="AB371" t="str">
        <v>Jun-2023</v>
      </c>
      <c r="AC371">
        <f t="shared" si="79"/>
        <v>29</v>
      </c>
      <c r="AD371" t="str">
        <f t="shared" si="81"/>
        <v>Late</v>
      </c>
      <c r="AE371">
        <f t="shared" si="82"/>
        <v>0</v>
      </c>
      <c r="AF371">
        <f t="shared" si="83"/>
        <v>0</v>
      </c>
    </row>
    <row r="372" spans="1:32" x14ac:dyDescent="0.25">
      <c r="A372" s="3" t="s">
        <v>376</v>
      </c>
      <c r="B372" s="4">
        <v>45286</v>
      </c>
      <c r="C372" s="4" t="str">
        <f t="shared" si="70"/>
        <v>Dec-2023</v>
      </c>
      <c r="D372" s="4" t="str">
        <f t="shared" si="71"/>
        <v>Q4</v>
      </c>
      <c r="E372" s="4">
        <v>45294</v>
      </c>
      <c r="F372" s="10">
        <f t="shared" si="72"/>
        <v>8</v>
      </c>
      <c r="G372" s="3" t="s">
        <v>641</v>
      </c>
      <c r="H372" s="3" t="s">
        <v>649</v>
      </c>
      <c r="I372" s="3" t="s">
        <v>671</v>
      </c>
      <c r="J372" t="str">
        <f t="shared" si="73"/>
        <v>Europe &gt; France &gt; Lyon</v>
      </c>
      <c r="K372" s="3" t="s">
        <v>697</v>
      </c>
      <c r="L372" s="3" t="s">
        <v>699</v>
      </c>
      <c r="M372" s="3" t="s">
        <v>716</v>
      </c>
      <c r="N372" s="3" t="s">
        <v>723</v>
      </c>
      <c r="O372" s="3" t="s">
        <v>1095</v>
      </c>
      <c r="P372" s="6">
        <v>492.75</v>
      </c>
      <c r="Q372" s="6">
        <v>731.29</v>
      </c>
      <c r="R372" s="6" t="str">
        <f t="shared" si="74"/>
        <v>Low</v>
      </c>
      <c r="S372" s="6">
        <v>5.8000000000000003E-2</v>
      </c>
      <c r="T372" s="6">
        <v>6</v>
      </c>
      <c r="U372">
        <f t="shared" si="75"/>
        <v>4133.25108</v>
      </c>
      <c r="V372">
        <f t="shared" si="80"/>
        <v>644525.50280000002</v>
      </c>
      <c r="W372">
        <f t="shared" si="76"/>
        <v>2956.5</v>
      </c>
      <c r="X372" s="6">
        <f t="shared" si="77"/>
        <v>1176.75108</v>
      </c>
      <c r="Y372">
        <f t="shared" si="78"/>
        <v>0.28470350753528384</v>
      </c>
      <c r="Z372">
        <v>202312</v>
      </c>
      <c r="AA372" s="18">
        <v>202301</v>
      </c>
      <c r="AB372" t="str">
        <v>Dec-2023</v>
      </c>
      <c r="AC372">
        <f t="shared" si="79"/>
        <v>11</v>
      </c>
      <c r="AD372" t="str">
        <f t="shared" si="81"/>
        <v>Late</v>
      </c>
      <c r="AE372">
        <f t="shared" si="82"/>
        <v>0</v>
      </c>
      <c r="AF372">
        <f t="shared" si="83"/>
        <v>0</v>
      </c>
    </row>
    <row r="373" spans="1:32" x14ac:dyDescent="0.25">
      <c r="A373" s="3" t="s">
        <v>377</v>
      </c>
      <c r="B373" s="4">
        <v>44962</v>
      </c>
      <c r="C373" s="4" t="str">
        <f t="shared" si="70"/>
        <v>Feb-2023</v>
      </c>
      <c r="D373" s="4" t="str">
        <f t="shared" si="71"/>
        <v>Q1</v>
      </c>
      <c r="E373" s="4">
        <v>44985</v>
      </c>
      <c r="F373" s="10">
        <f t="shared" si="72"/>
        <v>23</v>
      </c>
      <c r="G373" s="3" t="s">
        <v>640</v>
      </c>
      <c r="H373" s="3" t="s">
        <v>652</v>
      </c>
      <c r="I373" s="3" t="s">
        <v>689</v>
      </c>
      <c r="J373" t="str">
        <f t="shared" si="73"/>
        <v>Americas &gt; USA &gt; Austin</v>
      </c>
      <c r="K373" s="3" t="s">
        <v>695</v>
      </c>
      <c r="L373" s="3" t="s">
        <v>702</v>
      </c>
      <c r="M373" s="3" t="s">
        <v>708</v>
      </c>
      <c r="N373" s="3" t="s">
        <v>722</v>
      </c>
      <c r="O373" s="3" t="s">
        <v>1096</v>
      </c>
      <c r="P373" s="6">
        <v>1214.49</v>
      </c>
      <c r="Q373" s="6">
        <v>1533.95</v>
      </c>
      <c r="R373" s="6" t="str">
        <f t="shared" si="74"/>
        <v>High</v>
      </c>
      <c r="S373" s="6">
        <v>0</v>
      </c>
      <c r="T373" s="6">
        <v>11</v>
      </c>
      <c r="U373">
        <f t="shared" si="75"/>
        <v>16873.45</v>
      </c>
      <c r="V373">
        <f t="shared" si="80"/>
        <v>644525.50280000002</v>
      </c>
      <c r="W373">
        <f t="shared" si="76"/>
        <v>13359.39</v>
      </c>
      <c r="X373" s="6">
        <f t="shared" si="77"/>
        <v>3514.0600000000013</v>
      </c>
      <c r="Y373">
        <f t="shared" si="78"/>
        <v>0.20825972163369086</v>
      </c>
      <c r="Z373">
        <v>202302</v>
      </c>
      <c r="AA373" s="18">
        <v>202301</v>
      </c>
      <c r="AB373" t="str">
        <v>Feb-2023</v>
      </c>
      <c r="AC373">
        <f t="shared" si="79"/>
        <v>1</v>
      </c>
      <c r="AD373" t="str">
        <f t="shared" si="81"/>
        <v>Late</v>
      </c>
      <c r="AE373">
        <f t="shared" si="82"/>
        <v>0</v>
      </c>
      <c r="AF373">
        <f t="shared" si="83"/>
        <v>0</v>
      </c>
    </row>
    <row r="374" spans="1:32" x14ac:dyDescent="0.25">
      <c r="A374" s="3" t="s">
        <v>378</v>
      </c>
      <c r="B374" s="4">
        <v>45022</v>
      </c>
      <c r="C374" s="4" t="str">
        <f t="shared" si="70"/>
        <v>Apr-2023</v>
      </c>
      <c r="D374" s="4" t="str">
        <f t="shared" si="71"/>
        <v>Q2</v>
      </c>
      <c r="E374" s="4">
        <v>45024</v>
      </c>
      <c r="F374" s="10">
        <f t="shared" si="72"/>
        <v>2</v>
      </c>
      <c r="G374" s="3" t="s">
        <v>638</v>
      </c>
      <c r="H374" s="3" t="s">
        <v>643</v>
      </c>
      <c r="I374" s="3" t="s">
        <v>661</v>
      </c>
      <c r="J374" t="str">
        <f t="shared" si="73"/>
        <v>Africa &gt; Nigeria &gt; Abuja</v>
      </c>
      <c r="K374" s="3" t="s">
        <v>697</v>
      </c>
      <c r="L374" s="3" t="s">
        <v>701</v>
      </c>
      <c r="M374" s="3" t="s">
        <v>715</v>
      </c>
      <c r="N374" s="3" t="s">
        <v>724</v>
      </c>
      <c r="O374" s="3" t="s">
        <v>1097</v>
      </c>
      <c r="P374" s="6">
        <v>720.35</v>
      </c>
      <c r="Q374" s="6">
        <v>1571.66</v>
      </c>
      <c r="R374" s="6" t="str">
        <f t="shared" si="74"/>
        <v>Medium</v>
      </c>
      <c r="S374" s="6">
        <v>0.107</v>
      </c>
      <c r="T374" s="6">
        <v>23</v>
      </c>
      <c r="U374">
        <f t="shared" si="75"/>
        <v>32280.32474</v>
      </c>
      <c r="V374">
        <f t="shared" si="80"/>
        <v>644525.50280000002</v>
      </c>
      <c r="W374">
        <f t="shared" si="76"/>
        <v>16568.05</v>
      </c>
      <c r="X374" s="6">
        <f t="shared" si="77"/>
        <v>15712.274740000001</v>
      </c>
      <c r="Y374">
        <f t="shared" si="78"/>
        <v>0.4867446305622265</v>
      </c>
      <c r="Z374">
        <v>202304</v>
      </c>
      <c r="AA374" s="18">
        <v>202301</v>
      </c>
      <c r="AB374" t="str">
        <v>Apr-2023</v>
      </c>
      <c r="AC374">
        <f t="shared" si="79"/>
        <v>3</v>
      </c>
      <c r="AD374" t="str">
        <f t="shared" si="81"/>
        <v>On Time</v>
      </c>
      <c r="AE374">
        <f t="shared" si="82"/>
        <v>1</v>
      </c>
      <c r="AF374">
        <f t="shared" si="83"/>
        <v>0</v>
      </c>
    </row>
    <row r="375" spans="1:32" x14ac:dyDescent="0.25">
      <c r="A375" s="3" t="s">
        <v>379</v>
      </c>
      <c r="B375" s="4">
        <v>45751</v>
      </c>
      <c r="C375" s="4" t="str">
        <f t="shared" si="70"/>
        <v>Apr-2025</v>
      </c>
      <c r="D375" s="4" t="str">
        <f t="shared" si="71"/>
        <v>Q2</v>
      </c>
      <c r="E375" s="4">
        <v>45757</v>
      </c>
      <c r="F375" s="10">
        <f t="shared" si="72"/>
        <v>6</v>
      </c>
      <c r="G375" s="3" t="s">
        <v>641</v>
      </c>
      <c r="H375" s="3" t="s">
        <v>650</v>
      </c>
      <c r="I375" s="3" t="s">
        <v>666</v>
      </c>
      <c r="J375" t="str">
        <f t="shared" si="73"/>
        <v>Europe &gt; United Kingdom &gt; Birmingham</v>
      </c>
      <c r="K375" s="3" t="s">
        <v>695</v>
      </c>
      <c r="L375" s="3" t="s">
        <v>703</v>
      </c>
      <c r="M375" s="3" t="s">
        <v>717</v>
      </c>
      <c r="N375" s="3" t="s">
        <v>720</v>
      </c>
      <c r="O375" s="3" t="s">
        <v>1098</v>
      </c>
      <c r="P375" s="6">
        <v>290.14</v>
      </c>
      <c r="Q375" s="6">
        <v>250.73</v>
      </c>
      <c r="R375" s="6" t="str">
        <f t="shared" si="74"/>
        <v>Low</v>
      </c>
      <c r="S375" s="6">
        <v>3.4000000000000002E-2</v>
      </c>
      <c r="T375" s="6">
        <v>17</v>
      </c>
      <c r="U375">
        <f t="shared" si="75"/>
        <v>4117.4880599999997</v>
      </c>
      <c r="V375">
        <f t="shared" si="80"/>
        <v>644525.50280000002</v>
      </c>
      <c r="W375">
        <f t="shared" si="76"/>
        <v>4932.38</v>
      </c>
      <c r="X375" s="6">
        <f t="shared" si="77"/>
        <v>-814.89194000000043</v>
      </c>
      <c r="Y375">
        <f t="shared" si="78"/>
        <v>-0.19790997038131072</v>
      </c>
      <c r="Z375">
        <v>202504</v>
      </c>
      <c r="AA375" s="18">
        <v>202301</v>
      </c>
      <c r="AB375" t="str">
        <v>Apr-2023</v>
      </c>
      <c r="AC375">
        <f t="shared" si="79"/>
        <v>27</v>
      </c>
      <c r="AD375" t="str">
        <f t="shared" si="81"/>
        <v>On Time</v>
      </c>
      <c r="AE375">
        <f t="shared" si="82"/>
        <v>1</v>
      </c>
      <c r="AF375">
        <f t="shared" si="83"/>
        <v>0</v>
      </c>
    </row>
    <row r="376" spans="1:32" x14ac:dyDescent="0.25">
      <c r="A376" s="3" t="s">
        <v>380</v>
      </c>
      <c r="B376" s="4">
        <v>45429</v>
      </c>
      <c r="C376" s="4" t="str">
        <f t="shared" si="70"/>
        <v>May-2024</v>
      </c>
      <c r="D376" s="4" t="str">
        <f t="shared" si="71"/>
        <v>Q2</v>
      </c>
      <c r="E376" s="4">
        <v>45439</v>
      </c>
      <c r="F376" s="10">
        <f t="shared" si="72"/>
        <v>10</v>
      </c>
      <c r="G376" s="3" t="s">
        <v>640</v>
      </c>
      <c r="H376" s="3" t="s">
        <v>652</v>
      </c>
      <c r="I376" s="3" t="s">
        <v>689</v>
      </c>
      <c r="J376" t="str">
        <f t="shared" si="73"/>
        <v>Americas &gt; USA &gt; Austin</v>
      </c>
      <c r="K376" s="3" t="s">
        <v>695</v>
      </c>
      <c r="L376" s="3" t="s">
        <v>700</v>
      </c>
      <c r="M376" s="3" t="s">
        <v>704</v>
      </c>
      <c r="N376" s="3" t="s">
        <v>722</v>
      </c>
      <c r="O376" s="3" t="s">
        <v>1099</v>
      </c>
      <c r="P376" s="6">
        <v>1484.23</v>
      </c>
      <c r="Q376" s="6">
        <v>3472.81</v>
      </c>
      <c r="R376" s="6" t="str">
        <f t="shared" si="74"/>
        <v>High</v>
      </c>
      <c r="S376" s="6">
        <v>0.25600000000000001</v>
      </c>
      <c r="T376" s="6">
        <v>12</v>
      </c>
      <c r="U376">
        <f t="shared" si="75"/>
        <v>31005.24768</v>
      </c>
      <c r="V376">
        <f t="shared" si="80"/>
        <v>644525.50280000002</v>
      </c>
      <c r="W376">
        <f t="shared" si="76"/>
        <v>17810.760000000002</v>
      </c>
      <c r="X376" s="6">
        <f t="shared" si="77"/>
        <v>13194.487679999998</v>
      </c>
      <c r="Y376">
        <f t="shared" si="78"/>
        <v>0.42555659661803413</v>
      </c>
      <c r="Z376">
        <v>202405</v>
      </c>
      <c r="AA376" s="18">
        <v>202301</v>
      </c>
      <c r="AB376" t="str">
        <v>May-2023</v>
      </c>
      <c r="AC376">
        <f t="shared" si="79"/>
        <v>16</v>
      </c>
      <c r="AD376" t="str">
        <f t="shared" si="81"/>
        <v>Late</v>
      </c>
      <c r="AE376">
        <f t="shared" si="82"/>
        <v>0</v>
      </c>
      <c r="AF376">
        <f t="shared" si="83"/>
        <v>1</v>
      </c>
    </row>
    <row r="377" spans="1:32" x14ac:dyDescent="0.25">
      <c r="A377" s="3" t="s">
        <v>381</v>
      </c>
      <c r="B377" s="4">
        <v>45354</v>
      </c>
      <c r="C377" s="4" t="str">
        <f t="shared" si="70"/>
        <v>Mar-2024</v>
      </c>
      <c r="D377" s="4" t="str">
        <f t="shared" si="71"/>
        <v>Q1</v>
      </c>
      <c r="E377" s="4">
        <v>45370</v>
      </c>
      <c r="F377" s="10">
        <f t="shared" si="72"/>
        <v>16</v>
      </c>
      <c r="G377" s="3" t="s">
        <v>639</v>
      </c>
      <c r="H377" s="3" t="s">
        <v>651</v>
      </c>
      <c r="I377" s="3" t="s">
        <v>691</v>
      </c>
      <c r="J377" t="str">
        <f t="shared" si="73"/>
        <v>Asia &gt; China &gt; Beijing</v>
      </c>
      <c r="K377" s="3" t="s">
        <v>696</v>
      </c>
      <c r="L377" s="3" t="s">
        <v>702</v>
      </c>
      <c r="M377" s="3" t="s">
        <v>707</v>
      </c>
      <c r="N377" s="3" t="s">
        <v>722</v>
      </c>
      <c r="O377" s="3" t="s">
        <v>1100</v>
      </c>
      <c r="P377" s="6">
        <v>988.83</v>
      </c>
      <c r="Q377" s="6">
        <v>1206.04</v>
      </c>
      <c r="R377" s="6" t="str">
        <f t="shared" si="74"/>
        <v>Medium</v>
      </c>
      <c r="S377" s="6">
        <v>6.3E-2</v>
      </c>
      <c r="T377" s="6">
        <v>34</v>
      </c>
      <c r="U377">
        <f t="shared" si="75"/>
        <v>38422.022320000004</v>
      </c>
      <c r="V377">
        <f t="shared" si="80"/>
        <v>644525.50280000002</v>
      </c>
      <c r="W377">
        <f t="shared" si="76"/>
        <v>33620.22</v>
      </c>
      <c r="X377" s="6">
        <f t="shared" si="77"/>
        <v>4801.8023200000025</v>
      </c>
      <c r="Y377">
        <f t="shared" si="78"/>
        <v>0.12497526236406606</v>
      </c>
      <c r="Z377">
        <v>202403</v>
      </c>
      <c r="AA377" s="18">
        <v>202301</v>
      </c>
      <c r="AB377" t="str">
        <v>Mar-2023</v>
      </c>
      <c r="AC377">
        <f t="shared" si="79"/>
        <v>14</v>
      </c>
      <c r="AD377" t="str">
        <f t="shared" si="81"/>
        <v>Late</v>
      </c>
      <c r="AE377">
        <f t="shared" si="82"/>
        <v>0</v>
      </c>
      <c r="AF377">
        <f t="shared" si="83"/>
        <v>0</v>
      </c>
    </row>
    <row r="378" spans="1:32" x14ac:dyDescent="0.25">
      <c r="A378" s="3" t="s">
        <v>382</v>
      </c>
      <c r="B378" s="4">
        <v>45835</v>
      </c>
      <c r="C378" s="4" t="str">
        <f t="shared" si="70"/>
        <v>Jun-2025</v>
      </c>
      <c r="D378" s="4" t="str">
        <f t="shared" si="71"/>
        <v>Q2</v>
      </c>
      <c r="E378" s="4">
        <v>45849</v>
      </c>
      <c r="F378" s="10">
        <f t="shared" si="72"/>
        <v>14</v>
      </c>
      <c r="G378" s="3" t="s">
        <v>639</v>
      </c>
      <c r="H378" s="3" t="s">
        <v>651</v>
      </c>
      <c r="I378" s="3" t="s">
        <v>677</v>
      </c>
      <c r="J378" t="str">
        <f t="shared" si="73"/>
        <v>Asia &gt; China &gt; Shanghai</v>
      </c>
      <c r="K378" s="3" t="s">
        <v>697</v>
      </c>
      <c r="L378" s="3" t="s">
        <v>701</v>
      </c>
      <c r="M378" s="3" t="s">
        <v>708</v>
      </c>
      <c r="N378" s="3" t="s">
        <v>721</v>
      </c>
      <c r="O378" s="3" t="s">
        <v>1101</v>
      </c>
      <c r="P378" s="6">
        <v>1227.7</v>
      </c>
      <c r="Q378" s="6">
        <v>2197.23</v>
      </c>
      <c r="R378" s="6" t="str">
        <f t="shared" si="74"/>
        <v>High</v>
      </c>
      <c r="S378" s="6">
        <v>9.9000000000000005E-2</v>
      </c>
      <c r="T378" s="6">
        <v>22</v>
      </c>
      <c r="U378">
        <f t="shared" si="75"/>
        <v>43553.493060000001</v>
      </c>
      <c r="V378">
        <f t="shared" si="80"/>
        <v>644525.50280000002</v>
      </c>
      <c r="W378">
        <f t="shared" si="76"/>
        <v>27009.4</v>
      </c>
      <c r="X378" s="6">
        <f t="shared" si="77"/>
        <v>16544.093059999999</v>
      </c>
      <c r="Y378">
        <f t="shared" si="78"/>
        <v>0.37985685871873898</v>
      </c>
      <c r="Z378">
        <v>202506</v>
      </c>
      <c r="AA378" s="18">
        <v>202301</v>
      </c>
      <c r="AB378" t="str">
        <v>Jun-2023</v>
      </c>
      <c r="AC378">
        <f t="shared" si="79"/>
        <v>29</v>
      </c>
      <c r="AD378" t="str">
        <f t="shared" si="81"/>
        <v>Late</v>
      </c>
      <c r="AE378">
        <f t="shared" si="82"/>
        <v>0</v>
      </c>
      <c r="AF378">
        <f t="shared" si="83"/>
        <v>0</v>
      </c>
    </row>
    <row r="379" spans="1:32" x14ac:dyDescent="0.25">
      <c r="A379" s="3" t="s">
        <v>383</v>
      </c>
      <c r="B379" s="4">
        <v>44998</v>
      </c>
      <c r="C379" s="4" t="str">
        <f t="shared" si="70"/>
        <v>Mar-2023</v>
      </c>
      <c r="D379" s="4" t="str">
        <f t="shared" si="71"/>
        <v>Q1</v>
      </c>
      <c r="E379" s="4">
        <v>45020</v>
      </c>
      <c r="F379" s="10">
        <f t="shared" si="72"/>
        <v>22</v>
      </c>
      <c r="G379" s="3" t="s">
        <v>638</v>
      </c>
      <c r="H379" s="3" t="s">
        <v>653</v>
      </c>
      <c r="I379" s="3" t="s">
        <v>679</v>
      </c>
      <c r="J379" t="str">
        <f t="shared" si="73"/>
        <v>Africa &gt; South Africa &gt; Durban</v>
      </c>
      <c r="K379" s="3" t="s">
        <v>697</v>
      </c>
      <c r="L379" s="3" t="s">
        <v>699</v>
      </c>
      <c r="M379" s="3" t="s">
        <v>712</v>
      </c>
      <c r="N379" s="3" t="s">
        <v>719</v>
      </c>
      <c r="O379" s="3" t="s">
        <v>1102</v>
      </c>
      <c r="P379" s="6">
        <v>1113.7</v>
      </c>
      <c r="Q379" s="6">
        <v>1620.6</v>
      </c>
      <c r="R379" s="6" t="str">
        <f t="shared" si="74"/>
        <v>High</v>
      </c>
      <c r="S379" s="6">
        <v>0.13900000000000001</v>
      </c>
      <c r="T379" s="6">
        <v>11</v>
      </c>
      <c r="U379">
        <f t="shared" si="75"/>
        <v>15348.702599999999</v>
      </c>
      <c r="V379">
        <f t="shared" si="80"/>
        <v>644525.50280000002</v>
      </c>
      <c r="W379">
        <f t="shared" si="76"/>
        <v>12250.7</v>
      </c>
      <c r="X379" s="6">
        <f t="shared" si="77"/>
        <v>3098.002599999998</v>
      </c>
      <c r="Y379">
        <f t="shared" si="78"/>
        <v>0.20184133348182787</v>
      </c>
      <c r="Z379">
        <v>202303</v>
      </c>
      <c r="AA379" s="18">
        <v>202301</v>
      </c>
      <c r="AB379" t="str">
        <v>Mar-2023</v>
      </c>
      <c r="AC379">
        <f t="shared" si="79"/>
        <v>2</v>
      </c>
      <c r="AD379" t="str">
        <f t="shared" si="81"/>
        <v>Late</v>
      </c>
      <c r="AE379">
        <f t="shared" si="82"/>
        <v>0</v>
      </c>
      <c r="AF379">
        <f t="shared" si="83"/>
        <v>0</v>
      </c>
    </row>
    <row r="380" spans="1:32" x14ac:dyDescent="0.25">
      <c r="A380" s="3" t="s">
        <v>384</v>
      </c>
      <c r="B380" s="4">
        <v>45664</v>
      </c>
      <c r="C380" s="4" t="str">
        <f t="shared" si="70"/>
        <v>Jan-2025</v>
      </c>
      <c r="D380" s="4" t="str">
        <f t="shared" si="71"/>
        <v>Q1</v>
      </c>
      <c r="E380" s="4">
        <v>45677</v>
      </c>
      <c r="F380" s="10">
        <f t="shared" si="72"/>
        <v>13</v>
      </c>
      <c r="G380" s="3" t="s">
        <v>638</v>
      </c>
      <c r="H380" s="3" t="s">
        <v>653</v>
      </c>
      <c r="I380" s="3" t="s">
        <v>687</v>
      </c>
      <c r="J380" t="str">
        <f t="shared" si="73"/>
        <v>Africa &gt; South Africa &gt; Cape Town</v>
      </c>
      <c r="K380" s="3" t="s">
        <v>693</v>
      </c>
      <c r="L380" s="3" t="s">
        <v>703</v>
      </c>
      <c r="M380" s="3" t="s">
        <v>715</v>
      </c>
      <c r="N380" s="3" t="s">
        <v>721</v>
      </c>
      <c r="O380" s="3" t="s">
        <v>1103</v>
      </c>
      <c r="P380" s="6">
        <v>432.13</v>
      </c>
      <c r="Q380" s="6">
        <v>1034.6600000000001</v>
      </c>
      <c r="R380" s="6" t="str">
        <f t="shared" si="74"/>
        <v>Low</v>
      </c>
      <c r="S380" s="6">
        <v>9.1999999999999998E-2</v>
      </c>
      <c r="T380" s="6">
        <v>7</v>
      </c>
      <c r="U380">
        <f t="shared" si="75"/>
        <v>6576.298960000001</v>
      </c>
      <c r="V380">
        <f t="shared" si="80"/>
        <v>629176.80019999994</v>
      </c>
      <c r="W380">
        <f t="shared" si="76"/>
        <v>3024.91</v>
      </c>
      <c r="X380" s="6">
        <f t="shared" si="77"/>
        <v>3551.3889600000011</v>
      </c>
      <c r="Y380">
        <f t="shared" si="78"/>
        <v>0.54002851476204794</v>
      </c>
      <c r="Z380">
        <v>202501</v>
      </c>
      <c r="AA380" s="18">
        <v>202301</v>
      </c>
      <c r="AB380" t="str">
        <v>Jan-2023</v>
      </c>
      <c r="AC380">
        <f t="shared" si="79"/>
        <v>24</v>
      </c>
      <c r="AD380" t="str">
        <f t="shared" si="81"/>
        <v>Late</v>
      </c>
      <c r="AE380">
        <f t="shared" si="82"/>
        <v>0</v>
      </c>
      <c r="AF380">
        <f t="shared" si="83"/>
        <v>0</v>
      </c>
    </row>
    <row r="381" spans="1:32" x14ac:dyDescent="0.25">
      <c r="A381" s="3" t="s">
        <v>385</v>
      </c>
      <c r="B381" s="4">
        <v>45694</v>
      </c>
      <c r="C381" s="4" t="str">
        <f t="shared" si="70"/>
        <v>Feb-2025</v>
      </c>
      <c r="D381" s="4" t="str">
        <f t="shared" si="71"/>
        <v>Q1</v>
      </c>
      <c r="E381" s="4">
        <v>45703</v>
      </c>
      <c r="F381" s="10">
        <f t="shared" si="72"/>
        <v>9</v>
      </c>
      <c r="G381" s="3" t="s">
        <v>640</v>
      </c>
      <c r="H381" s="3" t="s">
        <v>647</v>
      </c>
      <c r="I381" s="3" t="s">
        <v>662</v>
      </c>
      <c r="J381" t="str">
        <f t="shared" si="73"/>
        <v>Americas &gt; Brazil &gt; São Paulo</v>
      </c>
      <c r="K381" s="3" t="s">
        <v>695</v>
      </c>
      <c r="L381" s="3" t="s">
        <v>702</v>
      </c>
      <c r="M381" s="3" t="s">
        <v>713</v>
      </c>
      <c r="N381" s="3" t="s">
        <v>721</v>
      </c>
      <c r="O381" s="3" t="s">
        <v>1104</v>
      </c>
      <c r="P381" s="6">
        <v>837.39</v>
      </c>
      <c r="Q381" s="6">
        <v>1905.42</v>
      </c>
      <c r="R381" s="6" t="str">
        <f t="shared" si="74"/>
        <v>Medium</v>
      </c>
      <c r="S381" s="6">
        <v>3.2000000000000001E-2</v>
      </c>
      <c r="T381" s="6">
        <v>18</v>
      </c>
      <c r="U381">
        <f t="shared" si="75"/>
        <v>33200.038079999998</v>
      </c>
      <c r="V381">
        <f t="shared" si="80"/>
        <v>629176.80019999994</v>
      </c>
      <c r="W381">
        <f t="shared" si="76"/>
        <v>15073.02</v>
      </c>
      <c r="X381" s="6">
        <f t="shared" si="77"/>
        <v>18127.018079999998</v>
      </c>
      <c r="Y381">
        <f t="shared" si="78"/>
        <v>0.54599389423350919</v>
      </c>
      <c r="Z381">
        <v>202502</v>
      </c>
      <c r="AA381" s="18">
        <v>202301</v>
      </c>
      <c r="AB381" t="str">
        <v>Feb-2023</v>
      </c>
      <c r="AC381">
        <f t="shared" si="79"/>
        <v>25</v>
      </c>
      <c r="AD381" t="str">
        <f t="shared" si="81"/>
        <v>Late</v>
      </c>
      <c r="AE381">
        <f t="shared" si="82"/>
        <v>0</v>
      </c>
      <c r="AF381">
        <f t="shared" si="83"/>
        <v>0</v>
      </c>
    </row>
    <row r="382" spans="1:32" x14ac:dyDescent="0.25">
      <c r="A382" s="3" t="s">
        <v>386</v>
      </c>
      <c r="B382" s="4">
        <v>45688</v>
      </c>
      <c r="C382" s="4" t="str">
        <f t="shared" si="70"/>
        <v>Jan-2025</v>
      </c>
      <c r="D382" s="4" t="str">
        <f t="shared" si="71"/>
        <v>Q1</v>
      </c>
      <c r="E382" s="4">
        <v>45705</v>
      </c>
      <c r="F382" s="10">
        <f t="shared" si="72"/>
        <v>17</v>
      </c>
      <c r="G382" s="3" t="s">
        <v>641</v>
      </c>
      <c r="H382" s="3" t="s">
        <v>650</v>
      </c>
      <c r="I382" s="3" t="s">
        <v>675</v>
      </c>
      <c r="J382" t="str">
        <f t="shared" si="73"/>
        <v>Europe &gt; United Kingdom &gt; London</v>
      </c>
      <c r="K382" s="3" t="s">
        <v>698</v>
      </c>
      <c r="L382" s="3" t="s">
        <v>699</v>
      </c>
      <c r="M382" s="3" t="s">
        <v>714</v>
      </c>
      <c r="N382" s="3" t="s">
        <v>719</v>
      </c>
      <c r="O382" s="3" t="s">
        <v>803</v>
      </c>
      <c r="P382" s="6">
        <v>378.26</v>
      </c>
      <c r="Q382" s="6">
        <v>541.55999999999995</v>
      </c>
      <c r="R382" s="6" t="str">
        <f t="shared" si="74"/>
        <v>Low</v>
      </c>
      <c r="S382" s="6">
        <v>0.16300000000000001</v>
      </c>
      <c r="T382" s="6">
        <v>25</v>
      </c>
      <c r="U382">
        <f t="shared" si="75"/>
        <v>11332.142999999998</v>
      </c>
      <c r="V382">
        <f t="shared" si="80"/>
        <v>629176.80019999994</v>
      </c>
      <c r="W382">
        <f t="shared" si="76"/>
        <v>9456.5</v>
      </c>
      <c r="X382" s="6">
        <f t="shared" si="77"/>
        <v>1875.6429999999982</v>
      </c>
      <c r="Y382">
        <f t="shared" si="78"/>
        <v>0.16551529573885526</v>
      </c>
      <c r="Z382">
        <v>202501</v>
      </c>
      <c r="AA382" s="18">
        <v>202301</v>
      </c>
      <c r="AB382" t="str">
        <v>Jan-2023</v>
      </c>
      <c r="AC382">
        <f t="shared" si="79"/>
        <v>24</v>
      </c>
      <c r="AD382" t="str">
        <f t="shared" si="81"/>
        <v>Late</v>
      </c>
      <c r="AE382">
        <f t="shared" si="82"/>
        <v>0</v>
      </c>
      <c r="AF382">
        <f t="shared" si="83"/>
        <v>0</v>
      </c>
    </row>
    <row r="383" spans="1:32" x14ac:dyDescent="0.25">
      <c r="A383" s="3" t="s">
        <v>387</v>
      </c>
      <c r="B383" s="4">
        <v>45876</v>
      </c>
      <c r="C383" s="4" t="str">
        <f t="shared" si="70"/>
        <v>Aug-2025</v>
      </c>
      <c r="D383" s="4" t="str">
        <f t="shared" si="71"/>
        <v>Q3</v>
      </c>
      <c r="E383" s="4">
        <v>45906</v>
      </c>
      <c r="F383" s="10">
        <f t="shared" si="72"/>
        <v>30</v>
      </c>
      <c r="G383" s="3" t="s">
        <v>640</v>
      </c>
      <c r="H383" s="3" t="s">
        <v>645</v>
      </c>
      <c r="I383" s="3" t="s">
        <v>673</v>
      </c>
      <c r="J383" t="str">
        <f t="shared" si="73"/>
        <v>Americas &gt; Canada &gt; Montreal</v>
      </c>
      <c r="K383" s="3" t="s">
        <v>694</v>
      </c>
      <c r="L383" s="3" t="s">
        <v>703</v>
      </c>
      <c r="M383" s="3" t="s">
        <v>716</v>
      </c>
      <c r="N383" s="3" t="s">
        <v>721</v>
      </c>
      <c r="O383" s="3" t="s">
        <v>1105</v>
      </c>
      <c r="P383" s="6">
        <v>833.73</v>
      </c>
      <c r="Q383" s="6">
        <v>1116.5999999999999</v>
      </c>
      <c r="R383" s="6" t="str">
        <f t="shared" si="74"/>
        <v>Medium</v>
      </c>
      <c r="S383" s="6">
        <v>0.17599999999999999</v>
      </c>
      <c r="T383" s="6">
        <v>14</v>
      </c>
      <c r="U383">
        <f t="shared" si="75"/>
        <v>12881.097599999999</v>
      </c>
      <c r="V383">
        <f t="shared" si="80"/>
        <v>617844.65720000002</v>
      </c>
      <c r="W383">
        <f t="shared" si="76"/>
        <v>11672.220000000001</v>
      </c>
      <c r="X383" s="6">
        <f t="shared" si="77"/>
        <v>1208.877599999998</v>
      </c>
      <c r="Y383">
        <f t="shared" si="78"/>
        <v>9.3848958958279924E-2</v>
      </c>
      <c r="Z383">
        <v>202508</v>
      </c>
      <c r="AA383" s="18">
        <v>202301</v>
      </c>
      <c r="AB383" t="str">
        <v>Aug-2023</v>
      </c>
      <c r="AC383">
        <f t="shared" si="79"/>
        <v>31</v>
      </c>
      <c r="AD383" t="str">
        <f t="shared" si="81"/>
        <v>Late</v>
      </c>
      <c r="AE383">
        <f t="shared" si="82"/>
        <v>0</v>
      </c>
      <c r="AF383">
        <f t="shared" si="83"/>
        <v>0</v>
      </c>
    </row>
    <row r="384" spans="1:32" x14ac:dyDescent="0.25">
      <c r="A384" s="3" t="s">
        <v>388</v>
      </c>
      <c r="B384" s="4">
        <v>45861</v>
      </c>
      <c r="C384" s="4" t="str">
        <f t="shared" si="70"/>
        <v>Jul-2025</v>
      </c>
      <c r="D384" s="4" t="str">
        <f t="shared" si="71"/>
        <v>Q3</v>
      </c>
      <c r="E384" s="4">
        <v>45886</v>
      </c>
      <c r="F384" s="10">
        <f t="shared" si="72"/>
        <v>25</v>
      </c>
      <c r="G384" s="3" t="s">
        <v>641</v>
      </c>
      <c r="H384" s="3" t="s">
        <v>650</v>
      </c>
      <c r="I384" s="3" t="s">
        <v>666</v>
      </c>
      <c r="J384" t="str">
        <f t="shared" si="73"/>
        <v>Europe &gt; United Kingdom &gt; Birmingham</v>
      </c>
      <c r="K384" s="3" t="s">
        <v>694</v>
      </c>
      <c r="L384" s="3" t="s">
        <v>700</v>
      </c>
      <c r="M384" s="3" t="s">
        <v>706</v>
      </c>
      <c r="N384" s="3" t="s">
        <v>720</v>
      </c>
      <c r="O384" s="3" t="s">
        <v>1106</v>
      </c>
      <c r="P384" s="6">
        <v>1142.06</v>
      </c>
      <c r="Q384" s="6">
        <v>1455</v>
      </c>
      <c r="R384" s="6" t="str">
        <f t="shared" si="74"/>
        <v>High</v>
      </c>
      <c r="S384" s="6">
        <v>7.8E-2</v>
      </c>
      <c r="T384" s="6">
        <v>28</v>
      </c>
      <c r="U384">
        <f t="shared" si="75"/>
        <v>37562.28</v>
      </c>
      <c r="V384">
        <f t="shared" si="80"/>
        <v>617844.65720000002</v>
      </c>
      <c r="W384">
        <f t="shared" si="76"/>
        <v>31977.68</v>
      </c>
      <c r="X384" s="6">
        <f t="shared" si="77"/>
        <v>5584.5999999999985</v>
      </c>
      <c r="Y384">
        <f t="shared" si="78"/>
        <v>0.1486757459877302</v>
      </c>
      <c r="Z384">
        <v>202507</v>
      </c>
      <c r="AA384" s="18">
        <v>202301</v>
      </c>
      <c r="AB384" t="str">
        <v>Jul-2023</v>
      </c>
      <c r="AC384">
        <f t="shared" si="79"/>
        <v>30</v>
      </c>
      <c r="AD384" t="str">
        <f t="shared" si="81"/>
        <v>Late</v>
      </c>
      <c r="AE384">
        <f t="shared" si="82"/>
        <v>0</v>
      </c>
      <c r="AF384">
        <f t="shared" si="83"/>
        <v>0</v>
      </c>
    </row>
    <row r="385" spans="1:32" x14ac:dyDescent="0.25">
      <c r="A385" s="3" t="s">
        <v>389</v>
      </c>
      <c r="B385" s="4">
        <v>45097</v>
      </c>
      <c r="C385" s="4" t="str">
        <f t="shared" si="70"/>
        <v>Jun-2023</v>
      </c>
      <c r="D385" s="4" t="str">
        <f t="shared" si="71"/>
        <v>Q2</v>
      </c>
      <c r="E385" s="4">
        <v>45115</v>
      </c>
      <c r="F385" s="10">
        <f t="shared" si="72"/>
        <v>18</v>
      </c>
      <c r="G385" s="3" t="s">
        <v>640</v>
      </c>
      <c r="H385" s="3" t="s">
        <v>652</v>
      </c>
      <c r="I385" s="3" t="s">
        <v>692</v>
      </c>
      <c r="J385" t="str">
        <f t="shared" si="73"/>
        <v>Americas &gt; USA &gt; New York</v>
      </c>
      <c r="K385" s="3" t="s">
        <v>696</v>
      </c>
      <c r="L385" s="3" t="s">
        <v>701</v>
      </c>
      <c r="M385" s="3" t="s">
        <v>711</v>
      </c>
      <c r="N385" s="3" t="s">
        <v>721</v>
      </c>
      <c r="O385" s="3" t="s">
        <v>1107</v>
      </c>
      <c r="P385" s="6">
        <v>1145.53</v>
      </c>
      <c r="Q385" s="6">
        <v>1278.3</v>
      </c>
      <c r="R385" s="6" t="str">
        <f t="shared" si="74"/>
        <v>High</v>
      </c>
      <c r="S385" s="6">
        <v>0.09</v>
      </c>
      <c r="T385" s="6">
        <v>41</v>
      </c>
      <c r="U385">
        <f t="shared" si="75"/>
        <v>47693.373</v>
      </c>
      <c r="V385">
        <f t="shared" si="80"/>
        <v>617844.65720000002</v>
      </c>
      <c r="W385">
        <f t="shared" si="76"/>
        <v>46966.729999999996</v>
      </c>
      <c r="X385" s="6">
        <f t="shared" si="77"/>
        <v>726.64300000000367</v>
      </c>
      <c r="Y385">
        <f t="shared" si="78"/>
        <v>1.5235722581416158E-2</v>
      </c>
      <c r="Z385">
        <v>202306</v>
      </c>
      <c r="AA385" s="18">
        <v>202301</v>
      </c>
      <c r="AB385" t="str">
        <v>Jun-2023</v>
      </c>
      <c r="AC385">
        <f t="shared" si="79"/>
        <v>5</v>
      </c>
      <c r="AD385" t="str">
        <f t="shared" si="81"/>
        <v>Late</v>
      </c>
      <c r="AE385">
        <f t="shared" si="82"/>
        <v>0</v>
      </c>
      <c r="AF385">
        <f t="shared" si="83"/>
        <v>0</v>
      </c>
    </row>
    <row r="386" spans="1:32" x14ac:dyDescent="0.25">
      <c r="A386" s="3" t="s">
        <v>390</v>
      </c>
      <c r="B386" s="4">
        <v>45491</v>
      </c>
      <c r="C386" s="4" t="str">
        <f t="shared" ref="C386:C449" si="84">TEXT(B386,"MMM-YYYY")</f>
        <v>Jul-2024</v>
      </c>
      <c r="D386" s="4" t="str">
        <f t="shared" ref="D386:D449" si="85">IF(MONTH(B386)&lt;=3,"Q1",IF(MONTH(B386)&lt;=6,"Q2",IF(MONTH(B386)&lt;=9,"Q3","Q4")))</f>
        <v>Q3</v>
      </c>
      <c r="E386" s="4">
        <v>45511</v>
      </c>
      <c r="F386" s="10">
        <f t="shared" ref="F386:F449" si="86">ABS(E386-B386)</f>
        <v>20</v>
      </c>
      <c r="G386" s="3" t="s">
        <v>641</v>
      </c>
      <c r="H386" s="3" t="s">
        <v>649</v>
      </c>
      <c r="I386" s="3" t="s">
        <v>665</v>
      </c>
      <c r="J386" t="str">
        <f t="shared" ref="J386:J449" si="87">G386 &amp; " &gt; " &amp; H386 &amp; " &gt; " &amp; I386</f>
        <v>Europe &gt; France &gt; Marseille</v>
      </c>
      <c r="K386" s="3" t="s">
        <v>693</v>
      </c>
      <c r="L386" s="3" t="s">
        <v>699</v>
      </c>
      <c r="M386" s="3" t="s">
        <v>713</v>
      </c>
      <c r="N386" s="3" t="s">
        <v>724</v>
      </c>
      <c r="O386" s="3" t="s">
        <v>1108</v>
      </c>
      <c r="P386" s="6">
        <v>941.35</v>
      </c>
      <c r="Q386" s="6">
        <v>899.83</v>
      </c>
      <c r="R386" s="6" t="str">
        <f t="shared" ref="R386:R449" si="88">IF(P386&lt;=500,"Low",IF(P386&lt;=1000,"Medium","High"))</f>
        <v>Medium</v>
      </c>
      <c r="S386" s="6">
        <v>5.8000000000000003E-2</v>
      </c>
      <c r="T386" s="6">
        <v>18</v>
      </c>
      <c r="U386">
        <f t="shared" ref="U386:U449" si="89">(Q386*T386*(1-S386))</f>
        <v>15257.51748</v>
      </c>
      <c r="V386">
        <f t="shared" si="80"/>
        <v>617844.65720000002</v>
      </c>
      <c r="W386">
        <f t="shared" ref="W386:W449" si="90">(P386*T386)</f>
        <v>16944.3</v>
      </c>
      <c r="X386" s="6">
        <f t="shared" ref="X386:X449" si="91">(U386-W386)</f>
        <v>-1686.7825199999988</v>
      </c>
      <c r="Y386">
        <f t="shared" ref="Y386:Y449" si="92">IF(U386=0,0,X386/U386)</f>
        <v>-0.11055419220139073</v>
      </c>
      <c r="Z386">
        <v>202407</v>
      </c>
      <c r="AA386" s="18">
        <v>202301</v>
      </c>
      <c r="AB386" t="str">
        <v>Jul-2023</v>
      </c>
      <c r="AC386">
        <f t="shared" ref="AC386:AC449" si="93">DATEDIF(DATE(LEFT(AA386,4),RIGHT(AA386,2),1),B386,"M")</f>
        <v>18</v>
      </c>
      <c r="AD386" t="str">
        <f t="shared" si="81"/>
        <v>Late</v>
      </c>
      <c r="AE386">
        <f t="shared" si="82"/>
        <v>0</v>
      </c>
      <c r="AF386">
        <f t="shared" si="83"/>
        <v>0</v>
      </c>
    </row>
    <row r="387" spans="1:32" x14ac:dyDescent="0.25">
      <c r="A387" s="3" t="s">
        <v>391</v>
      </c>
      <c r="B387" s="4">
        <v>45066</v>
      </c>
      <c r="C387" s="4" t="str">
        <f t="shared" si="84"/>
        <v>May-2023</v>
      </c>
      <c r="D387" s="4" t="str">
        <f t="shared" si="85"/>
        <v>Q2</v>
      </c>
      <c r="E387" s="4">
        <v>45096</v>
      </c>
      <c r="F387" s="10">
        <f t="shared" si="86"/>
        <v>30</v>
      </c>
      <c r="G387" s="3" t="s">
        <v>639</v>
      </c>
      <c r="H387" s="3" t="s">
        <v>646</v>
      </c>
      <c r="I387" s="3" t="s">
        <v>672</v>
      </c>
      <c r="J387" t="str">
        <f t="shared" si="87"/>
        <v>Asia &gt; India &gt; Delhi</v>
      </c>
      <c r="K387" s="3" t="s">
        <v>695</v>
      </c>
      <c r="L387" s="3" t="s">
        <v>701</v>
      </c>
      <c r="M387" s="3" t="s">
        <v>714</v>
      </c>
      <c r="N387" s="3" t="s">
        <v>723</v>
      </c>
      <c r="O387" s="3" t="s">
        <v>1109</v>
      </c>
      <c r="P387" s="6">
        <v>1161.2</v>
      </c>
      <c r="Q387" s="6">
        <v>878.73</v>
      </c>
      <c r="R387" s="6" t="str">
        <f t="shared" si="88"/>
        <v>High</v>
      </c>
      <c r="S387" s="6">
        <v>0.19</v>
      </c>
      <c r="T387" s="6">
        <v>31</v>
      </c>
      <c r="U387">
        <f t="shared" si="89"/>
        <v>22064.910300000003</v>
      </c>
      <c r="V387">
        <f t="shared" ref="V387:V450" si="94">SUMIFS(U387:U1018,N387:N1018,"Components")</f>
        <v>617844.65720000002</v>
      </c>
      <c r="W387">
        <f t="shared" si="90"/>
        <v>35997.200000000004</v>
      </c>
      <c r="X387" s="6">
        <f t="shared" si="91"/>
        <v>-13932.289700000001</v>
      </c>
      <c r="Y387">
        <f t="shared" si="92"/>
        <v>-0.63142290227212028</v>
      </c>
      <c r="Z387">
        <v>202305</v>
      </c>
      <c r="AA387" s="18">
        <v>202301</v>
      </c>
      <c r="AB387" t="str">
        <v>May-2023</v>
      </c>
      <c r="AC387">
        <f t="shared" si="93"/>
        <v>4</v>
      </c>
      <c r="AD387" t="str">
        <f t="shared" ref="AD387:AD450" si="95">IF(F387&lt;=7,"On Time","Late")</f>
        <v>Late</v>
      </c>
      <c r="AE387">
        <f t="shared" ref="AE387:AE450" si="96">IF(F387&lt;=7,1,0)</f>
        <v>0</v>
      </c>
      <c r="AF387">
        <f t="shared" ref="AF387:AF450" si="97">IF(S387&gt;0.2,1,0)</f>
        <v>0</v>
      </c>
    </row>
    <row r="388" spans="1:32" x14ac:dyDescent="0.25">
      <c r="A388" s="3" t="s">
        <v>392</v>
      </c>
      <c r="B388" s="4">
        <v>45789</v>
      </c>
      <c r="C388" s="4" t="str">
        <f t="shared" si="84"/>
        <v>May-2025</v>
      </c>
      <c r="D388" s="4" t="str">
        <f t="shared" si="85"/>
        <v>Q2</v>
      </c>
      <c r="E388" s="4">
        <v>45803</v>
      </c>
      <c r="F388" s="10">
        <f t="shared" si="86"/>
        <v>14</v>
      </c>
      <c r="G388" s="3" t="s">
        <v>639</v>
      </c>
      <c r="H388" s="3" t="s">
        <v>646</v>
      </c>
      <c r="I388" s="3" t="s">
        <v>688</v>
      </c>
      <c r="J388" t="str">
        <f t="shared" si="87"/>
        <v>Asia &gt; India &gt; Hyderabad</v>
      </c>
      <c r="K388" s="3" t="s">
        <v>693</v>
      </c>
      <c r="L388" s="3" t="s">
        <v>701</v>
      </c>
      <c r="M388" s="3" t="s">
        <v>707</v>
      </c>
      <c r="N388" s="3" t="s">
        <v>720</v>
      </c>
      <c r="O388" s="3" t="s">
        <v>1110</v>
      </c>
      <c r="P388" s="6">
        <v>320.12</v>
      </c>
      <c r="Q388" s="6">
        <v>594.41999999999996</v>
      </c>
      <c r="R388" s="6" t="str">
        <f t="shared" si="88"/>
        <v>Low</v>
      </c>
      <c r="S388" s="6">
        <v>0.104</v>
      </c>
      <c r="T388" s="6">
        <v>18</v>
      </c>
      <c r="U388">
        <f t="shared" si="89"/>
        <v>9586.8057599999993</v>
      </c>
      <c r="V388">
        <f t="shared" si="94"/>
        <v>617844.65720000002</v>
      </c>
      <c r="W388">
        <f t="shared" si="90"/>
        <v>5762.16</v>
      </c>
      <c r="X388" s="6">
        <f t="shared" si="91"/>
        <v>3824.6457599999994</v>
      </c>
      <c r="Y388">
        <f t="shared" si="92"/>
        <v>0.39894891538931104</v>
      </c>
      <c r="Z388">
        <v>202505</v>
      </c>
      <c r="AA388" s="18">
        <v>202301</v>
      </c>
      <c r="AB388" t="str">
        <v>May-2023</v>
      </c>
      <c r="AC388">
        <f t="shared" si="93"/>
        <v>28</v>
      </c>
      <c r="AD388" t="str">
        <f t="shared" si="95"/>
        <v>Late</v>
      </c>
      <c r="AE388">
        <f t="shared" si="96"/>
        <v>0</v>
      </c>
      <c r="AF388">
        <f t="shared" si="97"/>
        <v>0</v>
      </c>
    </row>
    <row r="389" spans="1:32" x14ac:dyDescent="0.25">
      <c r="A389" s="3" t="s">
        <v>393</v>
      </c>
      <c r="B389" s="4">
        <v>45419</v>
      </c>
      <c r="C389" s="4" t="str">
        <f t="shared" si="84"/>
        <v>May-2024</v>
      </c>
      <c r="D389" s="4" t="str">
        <f t="shared" si="85"/>
        <v>Q2</v>
      </c>
      <c r="E389" s="4">
        <v>45424</v>
      </c>
      <c r="F389" s="10">
        <f t="shared" si="86"/>
        <v>5</v>
      </c>
      <c r="G389" s="3" t="s">
        <v>638</v>
      </c>
      <c r="H389" s="3" t="s">
        <v>643</v>
      </c>
      <c r="I389" s="3" t="s">
        <v>661</v>
      </c>
      <c r="J389" t="str">
        <f t="shared" si="87"/>
        <v>Africa &gt; Nigeria &gt; Abuja</v>
      </c>
      <c r="K389" s="3" t="s">
        <v>695</v>
      </c>
      <c r="L389" s="3" t="s">
        <v>702</v>
      </c>
      <c r="M389" s="3" t="s">
        <v>708</v>
      </c>
      <c r="N389" s="3" t="s">
        <v>723</v>
      </c>
      <c r="O389" s="3" t="s">
        <v>1111</v>
      </c>
      <c r="P389" s="6">
        <v>1163.99</v>
      </c>
      <c r="Q389" s="6">
        <v>1617.85</v>
      </c>
      <c r="R389" s="6" t="str">
        <f t="shared" si="88"/>
        <v>High</v>
      </c>
      <c r="S389" s="6">
        <v>0.127</v>
      </c>
      <c r="T389" s="6">
        <v>14</v>
      </c>
      <c r="U389">
        <f t="shared" si="89"/>
        <v>19773.362699999998</v>
      </c>
      <c r="V389">
        <f t="shared" si="94"/>
        <v>617844.65720000002</v>
      </c>
      <c r="W389">
        <f t="shared" si="90"/>
        <v>16295.86</v>
      </c>
      <c r="X389" s="6">
        <f t="shared" si="91"/>
        <v>3477.5026999999973</v>
      </c>
      <c r="Y389">
        <f t="shared" si="92"/>
        <v>0.17586804797749436</v>
      </c>
      <c r="Z389">
        <v>202405</v>
      </c>
      <c r="AA389" s="18">
        <v>202301</v>
      </c>
      <c r="AB389" t="str">
        <v>May-2023</v>
      </c>
      <c r="AC389">
        <f t="shared" si="93"/>
        <v>16</v>
      </c>
      <c r="AD389" t="str">
        <f t="shared" si="95"/>
        <v>On Time</v>
      </c>
      <c r="AE389">
        <f t="shared" si="96"/>
        <v>1</v>
      </c>
      <c r="AF389">
        <f t="shared" si="97"/>
        <v>0</v>
      </c>
    </row>
    <row r="390" spans="1:32" x14ac:dyDescent="0.25">
      <c r="A390" s="3" t="s">
        <v>394</v>
      </c>
      <c r="B390" s="4">
        <v>45199</v>
      </c>
      <c r="C390" s="4" t="str">
        <f t="shared" si="84"/>
        <v>Sept-2023</v>
      </c>
      <c r="D390" s="4" t="str">
        <f t="shared" si="85"/>
        <v>Q3</v>
      </c>
      <c r="E390" s="4">
        <v>45202</v>
      </c>
      <c r="F390" s="10">
        <f t="shared" si="86"/>
        <v>3</v>
      </c>
      <c r="G390" s="3" t="s">
        <v>639</v>
      </c>
      <c r="H390" s="3" t="s">
        <v>651</v>
      </c>
      <c r="I390" s="3" t="s">
        <v>691</v>
      </c>
      <c r="J390" t="str">
        <f t="shared" si="87"/>
        <v>Asia &gt; China &gt; Beijing</v>
      </c>
      <c r="K390" s="3" t="s">
        <v>695</v>
      </c>
      <c r="L390" s="3" t="s">
        <v>699</v>
      </c>
      <c r="M390" s="3" t="s">
        <v>705</v>
      </c>
      <c r="N390" s="3" t="s">
        <v>723</v>
      </c>
      <c r="O390" s="3" t="s">
        <v>1112</v>
      </c>
      <c r="P390" s="6">
        <v>1019.36</v>
      </c>
      <c r="Q390" s="6">
        <v>972.91</v>
      </c>
      <c r="R390" s="6" t="str">
        <f t="shared" si="88"/>
        <v>High</v>
      </c>
      <c r="S390" s="6">
        <v>0.14699999999999999</v>
      </c>
      <c r="T390" s="6">
        <v>17</v>
      </c>
      <c r="U390">
        <f t="shared" si="89"/>
        <v>14108.16791</v>
      </c>
      <c r="V390">
        <f t="shared" si="94"/>
        <v>617844.65720000002</v>
      </c>
      <c r="W390">
        <f t="shared" si="90"/>
        <v>17329.12</v>
      </c>
      <c r="X390" s="6">
        <f t="shared" si="91"/>
        <v>-3220.9520899999989</v>
      </c>
      <c r="Y390">
        <f t="shared" si="92"/>
        <v>-0.22830406545678819</v>
      </c>
      <c r="Z390">
        <v>202309</v>
      </c>
      <c r="AA390" s="18">
        <v>202301</v>
      </c>
      <c r="AB390" t="str">
        <v>Sept-2023</v>
      </c>
      <c r="AC390">
        <f t="shared" si="93"/>
        <v>8</v>
      </c>
      <c r="AD390" t="str">
        <f t="shared" si="95"/>
        <v>On Time</v>
      </c>
      <c r="AE390">
        <f t="shared" si="96"/>
        <v>1</v>
      </c>
      <c r="AF390">
        <f t="shared" si="97"/>
        <v>0</v>
      </c>
    </row>
    <row r="391" spans="1:32" x14ac:dyDescent="0.25">
      <c r="A391" s="3" t="s">
        <v>395</v>
      </c>
      <c r="B391" s="4">
        <v>45225</v>
      </c>
      <c r="C391" s="4" t="str">
        <f t="shared" si="84"/>
        <v>Oct-2023</v>
      </c>
      <c r="D391" s="4" t="str">
        <f t="shared" si="85"/>
        <v>Q4</v>
      </c>
      <c r="E391" s="4">
        <v>45235</v>
      </c>
      <c r="F391" s="10">
        <f t="shared" si="86"/>
        <v>10</v>
      </c>
      <c r="G391" s="3" t="s">
        <v>638</v>
      </c>
      <c r="H391" s="3" t="s">
        <v>653</v>
      </c>
      <c r="I391" s="3" t="s">
        <v>687</v>
      </c>
      <c r="J391" t="str">
        <f t="shared" si="87"/>
        <v>Africa &gt; South Africa &gt; Cape Town</v>
      </c>
      <c r="K391" s="3" t="s">
        <v>695</v>
      </c>
      <c r="L391" s="3" t="s">
        <v>700</v>
      </c>
      <c r="M391" s="3" t="s">
        <v>706</v>
      </c>
      <c r="N391" s="3" t="s">
        <v>723</v>
      </c>
      <c r="O391" s="3" t="s">
        <v>1113</v>
      </c>
      <c r="P391" s="6">
        <v>20.38</v>
      </c>
      <c r="Q391" s="6">
        <v>42.56</v>
      </c>
      <c r="R391" s="6" t="str">
        <f t="shared" si="88"/>
        <v>Low</v>
      </c>
      <c r="S391" s="6">
        <v>7.1999999999999995E-2</v>
      </c>
      <c r="T391" s="6">
        <v>11</v>
      </c>
      <c r="U391">
        <f t="shared" si="89"/>
        <v>434.45248000000004</v>
      </c>
      <c r="V391">
        <f t="shared" si="94"/>
        <v>617844.65720000002</v>
      </c>
      <c r="W391">
        <f t="shared" si="90"/>
        <v>224.17999999999998</v>
      </c>
      <c r="X391" s="6">
        <f t="shared" si="91"/>
        <v>210.27248000000006</v>
      </c>
      <c r="Y391">
        <f t="shared" si="92"/>
        <v>0.48399419885921713</v>
      </c>
      <c r="Z391">
        <v>202310</v>
      </c>
      <c r="AA391" s="18">
        <v>202301</v>
      </c>
      <c r="AB391" t="str">
        <v>Oct-2023</v>
      </c>
      <c r="AC391">
        <f t="shared" si="93"/>
        <v>9</v>
      </c>
      <c r="AD391" t="str">
        <f t="shared" si="95"/>
        <v>Late</v>
      </c>
      <c r="AE391">
        <f t="shared" si="96"/>
        <v>0</v>
      </c>
      <c r="AF391">
        <f t="shared" si="97"/>
        <v>0</v>
      </c>
    </row>
    <row r="392" spans="1:32" x14ac:dyDescent="0.25">
      <c r="A392" s="3" t="s">
        <v>396</v>
      </c>
      <c r="B392" s="4">
        <v>45823</v>
      </c>
      <c r="C392" s="4" t="str">
        <f t="shared" si="84"/>
        <v>Jun-2025</v>
      </c>
      <c r="D392" s="4" t="str">
        <f t="shared" si="85"/>
        <v>Q2</v>
      </c>
      <c r="E392" s="4">
        <v>45838</v>
      </c>
      <c r="F392" s="10">
        <f t="shared" si="86"/>
        <v>15</v>
      </c>
      <c r="G392" s="3" t="s">
        <v>638</v>
      </c>
      <c r="H392" s="3" t="s">
        <v>653</v>
      </c>
      <c r="I392" s="3" t="s">
        <v>674</v>
      </c>
      <c r="J392" t="str">
        <f t="shared" si="87"/>
        <v>Africa &gt; South Africa &gt; Johannesburg</v>
      </c>
      <c r="K392" s="3" t="s">
        <v>697</v>
      </c>
      <c r="L392" s="3" t="s">
        <v>703</v>
      </c>
      <c r="M392" s="3" t="s">
        <v>704</v>
      </c>
      <c r="N392" s="3" t="s">
        <v>724</v>
      </c>
      <c r="O392" s="3" t="s">
        <v>1114</v>
      </c>
      <c r="P392" s="6">
        <v>1487.59</v>
      </c>
      <c r="Q392" s="6">
        <v>1480.83</v>
      </c>
      <c r="R392" s="6" t="str">
        <f t="shared" si="88"/>
        <v>High</v>
      </c>
      <c r="S392" s="6">
        <v>8.9999999999999993E-3</v>
      </c>
      <c r="T392" s="6">
        <v>11</v>
      </c>
      <c r="U392">
        <f t="shared" si="89"/>
        <v>16142.527829999999</v>
      </c>
      <c r="V392">
        <f t="shared" si="94"/>
        <v>617844.65720000002</v>
      </c>
      <c r="W392">
        <f t="shared" si="90"/>
        <v>16363.49</v>
      </c>
      <c r="X392" s="6">
        <f t="shared" si="91"/>
        <v>-220.9621700000007</v>
      </c>
      <c r="Y392">
        <f t="shared" si="92"/>
        <v>-1.3688201273492908E-2</v>
      </c>
      <c r="Z392">
        <v>202506</v>
      </c>
      <c r="AA392" s="18">
        <v>202301</v>
      </c>
      <c r="AB392" t="str">
        <v>Jun-2023</v>
      </c>
      <c r="AC392">
        <f t="shared" si="93"/>
        <v>29</v>
      </c>
      <c r="AD392" t="str">
        <f t="shared" si="95"/>
        <v>Late</v>
      </c>
      <c r="AE392">
        <f t="shared" si="96"/>
        <v>0</v>
      </c>
      <c r="AF392">
        <f t="shared" si="97"/>
        <v>0</v>
      </c>
    </row>
    <row r="393" spans="1:32" x14ac:dyDescent="0.25">
      <c r="A393" s="3" t="s">
        <v>397</v>
      </c>
      <c r="B393" s="4">
        <v>45514</v>
      </c>
      <c r="C393" s="4" t="str">
        <f t="shared" si="84"/>
        <v>Aug-2024</v>
      </c>
      <c r="D393" s="4" t="str">
        <f t="shared" si="85"/>
        <v>Q3</v>
      </c>
      <c r="E393" s="4">
        <v>45542</v>
      </c>
      <c r="F393" s="10">
        <f t="shared" si="86"/>
        <v>28</v>
      </c>
      <c r="G393" s="3" t="s">
        <v>641</v>
      </c>
      <c r="H393" s="3" t="s">
        <v>649</v>
      </c>
      <c r="I393" s="3" t="s">
        <v>665</v>
      </c>
      <c r="J393" t="str">
        <f t="shared" si="87"/>
        <v>Europe &gt; France &gt; Marseille</v>
      </c>
      <c r="K393" s="3" t="s">
        <v>695</v>
      </c>
      <c r="L393" s="3" t="s">
        <v>703</v>
      </c>
      <c r="M393" s="3" t="s">
        <v>713</v>
      </c>
      <c r="N393" s="3" t="s">
        <v>720</v>
      </c>
      <c r="O393" s="3" t="s">
        <v>1115</v>
      </c>
      <c r="P393" s="6">
        <v>229.96</v>
      </c>
      <c r="Q393" s="6">
        <v>564.26</v>
      </c>
      <c r="R393" s="6" t="str">
        <f t="shared" si="88"/>
        <v>Low</v>
      </c>
      <c r="S393" s="6">
        <v>0.105</v>
      </c>
      <c r="T393" s="6">
        <v>5</v>
      </c>
      <c r="U393">
        <f t="shared" si="89"/>
        <v>2525.0635000000002</v>
      </c>
      <c r="V393">
        <f t="shared" si="94"/>
        <v>617844.65720000002</v>
      </c>
      <c r="W393">
        <f t="shared" si="90"/>
        <v>1149.8</v>
      </c>
      <c r="X393" s="6">
        <f t="shared" si="91"/>
        <v>1375.2635000000002</v>
      </c>
      <c r="Y393">
        <f t="shared" si="92"/>
        <v>0.54464511486542821</v>
      </c>
      <c r="Z393">
        <v>202408</v>
      </c>
      <c r="AA393" s="18">
        <v>202301</v>
      </c>
      <c r="AB393" t="str">
        <v>Aug-2023</v>
      </c>
      <c r="AC393">
        <f t="shared" si="93"/>
        <v>19</v>
      </c>
      <c r="AD393" t="str">
        <f t="shared" si="95"/>
        <v>Late</v>
      </c>
      <c r="AE393">
        <f t="shared" si="96"/>
        <v>0</v>
      </c>
      <c r="AF393">
        <f t="shared" si="97"/>
        <v>0</v>
      </c>
    </row>
    <row r="394" spans="1:32" x14ac:dyDescent="0.25">
      <c r="A394" s="3" t="s">
        <v>398</v>
      </c>
      <c r="B394" s="4">
        <v>45208</v>
      </c>
      <c r="C394" s="4" t="str">
        <f t="shared" si="84"/>
        <v>Oct-2023</v>
      </c>
      <c r="D394" s="4" t="str">
        <f t="shared" si="85"/>
        <v>Q4</v>
      </c>
      <c r="E394" s="4">
        <v>45225</v>
      </c>
      <c r="F394" s="10">
        <f t="shared" si="86"/>
        <v>17</v>
      </c>
      <c r="G394" s="3" t="s">
        <v>639</v>
      </c>
      <c r="H394" s="3" t="s">
        <v>651</v>
      </c>
      <c r="I394" s="3" t="s">
        <v>677</v>
      </c>
      <c r="J394" t="str">
        <f t="shared" si="87"/>
        <v>Asia &gt; China &gt; Shanghai</v>
      </c>
      <c r="K394" s="3" t="s">
        <v>696</v>
      </c>
      <c r="L394" s="3" t="s">
        <v>701</v>
      </c>
      <c r="M394" s="3" t="s">
        <v>704</v>
      </c>
      <c r="N394" s="3" t="s">
        <v>719</v>
      </c>
      <c r="O394" s="3" t="s">
        <v>1116</v>
      </c>
      <c r="P394" s="6">
        <v>1132.03</v>
      </c>
      <c r="Q394" s="6">
        <v>2137.21</v>
      </c>
      <c r="R394" s="6" t="str">
        <f t="shared" si="88"/>
        <v>High</v>
      </c>
      <c r="S394" s="6">
        <v>0.35699999999999998</v>
      </c>
      <c r="T394" s="6">
        <v>35</v>
      </c>
      <c r="U394">
        <f t="shared" si="89"/>
        <v>48097.911050000002</v>
      </c>
      <c r="V394">
        <f t="shared" si="94"/>
        <v>617844.65720000002</v>
      </c>
      <c r="W394">
        <f t="shared" si="90"/>
        <v>39621.049999999996</v>
      </c>
      <c r="X394" s="6">
        <f t="shared" si="91"/>
        <v>8476.8610500000068</v>
      </c>
      <c r="Y394">
        <f t="shared" si="92"/>
        <v>0.17624177152284051</v>
      </c>
      <c r="Z394">
        <v>202310</v>
      </c>
      <c r="AA394" s="18">
        <v>202301</v>
      </c>
      <c r="AB394" t="str">
        <v>Oct-2023</v>
      </c>
      <c r="AC394">
        <f t="shared" si="93"/>
        <v>9</v>
      </c>
      <c r="AD394" t="str">
        <f t="shared" si="95"/>
        <v>Late</v>
      </c>
      <c r="AE394">
        <f t="shared" si="96"/>
        <v>0</v>
      </c>
      <c r="AF394">
        <f t="shared" si="97"/>
        <v>1</v>
      </c>
    </row>
    <row r="395" spans="1:32" x14ac:dyDescent="0.25">
      <c r="A395" s="3" t="s">
        <v>399</v>
      </c>
      <c r="B395" s="4">
        <v>45360</v>
      </c>
      <c r="C395" s="4" t="str">
        <f t="shared" si="84"/>
        <v>Mar-2024</v>
      </c>
      <c r="D395" s="4" t="str">
        <f t="shared" si="85"/>
        <v>Q1</v>
      </c>
      <c r="E395" s="4">
        <v>45377</v>
      </c>
      <c r="F395" s="10">
        <f t="shared" si="86"/>
        <v>17</v>
      </c>
      <c r="G395" s="3" t="s">
        <v>640</v>
      </c>
      <c r="H395" s="3" t="s">
        <v>652</v>
      </c>
      <c r="I395" s="3" t="s">
        <v>678</v>
      </c>
      <c r="J395" t="str">
        <f t="shared" si="87"/>
        <v>Americas &gt; USA &gt; San Francisco</v>
      </c>
      <c r="K395" s="3" t="s">
        <v>694</v>
      </c>
      <c r="L395" s="3" t="s">
        <v>703</v>
      </c>
      <c r="M395" s="3" t="s">
        <v>706</v>
      </c>
      <c r="N395" s="3" t="s">
        <v>722</v>
      </c>
      <c r="O395" s="3" t="s">
        <v>1117</v>
      </c>
      <c r="P395" s="6">
        <v>1137.4100000000001</v>
      </c>
      <c r="Q395" s="6">
        <v>1680.93</v>
      </c>
      <c r="R395" s="6" t="str">
        <f t="shared" si="88"/>
        <v>High</v>
      </c>
      <c r="S395" s="6">
        <v>0.254</v>
      </c>
      <c r="T395" s="6">
        <v>9</v>
      </c>
      <c r="U395">
        <f t="shared" si="89"/>
        <v>11285.764020000001</v>
      </c>
      <c r="V395">
        <f t="shared" si="94"/>
        <v>569746.74615000014</v>
      </c>
      <c r="W395">
        <f t="shared" si="90"/>
        <v>10236.69</v>
      </c>
      <c r="X395" s="6">
        <f t="shared" si="91"/>
        <v>1049.07402</v>
      </c>
      <c r="Y395">
        <f t="shared" si="92"/>
        <v>9.2955516183121464E-2</v>
      </c>
      <c r="Z395">
        <v>202403</v>
      </c>
      <c r="AA395" s="18">
        <v>202301</v>
      </c>
      <c r="AB395" t="str">
        <v>Mar-2023</v>
      </c>
      <c r="AC395">
        <f t="shared" si="93"/>
        <v>14</v>
      </c>
      <c r="AD395" t="str">
        <f t="shared" si="95"/>
        <v>Late</v>
      </c>
      <c r="AE395">
        <f t="shared" si="96"/>
        <v>0</v>
      </c>
      <c r="AF395">
        <f t="shared" si="97"/>
        <v>1</v>
      </c>
    </row>
    <row r="396" spans="1:32" x14ac:dyDescent="0.25">
      <c r="A396" s="3" t="s">
        <v>400</v>
      </c>
      <c r="B396" s="4">
        <v>45075</v>
      </c>
      <c r="C396" s="4" t="str">
        <f t="shared" si="84"/>
        <v>May-2023</v>
      </c>
      <c r="D396" s="4" t="str">
        <f t="shared" si="85"/>
        <v>Q2</v>
      </c>
      <c r="E396" s="4">
        <v>45097</v>
      </c>
      <c r="F396" s="10">
        <f t="shared" si="86"/>
        <v>22</v>
      </c>
      <c r="G396" s="3" t="s">
        <v>641</v>
      </c>
      <c r="H396" s="3" t="s">
        <v>650</v>
      </c>
      <c r="I396" s="3" t="s">
        <v>675</v>
      </c>
      <c r="J396" t="str">
        <f t="shared" si="87"/>
        <v>Europe &gt; United Kingdom &gt; London</v>
      </c>
      <c r="K396" s="3" t="s">
        <v>697</v>
      </c>
      <c r="L396" s="3" t="s">
        <v>703</v>
      </c>
      <c r="M396" s="3" t="s">
        <v>715</v>
      </c>
      <c r="N396" s="3" t="s">
        <v>719</v>
      </c>
      <c r="O396" s="3" t="s">
        <v>1118</v>
      </c>
      <c r="P396" s="6">
        <v>1295.3900000000001</v>
      </c>
      <c r="Q396" s="6">
        <v>2905.06</v>
      </c>
      <c r="R396" s="6" t="str">
        <f t="shared" si="88"/>
        <v>High</v>
      </c>
      <c r="S396" s="6">
        <v>0.14799999999999999</v>
      </c>
      <c r="T396" s="6">
        <v>8</v>
      </c>
      <c r="U396">
        <f t="shared" si="89"/>
        <v>19800.88896</v>
      </c>
      <c r="V396">
        <f t="shared" si="94"/>
        <v>569746.74615000014</v>
      </c>
      <c r="W396">
        <f t="shared" si="90"/>
        <v>10363.120000000001</v>
      </c>
      <c r="X396" s="6">
        <f t="shared" si="91"/>
        <v>9437.7689599999994</v>
      </c>
      <c r="Y396">
        <f t="shared" si="92"/>
        <v>0.47663359857556614</v>
      </c>
      <c r="Z396">
        <v>202305</v>
      </c>
      <c r="AA396" s="18">
        <v>202301</v>
      </c>
      <c r="AB396" t="str">
        <v>May-2023</v>
      </c>
      <c r="AC396">
        <f t="shared" si="93"/>
        <v>4</v>
      </c>
      <c r="AD396" t="str">
        <f t="shared" si="95"/>
        <v>Late</v>
      </c>
      <c r="AE396">
        <f t="shared" si="96"/>
        <v>0</v>
      </c>
      <c r="AF396">
        <f t="shared" si="97"/>
        <v>0</v>
      </c>
    </row>
    <row r="397" spans="1:32" x14ac:dyDescent="0.25">
      <c r="A397" s="3" t="s">
        <v>401</v>
      </c>
      <c r="B397" s="4">
        <v>45804</v>
      </c>
      <c r="C397" s="4" t="str">
        <f t="shared" si="84"/>
        <v>May-2025</v>
      </c>
      <c r="D397" s="4" t="str">
        <f t="shared" si="85"/>
        <v>Q2</v>
      </c>
      <c r="E397" s="4">
        <v>45816</v>
      </c>
      <c r="F397" s="10">
        <f t="shared" si="86"/>
        <v>12</v>
      </c>
      <c r="G397" s="3" t="s">
        <v>639</v>
      </c>
      <c r="H397" s="3" t="s">
        <v>644</v>
      </c>
      <c r="I397" s="3" t="s">
        <v>658</v>
      </c>
      <c r="J397" t="str">
        <f t="shared" si="87"/>
        <v>Asia &gt; Japan &gt; Osaka</v>
      </c>
      <c r="K397" s="3" t="s">
        <v>693</v>
      </c>
      <c r="L397" s="3" t="s">
        <v>699</v>
      </c>
      <c r="M397" s="3" t="s">
        <v>714</v>
      </c>
      <c r="N397" s="3" t="s">
        <v>725</v>
      </c>
      <c r="O397" s="3" t="s">
        <v>1119</v>
      </c>
      <c r="P397" s="6">
        <v>653.6</v>
      </c>
      <c r="Q397" s="6">
        <v>842.09</v>
      </c>
      <c r="R397" s="6" t="str">
        <f t="shared" si="88"/>
        <v>Medium</v>
      </c>
      <c r="S397" s="6">
        <v>9.8000000000000004E-2</v>
      </c>
      <c r="T397" s="6">
        <v>19</v>
      </c>
      <c r="U397">
        <f t="shared" si="89"/>
        <v>14431.738420000001</v>
      </c>
      <c r="V397">
        <f t="shared" si="94"/>
        <v>549945.85719000013</v>
      </c>
      <c r="W397">
        <f t="shared" si="90"/>
        <v>12418.4</v>
      </c>
      <c r="X397" s="6">
        <f t="shared" si="91"/>
        <v>2013.3384200000019</v>
      </c>
      <c r="Y397">
        <f t="shared" si="92"/>
        <v>0.13950768517324622</v>
      </c>
      <c r="Z397">
        <v>202505</v>
      </c>
      <c r="AA397" s="18">
        <v>202303</v>
      </c>
      <c r="AB397" t="str">
        <v>May-2023</v>
      </c>
      <c r="AC397">
        <f t="shared" si="93"/>
        <v>26</v>
      </c>
      <c r="AD397" t="str">
        <f t="shared" si="95"/>
        <v>Late</v>
      </c>
      <c r="AE397">
        <f t="shared" si="96"/>
        <v>0</v>
      </c>
      <c r="AF397">
        <f t="shared" si="97"/>
        <v>0</v>
      </c>
    </row>
    <row r="398" spans="1:32" x14ac:dyDescent="0.25">
      <c r="A398" s="3" t="s">
        <v>402</v>
      </c>
      <c r="B398" s="4">
        <v>45890</v>
      </c>
      <c r="C398" s="4" t="str">
        <f t="shared" si="84"/>
        <v>Aug-2025</v>
      </c>
      <c r="D398" s="4" t="str">
        <f t="shared" si="85"/>
        <v>Q3</v>
      </c>
      <c r="E398" s="4">
        <v>45914</v>
      </c>
      <c r="F398" s="10">
        <f t="shared" si="86"/>
        <v>24</v>
      </c>
      <c r="G398" s="3" t="s">
        <v>641</v>
      </c>
      <c r="H398" s="3" t="s">
        <v>648</v>
      </c>
      <c r="I398" s="3" t="s">
        <v>663</v>
      </c>
      <c r="J398" t="str">
        <f t="shared" si="87"/>
        <v>Europe &gt; Germany &gt; Berlin</v>
      </c>
      <c r="K398" s="3" t="s">
        <v>695</v>
      </c>
      <c r="L398" s="3" t="s">
        <v>700</v>
      </c>
      <c r="M398" s="3" t="s">
        <v>712</v>
      </c>
      <c r="N398" s="3" t="s">
        <v>724</v>
      </c>
      <c r="O398" s="3" t="s">
        <v>1120</v>
      </c>
      <c r="P398" s="6">
        <v>1397.67</v>
      </c>
      <c r="Q398" s="6">
        <v>3131.37</v>
      </c>
      <c r="R398" s="6" t="str">
        <f t="shared" si="88"/>
        <v>High</v>
      </c>
      <c r="S398" s="6">
        <v>0.10299999999999999</v>
      </c>
      <c r="T398" s="6">
        <v>20</v>
      </c>
      <c r="U398">
        <f t="shared" si="89"/>
        <v>56176.777799999996</v>
      </c>
      <c r="V398">
        <f t="shared" si="94"/>
        <v>549945.85719000013</v>
      </c>
      <c r="W398">
        <f t="shared" si="90"/>
        <v>27953.4</v>
      </c>
      <c r="X398" s="6">
        <f t="shared" si="91"/>
        <v>28223.377799999995</v>
      </c>
      <c r="Y398">
        <f t="shared" si="92"/>
        <v>0.50240293062874808</v>
      </c>
      <c r="Z398">
        <v>202508</v>
      </c>
      <c r="AA398" s="18">
        <v>202301</v>
      </c>
      <c r="AB398" t="str">
        <v>Aug-2023</v>
      </c>
      <c r="AC398">
        <f t="shared" si="93"/>
        <v>31</v>
      </c>
      <c r="AD398" t="str">
        <f t="shared" si="95"/>
        <v>Late</v>
      </c>
      <c r="AE398">
        <f t="shared" si="96"/>
        <v>0</v>
      </c>
      <c r="AF398">
        <f t="shared" si="97"/>
        <v>0</v>
      </c>
    </row>
    <row r="399" spans="1:32" x14ac:dyDescent="0.25">
      <c r="A399" s="3" t="s">
        <v>403</v>
      </c>
      <c r="B399" s="4">
        <v>45638</v>
      </c>
      <c r="C399" s="4" t="str">
        <f t="shared" si="84"/>
        <v>Dec-2024</v>
      </c>
      <c r="D399" s="4" t="str">
        <f t="shared" si="85"/>
        <v>Q4</v>
      </c>
      <c r="E399" s="4">
        <v>45646</v>
      </c>
      <c r="F399" s="10">
        <f t="shared" si="86"/>
        <v>8</v>
      </c>
      <c r="G399" s="3" t="s">
        <v>639</v>
      </c>
      <c r="H399" s="3" t="s">
        <v>644</v>
      </c>
      <c r="I399" s="3" t="s">
        <v>681</v>
      </c>
      <c r="J399" t="str">
        <f t="shared" si="87"/>
        <v>Asia &gt; Japan &gt; Tokyo</v>
      </c>
      <c r="K399" s="3" t="s">
        <v>693</v>
      </c>
      <c r="L399" s="3" t="s">
        <v>699</v>
      </c>
      <c r="M399" s="3" t="s">
        <v>709</v>
      </c>
      <c r="N399" s="3" t="s">
        <v>723</v>
      </c>
      <c r="O399" s="3" t="s">
        <v>1121</v>
      </c>
      <c r="P399" s="6">
        <v>1202.47</v>
      </c>
      <c r="Q399" s="6">
        <v>1444.72</v>
      </c>
      <c r="R399" s="6" t="str">
        <f t="shared" si="88"/>
        <v>High</v>
      </c>
      <c r="S399" s="6">
        <v>0.24099999999999999</v>
      </c>
      <c r="T399" s="6">
        <v>17</v>
      </c>
      <c r="U399">
        <f t="shared" si="89"/>
        <v>18641.222160000001</v>
      </c>
      <c r="V399">
        <f t="shared" si="94"/>
        <v>549945.85719000013</v>
      </c>
      <c r="W399">
        <f t="shared" si="90"/>
        <v>20441.990000000002</v>
      </c>
      <c r="X399" s="6">
        <f t="shared" si="91"/>
        <v>-1800.7678400000004</v>
      </c>
      <c r="Y399">
        <f t="shared" si="92"/>
        <v>-9.6601382921343834E-2</v>
      </c>
      <c r="Z399">
        <v>202412</v>
      </c>
      <c r="AA399" s="18">
        <v>202303</v>
      </c>
      <c r="AB399" t="str">
        <v>Dec-2023</v>
      </c>
      <c r="AC399">
        <f t="shared" si="93"/>
        <v>21</v>
      </c>
      <c r="AD399" t="str">
        <f t="shared" si="95"/>
        <v>Late</v>
      </c>
      <c r="AE399">
        <f t="shared" si="96"/>
        <v>0</v>
      </c>
      <c r="AF399">
        <f t="shared" si="97"/>
        <v>1</v>
      </c>
    </row>
    <row r="400" spans="1:32" x14ac:dyDescent="0.25">
      <c r="A400" s="3" t="s">
        <v>404</v>
      </c>
      <c r="B400" s="4">
        <v>45914</v>
      </c>
      <c r="C400" s="4" t="str">
        <f t="shared" si="84"/>
        <v>Sept-2025</v>
      </c>
      <c r="D400" s="4" t="str">
        <f t="shared" si="85"/>
        <v>Q3</v>
      </c>
      <c r="E400" s="4">
        <v>45923</v>
      </c>
      <c r="F400" s="10">
        <f t="shared" si="86"/>
        <v>9</v>
      </c>
      <c r="G400" s="3" t="s">
        <v>638</v>
      </c>
      <c r="H400" s="3" t="s">
        <v>653</v>
      </c>
      <c r="I400" s="3" t="s">
        <v>679</v>
      </c>
      <c r="J400" t="str">
        <f t="shared" si="87"/>
        <v>Africa &gt; South Africa &gt; Durban</v>
      </c>
      <c r="K400" s="3" t="s">
        <v>695</v>
      </c>
      <c r="L400" s="3" t="s">
        <v>700</v>
      </c>
      <c r="M400" s="3" t="s">
        <v>718</v>
      </c>
      <c r="N400" s="3" t="s">
        <v>719</v>
      </c>
      <c r="O400" s="3" t="s">
        <v>1122</v>
      </c>
      <c r="P400" s="6">
        <v>1310.3</v>
      </c>
      <c r="Q400" s="6">
        <v>2875.8</v>
      </c>
      <c r="R400" s="6" t="str">
        <f t="shared" si="88"/>
        <v>High</v>
      </c>
      <c r="S400" s="6">
        <v>8.3000000000000004E-2</v>
      </c>
      <c r="T400" s="6">
        <v>5</v>
      </c>
      <c r="U400">
        <f t="shared" si="89"/>
        <v>13185.543</v>
      </c>
      <c r="V400">
        <f t="shared" si="94"/>
        <v>549945.85719000013</v>
      </c>
      <c r="W400">
        <f t="shared" si="90"/>
        <v>6551.5</v>
      </c>
      <c r="X400" s="6">
        <f t="shared" si="91"/>
        <v>6634.0429999999997</v>
      </c>
      <c r="Y400">
        <f t="shared" si="92"/>
        <v>0.50313005691157353</v>
      </c>
      <c r="Z400">
        <v>202509</v>
      </c>
      <c r="AA400" s="18">
        <v>202301</v>
      </c>
      <c r="AB400" t="str">
        <v>Sept-2023</v>
      </c>
      <c r="AC400">
        <f t="shared" si="93"/>
        <v>32</v>
      </c>
      <c r="AD400" t="str">
        <f t="shared" si="95"/>
        <v>Late</v>
      </c>
      <c r="AE400">
        <f t="shared" si="96"/>
        <v>0</v>
      </c>
      <c r="AF400">
        <f t="shared" si="97"/>
        <v>0</v>
      </c>
    </row>
    <row r="401" spans="1:32" x14ac:dyDescent="0.25">
      <c r="A401" s="3" t="s">
        <v>405</v>
      </c>
      <c r="B401" s="4">
        <v>45541</v>
      </c>
      <c r="C401" s="4" t="str">
        <f t="shared" si="84"/>
        <v>Sept-2024</v>
      </c>
      <c r="D401" s="4" t="str">
        <f t="shared" si="85"/>
        <v>Q3</v>
      </c>
      <c r="E401" s="4">
        <v>45569</v>
      </c>
      <c r="F401" s="10">
        <f t="shared" si="86"/>
        <v>28</v>
      </c>
      <c r="G401" s="3" t="s">
        <v>638</v>
      </c>
      <c r="H401" s="3" t="s">
        <v>653</v>
      </c>
      <c r="I401" s="3" t="s">
        <v>687</v>
      </c>
      <c r="J401" t="str">
        <f t="shared" si="87"/>
        <v>Africa &gt; South Africa &gt; Cape Town</v>
      </c>
      <c r="K401" s="3" t="s">
        <v>693</v>
      </c>
      <c r="L401" s="3" t="s">
        <v>701</v>
      </c>
      <c r="M401" s="3" t="s">
        <v>718</v>
      </c>
      <c r="N401" s="3" t="s">
        <v>724</v>
      </c>
      <c r="O401" s="3" t="s">
        <v>1123</v>
      </c>
      <c r="P401" s="6">
        <v>1174.17</v>
      </c>
      <c r="Q401" s="6">
        <v>1641.61</v>
      </c>
      <c r="R401" s="6" t="str">
        <f t="shared" si="88"/>
        <v>High</v>
      </c>
      <c r="S401" s="6">
        <v>0.122</v>
      </c>
      <c r="T401" s="6">
        <v>9</v>
      </c>
      <c r="U401">
        <f t="shared" si="89"/>
        <v>12972.00222</v>
      </c>
      <c r="V401">
        <f t="shared" si="94"/>
        <v>536760.31419000006</v>
      </c>
      <c r="W401">
        <f t="shared" si="90"/>
        <v>10567.53</v>
      </c>
      <c r="X401" s="6">
        <f t="shared" si="91"/>
        <v>2404.4722199999997</v>
      </c>
      <c r="Y401">
        <f t="shared" si="92"/>
        <v>0.18535860380079394</v>
      </c>
      <c r="Z401">
        <v>202409</v>
      </c>
      <c r="AA401" s="18">
        <v>202301</v>
      </c>
      <c r="AB401" t="str">
        <v>Sept-2023</v>
      </c>
      <c r="AC401">
        <f t="shared" si="93"/>
        <v>20</v>
      </c>
      <c r="AD401" t="str">
        <f t="shared" si="95"/>
        <v>Late</v>
      </c>
      <c r="AE401">
        <f t="shared" si="96"/>
        <v>0</v>
      </c>
      <c r="AF401">
        <f t="shared" si="97"/>
        <v>0</v>
      </c>
    </row>
    <row r="402" spans="1:32" x14ac:dyDescent="0.25">
      <c r="A402" s="3" t="s">
        <v>406</v>
      </c>
      <c r="B402" s="4">
        <v>45759</v>
      </c>
      <c r="C402" s="4" t="str">
        <f t="shared" si="84"/>
        <v>Apr-2025</v>
      </c>
      <c r="D402" s="4" t="str">
        <f t="shared" si="85"/>
        <v>Q2</v>
      </c>
      <c r="E402" s="4">
        <v>45777</v>
      </c>
      <c r="F402" s="10">
        <f t="shared" si="86"/>
        <v>18</v>
      </c>
      <c r="G402" s="3" t="s">
        <v>638</v>
      </c>
      <c r="H402" s="3" t="s">
        <v>642</v>
      </c>
      <c r="I402" s="3" t="s">
        <v>654</v>
      </c>
      <c r="J402" t="str">
        <f t="shared" si="87"/>
        <v>Africa &gt; Kenya &gt; Kisumu</v>
      </c>
      <c r="K402" s="3" t="s">
        <v>693</v>
      </c>
      <c r="L402" s="3" t="s">
        <v>701</v>
      </c>
      <c r="M402" s="3" t="s">
        <v>713</v>
      </c>
      <c r="N402" s="3" t="s">
        <v>721</v>
      </c>
      <c r="O402" s="3" t="s">
        <v>1124</v>
      </c>
      <c r="P402" s="6">
        <v>1119.04</v>
      </c>
      <c r="Q402" s="6">
        <v>1299.02</v>
      </c>
      <c r="R402" s="6" t="str">
        <f t="shared" si="88"/>
        <v>High</v>
      </c>
      <c r="S402" s="6">
        <v>2.5000000000000001E-2</v>
      </c>
      <c r="T402" s="6">
        <v>14</v>
      </c>
      <c r="U402">
        <f t="shared" si="89"/>
        <v>17731.623</v>
      </c>
      <c r="V402">
        <f t="shared" si="94"/>
        <v>536760.31419000006</v>
      </c>
      <c r="W402">
        <f t="shared" si="90"/>
        <v>15666.56</v>
      </c>
      <c r="X402" s="6">
        <f t="shared" si="91"/>
        <v>2065.0630000000001</v>
      </c>
      <c r="Y402">
        <f t="shared" si="92"/>
        <v>0.11646215352085933</v>
      </c>
      <c r="Z402">
        <v>202504</v>
      </c>
      <c r="AA402" s="18">
        <v>202301</v>
      </c>
      <c r="AB402" t="str">
        <v>Apr-2023</v>
      </c>
      <c r="AC402">
        <f t="shared" si="93"/>
        <v>27</v>
      </c>
      <c r="AD402" t="str">
        <f t="shared" si="95"/>
        <v>Late</v>
      </c>
      <c r="AE402">
        <f t="shared" si="96"/>
        <v>0</v>
      </c>
      <c r="AF402">
        <f t="shared" si="97"/>
        <v>0</v>
      </c>
    </row>
    <row r="403" spans="1:32" x14ac:dyDescent="0.25">
      <c r="A403" s="3" t="s">
        <v>407</v>
      </c>
      <c r="B403" s="4">
        <v>45516</v>
      </c>
      <c r="C403" s="4" t="str">
        <f t="shared" si="84"/>
        <v>Aug-2024</v>
      </c>
      <c r="D403" s="4" t="str">
        <f t="shared" si="85"/>
        <v>Q3</v>
      </c>
      <c r="E403" s="4">
        <v>45519</v>
      </c>
      <c r="F403" s="10">
        <f t="shared" si="86"/>
        <v>3</v>
      </c>
      <c r="G403" s="3" t="s">
        <v>640</v>
      </c>
      <c r="H403" s="3" t="s">
        <v>652</v>
      </c>
      <c r="I403" s="3" t="s">
        <v>669</v>
      </c>
      <c r="J403" t="str">
        <f t="shared" si="87"/>
        <v>Americas &gt; USA &gt; Chicago</v>
      </c>
      <c r="K403" s="3" t="s">
        <v>693</v>
      </c>
      <c r="L403" s="3" t="s">
        <v>701</v>
      </c>
      <c r="M403" s="3" t="s">
        <v>718</v>
      </c>
      <c r="N403" s="3" t="s">
        <v>720</v>
      </c>
      <c r="O403" s="3" t="s">
        <v>1125</v>
      </c>
      <c r="P403" s="6">
        <v>850.7</v>
      </c>
      <c r="Q403" s="6">
        <v>1118.56</v>
      </c>
      <c r="R403" s="6" t="str">
        <f t="shared" si="88"/>
        <v>Medium</v>
      </c>
      <c r="S403" s="6">
        <v>0.18</v>
      </c>
      <c r="T403" s="6">
        <v>19</v>
      </c>
      <c r="U403">
        <f t="shared" si="89"/>
        <v>17427.164800000002</v>
      </c>
      <c r="V403">
        <f t="shared" si="94"/>
        <v>536760.31419000006</v>
      </c>
      <c r="W403">
        <f t="shared" si="90"/>
        <v>16163.300000000001</v>
      </c>
      <c r="X403" s="6">
        <f t="shared" si="91"/>
        <v>1263.8648000000012</v>
      </c>
      <c r="Y403">
        <f t="shared" si="92"/>
        <v>7.2522685962090688E-2</v>
      </c>
      <c r="Z403">
        <v>202408</v>
      </c>
      <c r="AA403" s="18">
        <v>202301</v>
      </c>
      <c r="AB403" t="str">
        <v>Aug-2023</v>
      </c>
      <c r="AC403">
        <f t="shared" si="93"/>
        <v>19</v>
      </c>
      <c r="AD403" t="str">
        <f t="shared" si="95"/>
        <v>On Time</v>
      </c>
      <c r="AE403">
        <f t="shared" si="96"/>
        <v>1</v>
      </c>
      <c r="AF403">
        <f t="shared" si="97"/>
        <v>0</v>
      </c>
    </row>
    <row r="404" spans="1:32" x14ac:dyDescent="0.25">
      <c r="A404" s="3" t="s">
        <v>408</v>
      </c>
      <c r="B404" s="4">
        <v>45601</v>
      </c>
      <c r="C404" s="4" t="str">
        <f t="shared" si="84"/>
        <v>Nov-2024</v>
      </c>
      <c r="D404" s="4" t="str">
        <f t="shared" si="85"/>
        <v>Q4</v>
      </c>
      <c r="E404" s="4">
        <v>45604</v>
      </c>
      <c r="F404" s="10">
        <f t="shared" si="86"/>
        <v>3</v>
      </c>
      <c r="G404" s="3" t="s">
        <v>640</v>
      </c>
      <c r="H404" s="3" t="s">
        <v>645</v>
      </c>
      <c r="I404" s="3" t="s">
        <v>659</v>
      </c>
      <c r="J404" t="str">
        <f t="shared" si="87"/>
        <v>Americas &gt; Canada &gt; Toronto</v>
      </c>
      <c r="K404" s="3" t="s">
        <v>694</v>
      </c>
      <c r="L404" s="3" t="s">
        <v>701</v>
      </c>
      <c r="M404" s="3" t="s">
        <v>711</v>
      </c>
      <c r="N404" s="3" t="s">
        <v>719</v>
      </c>
      <c r="O404" s="3" t="s">
        <v>1126</v>
      </c>
      <c r="P404" s="6">
        <v>1020.4</v>
      </c>
      <c r="Q404" s="6">
        <v>1184.71</v>
      </c>
      <c r="R404" s="6" t="str">
        <f t="shared" si="88"/>
        <v>High</v>
      </c>
      <c r="S404" s="6">
        <v>0.106</v>
      </c>
      <c r="T404" s="6">
        <v>16</v>
      </c>
      <c r="U404">
        <f t="shared" si="89"/>
        <v>16946.091840000001</v>
      </c>
      <c r="V404">
        <f t="shared" si="94"/>
        <v>536760.31419000006</v>
      </c>
      <c r="W404">
        <f t="shared" si="90"/>
        <v>16326.4</v>
      </c>
      <c r="X404" s="6">
        <f t="shared" si="91"/>
        <v>619.69184000000132</v>
      </c>
      <c r="Y404">
        <f t="shared" si="92"/>
        <v>3.6568422138328345E-2</v>
      </c>
      <c r="Z404">
        <v>202411</v>
      </c>
      <c r="AA404" s="18">
        <v>202301</v>
      </c>
      <c r="AB404" t="str">
        <v>Nov-2023</v>
      </c>
      <c r="AC404">
        <f t="shared" si="93"/>
        <v>22</v>
      </c>
      <c r="AD404" t="str">
        <f t="shared" si="95"/>
        <v>On Time</v>
      </c>
      <c r="AE404">
        <f t="shared" si="96"/>
        <v>1</v>
      </c>
      <c r="AF404">
        <f t="shared" si="97"/>
        <v>0</v>
      </c>
    </row>
    <row r="405" spans="1:32" x14ac:dyDescent="0.25">
      <c r="A405" s="3" t="s">
        <v>409</v>
      </c>
      <c r="B405" s="4">
        <v>45497</v>
      </c>
      <c r="C405" s="4" t="str">
        <f t="shared" si="84"/>
        <v>Jul-2024</v>
      </c>
      <c r="D405" s="4" t="str">
        <f t="shared" si="85"/>
        <v>Q3</v>
      </c>
      <c r="E405" s="4">
        <v>45512</v>
      </c>
      <c r="F405" s="10">
        <f t="shared" si="86"/>
        <v>15</v>
      </c>
      <c r="G405" s="3" t="s">
        <v>641</v>
      </c>
      <c r="H405" s="3" t="s">
        <v>649</v>
      </c>
      <c r="I405" s="3" t="s">
        <v>665</v>
      </c>
      <c r="J405" t="str">
        <f t="shared" si="87"/>
        <v>Europe &gt; France &gt; Marseille</v>
      </c>
      <c r="K405" s="3" t="s">
        <v>698</v>
      </c>
      <c r="L405" s="3" t="s">
        <v>701</v>
      </c>
      <c r="M405" s="3" t="s">
        <v>714</v>
      </c>
      <c r="N405" s="3" t="s">
        <v>723</v>
      </c>
      <c r="O405" s="3" t="s">
        <v>1127</v>
      </c>
      <c r="P405" s="6">
        <v>501.5</v>
      </c>
      <c r="Q405" s="6">
        <v>1201.47</v>
      </c>
      <c r="R405" s="6" t="str">
        <f t="shared" si="88"/>
        <v>Medium</v>
      </c>
      <c r="S405" s="6">
        <v>0.126</v>
      </c>
      <c r="T405" s="6">
        <v>5</v>
      </c>
      <c r="U405">
        <f t="shared" si="89"/>
        <v>5250.4239000000007</v>
      </c>
      <c r="V405">
        <f t="shared" si="94"/>
        <v>519814.22235000005</v>
      </c>
      <c r="W405">
        <f t="shared" si="90"/>
        <v>2507.5</v>
      </c>
      <c r="X405" s="6">
        <f t="shared" si="91"/>
        <v>2742.9239000000007</v>
      </c>
      <c r="Y405">
        <f t="shared" si="92"/>
        <v>0.52241951359394057</v>
      </c>
      <c r="Z405">
        <v>202407</v>
      </c>
      <c r="AA405" s="18">
        <v>202301</v>
      </c>
      <c r="AB405" t="str">
        <v>Jul-2023</v>
      </c>
      <c r="AC405">
        <f t="shared" si="93"/>
        <v>18</v>
      </c>
      <c r="AD405" t="str">
        <f t="shared" si="95"/>
        <v>Late</v>
      </c>
      <c r="AE405">
        <f t="shared" si="96"/>
        <v>0</v>
      </c>
      <c r="AF405">
        <f t="shared" si="97"/>
        <v>0</v>
      </c>
    </row>
    <row r="406" spans="1:32" x14ac:dyDescent="0.25">
      <c r="A406" s="3" t="s">
        <v>410</v>
      </c>
      <c r="B406" s="4">
        <v>45677</v>
      </c>
      <c r="C406" s="4" t="str">
        <f t="shared" si="84"/>
        <v>Jan-2025</v>
      </c>
      <c r="D406" s="4" t="str">
        <f t="shared" si="85"/>
        <v>Q1</v>
      </c>
      <c r="E406" s="4">
        <v>45691</v>
      </c>
      <c r="F406" s="10">
        <f t="shared" si="86"/>
        <v>14</v>
      </c>
      <c r="G406" s="3" t="s">
        <v>640</v>
      </c>
      <c r="H406" s="3" t="s">
        <v>647</v>
      </c>
      <c r="I406" s="3" t="s">
        <v>664</v>
      </c>
      <c r="J406" t="str">
        <f t="shared" si="87"/>
        <v>Americas &gt; Brazil &gt; Brasília</v>
      </c>
      <c r="K406" s="3" t="s">
        <v>698</v>
      </c>
      <c r="L406" s="3" t="s">
        <v>701</v>
      </c>
      <c r="M406" s="3" t="s">
        <v>713</v>
      </c>
      <c r="N406" s="3" t="s">
        <v>719</v>
      </c>
      <c r="O406" s="3" t="s">
        <v>1128</v>
      </c>
      <c r="P406" s="6">
        <v>974.11</v>
      </c>
      <c r="Q406" s="6">
        <v>880.99</v>
      </c>
      <c r="R406" s="6" t="str">
        <f t="shared" si="88"/>
        <v>Medium</v>
      </c>
      <c r="S406" s="6">
        <v>0.111</v>
      </c>
      <c r="T406" s="6">
        <v>10</v>
      </c>
      <c r="U406">
        <f t="shared" si="89"/>
        <v>7832.0010999999995</v>
      </c>
      <c r="V406">
        <f t="shared" si="94"/>
        <v>519814.22235000005</v>
      </c>
      <c r="W406">
        <f t="shared" si="90"/>
        <v>9741.1</v>
      </c>
      <c r="X406" s="6">
        <f t="shared" si="91"/>
        <v>-1909.0989000000009</v>
      </c>
      <c r="Y406">
        <f t="shared" si="92"/>
        <v>-0.2437562093805121</v>
      </c>
      <c r="Z406">
        <v>202501</v>
      </c>
      <c r="AA406" s="18">
        <v>202301</v>
      </c>
      <c r="AB406" t="str">
        <v>Jan-2023</v>
      </c>
      <c r="AC406">
        <f t="shared" si="93"/>
        <v>24</v>
      </c>
      <c r="AD406" t="str">
        <f t="shared" si="95"/>
        <v>Late</v>
      </c>
      <c r="AE406">
        <f t="shared" si="96"/>
        <v>0</v>
      </c>
      <c r="AF406">
        <f t="shared" si="97"/>
        <v>0</v>
      </c>
    </row>
    <row r="407" spans="1:32" x14ac:dyDescent="0.25">
      <c r="A407" s="3" t="s">
        <v>411</v>
      </c>
      <c r="B407" s="4">
        <v>44991</v>
      </c>
      <c r="C407" s="4" t="str">
        <f t="shared" si="84"/>
        <v>Mar-2023</v>
      </c>
      <c r="D407" s="4" t="str">
        <f t="shared" si="85"/>
        <v>Q1</v>
      </c>
      <c r="E407" s="4">
        <v>45020</v>
      </c>
      <c r="F407" s="10">
        <f t="shared" si="86"/>
        <v>29</v>
      </c>
      <c r="G407" s="3" t="s">
        <v>639</v>
      </c>
      <c r="H407" s="3" t="s">
        <v>651</v>
      </c>
      <c r="I407" s="3" t="s">
        <v>691</v>
      </c>
      <c r="J407" t="str">
        <f t="shared" si="87"/>
        <v>Asia &gt; China &gt; Beijing</v>
      </c>
      <c r="K407" s="3" t="s">
        <v>697</v>
      </c>
      <c r="L407" s="3" t="s">
        <v>703</v>
      </c>
      <c r="M407" s="3" t="s">
        <v>704</v>
      </c>
      <c r="N407" s="3" t="s">
        <v>724</v>
      </c>
      <c r="O407" s="3" t="s">
        <v>1129</v>
      </c>
      <c r="P407" s="6">
        <v>1126.29</v>
      </c>
      <c r="Q407" s="6">
        <v>2050.87</v>
      </c>
      <c r="R407" s="6" t="str">
        <f t="shared" si="88"/>
        <v>High</v>
      </c>
      <c r="S407" s="6">
        <v>6.4000000000000001E-2</v>
      </c>
      <c r="T407" s="6">
        <v>7</v>
      </c>
      <c r="U407">
        <f t="shared" si="89"/>
        <v>13437.300239999999</v>
      </c>
      <c r="V407">
        <f t="shared" si="94"/>
        <v>511982.22125000006</v>
      </c>
      <c r="W407">
        <f t="shared" si="90"/>
        <v>7884.03</v>
      </c>
      <c r="X407" s="6">
        <f t="shared" si="91"/>
        <v>5553.2702399999989</v>
      </c>
      <c r="Y407">
        <f t="shared" si="92"/>
        <v>0.41327276616690373</v>
      </c>
      <c r="Z407">
        <v>202303</v>
      </c>
      <c r="AA407" s="18">
        <v>202301</v>
      </c>
      <c r="AB407" t="str">
        <v>Mar-2023</v>
      </c>
      <c r="AC407">
        <f t="shared" si="93"/>
        <v>2</v>
      </c>
      <c r="AD407" t="str">
        <f t="shared" si="95"/>
        <v>Late</v>
      </c>
      <c r="AE407">
        <f t="shared" si="96"/>
        <v>0</v>
      </c>
      <c r="AF407">
        <f t="shared" si="97"/>
        <v>0</v>
      </c>
    </row>
    <row r="408" spans="1:32" x14ac:dyDescent="0.25">
      <c r="A408" s="3" t="s">
        <v>412</v>
      </c>
      <c r="B408" s="4">
        <v>45646</v>
      </c>
      <c r="C408" s="4" t="str">
        <f t="shared" si="84"/>
        <v>Dec-2024</v>
      </c>
      <c r="D408" s="4" t="str">
        <f t="shared" si="85"/>
        <v>Q4</v>
      </c>
      <c r="E408" s="4">
        <v>45671</v>
      </c>
      <c r="F408" s="10">
        <f t="shared" si="86"/>
        <v>25</v>
      </c>
      <c r="G408" s="3" t="s">
        <v>639</v>
      </c>
      <c r="H408" s="3" t="s">
        <v>646</v>
      </c>
      <c r="I408" s="3" t="s">
        <v>672</v>
      </c>
      <c r="J408" t="str">
        <f t="shared" si="87"/>
        <v>Asia &gt; India &gt; Delhi</v>
      </c>
      <c r="K408" s="3" t="s">
        <v>697</v>
      </c>
      <c r="L408" s="3" t="s">
        <v>699</v>
      </c>
      <c r="M408" s="3" t="s">
        <v>716</v>
      </c>
      <c r="N408" s="3" t="s">
        <v>720</v>
      </c>
      <c r="O408" s="3" t="s">
        <v>1130</v>
      </c>
      <c r="P408" s="6">
        <v>1361.34</v>
      </c>
      <c r="Q408" s="6">
        <v>1737.9</v>
      </c>
      <c r="R408" s="6" t="str">
        <f t="shared" si="88"/>
        <v>High</v>
      </c>
      <c r="S408" s="6">
        <v>7.6999999999999999E-2</v>
      </c>
      <c r="T408" s="6">
        <v>14</v>
      </c>
      <c r="U408">
        <f t="shared" si="89"/>
        <v>22457.143800000002</v>
      </c>
      <c r="V408">
        <f t="shared" si="94"/>
        <v>511982.22125000006</v>
      </c>
      <c r="W408">
        <f t="shared" si="90"/>
        <v>19058.759999999998</v>
      </c>
      <c r="X408" s="6">
        <f t="shared" si="91"/>
        <v>3398.3838000000032</v>
      </c>
      <c r="Y408">
        <f t="shared" si="92"/>
        <v>0.15132751654731813</v>
      </c>
      <c r="Z408">
        <v>202412</v>
      </c>
      <c r="AA408" s="18">
        <v>202301</v>
      </c>
      <c r="AB408" t="str">
        <v>Dec-2023</v>
      </c>
      <c r="AC408">
        <f t="shared" si="93"/>
        <v>23</v>
      </c>
      <c r="AD408" t="str">
        <f t="shared" si="95"/>
        <v>Late</v>
      </c>
      <c r="AE408">
        <f t="shared" si="96"/>
        <v>0</v>
      </c>
      <c r="AF408">
        <f t="shared" si="97"/>
        <v>0</v>
      </c>
    </row>
    <row r="409" spans="1:32" x14ac:dyDescent="0.25">
      <c r="A409" s="3" t="s">
        <v>413</v>
      </c>
      <c r="B409" s="4">
        <v>45709</v>
      </c>
      <c r="C409" s="4" t="str">
        <f t="shared" si="84"/>
        <v>Feb-2025</v>
      </c>
      <c r="D409" s="4" t="str">
        <f t="shared" si="85"/>
        <v>Q1</v>
      </c>
      <c r="E409" s="4">
        <v>45737</v>
      </c>
      <c r="F409" s="10">
        <f t="shared" si="86"/>
        <v>28</v>
      </c>
      <c r="G409" s="3" t="s">
        <v>638</v>
      </c>
      <c r="H409" s="3" t="s">
        <v>643</v>
      </c>
      <c r="I409" s="3" t="s">
        <v>661</v>
      </c>
      <c r="J409" t="str">
        <f t="shared" si="87"/>
        <v>Africa &gt; Nigeria &gt; Abuja</v>
      </c>
      <c r="K409" s="3" t="s">
        <v>698</v>
      </c>
      <c r="L409" s="3" t="s">
        <v>701</v>
      </c>
      <c r="M409" s="3" t="s">
        <v>706</v>
      </c>
      <c r="N409" s="3" t="s">
        <v>722</v>
      </c>
      <c r="O409" s="3" t="s">
        <v>1131</v>
      </c>
      <c r="P409" s="6">
        <v>1437.39</v>
      </c>
      <c r="Q409" s="6">
        <v>1388.31</v>
      </c>
      <c r="R409" s="6" t="str">
        <f t="shared" si="88"/>
        <v>High</v>
      </c>
      <c r="S409" s="6">
        <v>0.13800000000000001</v>
      </c>
      <c r="T409" s="6">
        <v>18</v>
      </c>
      <c r="U409">
        <f t="shared" si="89"/>
        <v>21541.017959999997</v>
      </c>
      <c r="V409">
        <f t="shared" si="94"/>
        <v>511982.22125000006</v>
      </c>
      <c r="W409">
        <f t="shared" si="90"/>
        <v>25873.02</v>
      </c>
      <c r="X409" s="6">
        <f t="shared" si="91"/>
        <v>-4332.002040000003</v>
      </c>
      <c r="Y409">
        <f t="shared" si="92"/>
        <v>-0.20110479681341872</v>
      </c>
      <c r="Z409">
        <v>202502</v>
      </c>
      <c r="AA409" s="18">
        <v>202301</v>
      </c>
      <c r="AB409" t="str">
        <v>Feb-2023</v>
      </c>
      <c r="AC409">
        <f t="shared" si="93"/>
        <v>25</v>
      </c>
      <c r="AD409" t="str">
        <f t="shared" si="95"/>
        <v>Late</v>
      </c>
      <c r="AE409">
        <f t="shared" si="96"/>
        <v>0</v>
      </c>
      <c r="AF409">
        <f t="shared" si="97"/>
        <v>0</v>
      </c>
    </row>
    <row r="410" spans="1:32" x14ac:dyDescent="0.25">
      <c r="A410" s="3" t="s">
        <v>414</v>
      </c>
      <c r="B410" s="4">
        <v>45724</v>
      </c>
      <c r="C410" s="4" t="str">
        <f t="shared" si="84"/>
        <v>Mar-2025</v>
      </c>
      <c r="D410" s="4" t="str">
        <f t="shared" si="85"/>
        <v>Q1</v>
      </c>
      <c r="E410" s="4">
        <v>45731</v>
      </c>
      <c r="F410" s="10">
        <f t="shared" si="86"/>
        <v>7</v>
      </c>
      <c r="G410" s="3" t="s">
        <v>639</v>
      </c>
      <c r="H410" s="3" t="s">
        <v>646</v>
      </c>
      <c r="I410" s="3" t="s">
        <v>660</v>
      </c>
      <c r="J410" t="str">
        <f t="shared" si="87"/>
        <v>Asia &gt; India &gt; Bengaluru</v>
      </c>
      <c r="K410" s="3" t="s">
        <v>693</v>
      </c>
      <c r="L410" s="3" t="s">
        <v>702</v>
      </c>
      <c r="M410" s="3" t="s">
        <v>715</v>
      </c>
      <c r="N410" s="3" t="s">
        <v>723</v>
      </c>
      <c r="O410" s="3" t="s">
        <v>1132</v>
      </c>
      <c r="P410" s="6">
        <v>475.66</v>
      </c>
      <c r="Q410" s="6">
        <v>529.14</v>
      </c>
      <c r="R410" s="6" t="str">
        <f t="shared" si="88"/>
        <v>Low</v>
      </c>
      <c r="S410" s="6">
        <v>0.19600000000000001</v>
      </c>
      <c r="T410" s="6">
        <v>11</v>
      </c>
      <c r="U410">
        <f t="shared" si="89"/>
        <v>4679.7141600000004</v>
      </c>
      <c r="V410">
        <f t="shared" si="94"/>
        <v>511982.22125000006</v>
      </c>
      <c r="W410">
        <f t="shared" si="90"/>
        <v>5232.26</v>
      </c>
      <c r="X410" s="6">
        <f t="shared" si="91"/>
        <v>-552.54583999999977</v>
      </c>
      <c r="Y410">
        <f t="shared" si="92"/>
        <v>-0.11807256193613323</v>
      </c>
      <c r="Z410">
        <v>202503</v>
      </c>
      <c r="AA410" s="18">
        <v>202301</v>
      </c>
      <c r="AB410" t="str">
        <v>Mar-2023</v>
      </c>
      <c r="AC410">
        <f t="shared" si="93"/>
        <v>26</v>
      </c>
      <c r="AD410" t="str">
        <f t="shared" si="95"/>
        <v>On Time</v>
      </c>
      <c r="AE410">
        <f t="shared" si="96"/>
        <v>1</v>
      </c>
      <c r="AF410">
        <f t="shared" si="97"/>
        <v>0</v>
      </c>
    </row>
    <row r="411" spans="1:32" x14ac:dyDescent="0.25">
      <c r="A411" s="3" t="s">
        <v>415</v>
      </c>
      <c r="B411" s="4">
        <v>45276</v>
      </c>
      <c r="C411" s="4" t="str">
        <f t="shared" si="84"/>
        <v>Dec-2023</v>
      </c>
      <c r="D411" s="4" t="str">
        <f t="shared" si="85"/>
        <v>Q4</v>
      </c>
      <c r="E411" s="4">
        <v>45279</v>
      </c>
      <c r="F411" s="10">
        <f t="shared" si="86"/>
        <v>3</v>
      </c>
      <c r="G411" s="3" t="s">
        <v>639</v>
      </c>
      <c r="H411" s="3" t="s">
        <v>651</v>
      </c>
      <c r="I411" s="3" t="s">
        <v>691</v>
      </c>
      <c r="J411" t="str">
        <f t="shared" si="87"/>
        <v>Asia &gt; China &gt; Beijing</v>
      </c>
      <c r="K411" s="3" t="s">
        <v>694</v>
      </c>
      <c r="L411" s="3" t="s">
        <v>699</v>
      </c>
      <c r="M411" s="3" t="s">
        <v>712</v>
      </c>
      <c r="N411" s="3" t="s">
        <v>725</v>
      </c>
      <c r="O411" s="3" t="s">
        <v>1133</v>
      </c>
      <c r="P411" s="6">
        <v>1415.05</v>
      </c>
      <c r="Q411" s="6">
        <v>1972.38</v>
      </c>
      <c r="R411" s="6" t="str">
        <f t="shared" si="88"/>
        <v>High</v>
      </c>
      <c r="S411" s="6">
        <v>0</v>
      </c>
      <c r="T411" s="6">
        <v>12</v>
      </c>
      <c r="U411">
        <f t="shared" si="89"/>
        <v>23668.560000000001</v>
      </c>
      <c r="V411">
        <f t="shared" si="94"/>
        <v>511982.22125000006</v>
      </c>
      <c r="W411">
        <f t="shared" si="90"/>
        <v>16980.599999999999</v>
      </c>
      <c r="X411" s="6">
        <f t="shared" si="91"/>
        <v>6687.9600000000028</v>
      </c>
      <c r="Y411">
        <f t="shared" si="92"/>
        <v>0.28256725377462771</v>
      </c>
      <c r="Z411">
        <v>202312</v>
      </c>
      <c r="AA411" s="18">
        <v>202301</v>
      </c>
      <c r="AB411" t="str">
        <v>Dec-2023</v>
      </c>
      <c r="AC411">
        <f t="shared" si="93"/>
        <v>11</v>
      </c>
      <c r="AD411" t="str">
        <f t="shared" si="95"/>
        <v>On Time</v>
      </c>
      <c r="AE411">
        <f t="shared" si="96"/>
        <v>1</v>
      </c>
      <c r="AF411">
        <f t="shared" si="97"/>
        <v>0</v>
      </c>
    </row>
    <row r="412" spans="1:32" x14ac:dyDescent="0.25">
      <c r="A412" s="3" t="s">
        <v>416</v>
      </c>
      <c r="B412" s="4">
        <v>45534</v>
      </c>
      <c r="C412" s="4" t="str">
        <f t="shared" si="84"/>
        <v>Aug-2024</v>
      </c>
      <c r="D412" s="4" t="str">
        <f t="shared" si="85"/>
        <v>Q3</v>
      </c>
      <c r="E412" s="4">
        <v>45540</v>
      </c>
      <c r="F412" s="10">
        <f t="shared" si="86"/>
        <v>6</v>
      </c>
      <c r="G412" s="3" t="s">
        <v>639</v>
      </c>
      <c r="H412" s="3" t="s">
        <v>644</v>
      </c>
      <c r="I412" s="3" t="s">
        <v>686</v>
      </c>
      <c r="J412" t="str">
        <f t="shared" si="87"/>
        <v>Asia &gt; Japan &gt; Nagoya</v>
      </c>
      <c r="K412" s="3" t="s">
        <v>694</v>
      </c>
      <c r="L412" s="3" t="s">
        <v>700</v>
      </c>
      <c r="M412" s="3" t="s">
        <v>717</v>
      </c>
      <c r="N412" s="3" t="s">
        <v>723</v>
      </c>
      <c r="O412" s="3" t="s">
        <v>1134</v>
      </c>
      <c r="P412" s="6">
        <v>466.16</v>
      </c>
      <c r="Q412" s="6">
        <v>876.81</v>
      </c>
      <c r="R412" s="6" t="str">
        <f t="shared" si="88"/>
        <v>Low</v>
      </c>
      <c r="S412" s="6">
        <v>0.24099999999999999</v>
      </c>
      <c r="T412" s="6">
        <v>8</v>
      </c>
      <c r="U412">
        <f t="shared" si="89"/>
        <v>5323.9903199999999</v>
      </c>
      <c r="V412">
        <f t="shared" si="94"/>
        <v>511982.22125000006</v>
      </c>
      <c r="W412">
        <f t="shared" si="90"/>
        <v>3729.28</v>
      </c>
      <c r="X412" s="6">
        <f t="shared" si="91"/>
        <v>1594.7103199999997</v>
      </c>
      <c r="Y412">
        <f t="shared" si="92"/>
        <v>0.29953291124691594</v>
      </c>
      <c r="Z412">
        <v>202408</v>
      </c>
      <c r="AA412" s="18">
        <v>202303</v>
      </c>
      <c r="AB412" t="str">
        <v>Aug-2023</v>
      </c>
      <c r="AC412">
        <f t="shared" si="93"/>
        <v>17</v>
      </c>
      <c r="AD412" t="str">
        <f t="shared" si="95"/>
        <v>On Time</v>
      </c>
      <c r="AE412">
        <f t="shared" si="96"/>
        <v>1</v>
      </c>
      <c r="AF412">
        <f t="shared" si="97"/>
        <v>1</v>
      </c>
    </row>
    <row r="413" spans="1:32" x14ac:dyDescent="0.25">
      <c r="A413" s="3" t="s">
        <v>417</v>
      </c>
      <c r="B413" s="4">
        <v>45430</v>
      </c>
      <c r="C413" s="4" t="str">
        <f t="shared" si="84"/>
        <v>May-2024</v>
      </c>
      <c r="D413" s="4" t="str">
        <f t="shared" si="85"/>
        <v>Q2</v>
      </c>
      <c r="E413" s="4">
        <v>45433</v>
      </c>
      <c r="F413" s="10">
        <f t="shared" si="86"/>
        <v>3</v>
      </c>
      <c r="G413" s="3" t="s">
        <v>641</v>
      </c>
      <c r="H413" s="3" t="s">
        <v>649</v>
      </c>
      <c r="I413" s="3" t="s">
        <v>665</v>
      </c>
      <c r="J413" t="str">
        <f t="shared" si="87"/>
        <v>Europe &gt; France &gt; Marseille</v>
      </c>
      <c r="K413" s="3" t="s">
        <v>695</v>
      </c>
      <c r="L413" s="3" t="s">
        <v>701</v>
      </c>
      <c r="M413" s="3" t="s">
        <v>718</v>
      </c>
      <c r="N413" s="3" t="s">
        <v>720</v>
      </c>
      <c r="O413" s="3" t="s">
        <v>1135</v>
      </c>
      <c r="P413" s="6">
        <v>663.66</v>
      </c>
      <c r="Q413" s="6">
        <v>824.26</v>
      </c>
      <c r="R413" s="6" t="str">
        <f t="shared" si="88"/>
        <v>Medium</v>
      </c>
      <c r="S413" s="6">
        <v>0.23899999999999999</v>
      </c>
      <c r="T413" s="6">
        <v>11</v>
      </c>
      <c r="U413">
        <f t="shared" si="89"/>
        <v>6899.8804600000003</v>
      </c>
      <c r="V413">
        <f t="shared" si="94"/>
        <v>511982.22125000006</v>
      </c>
      <c r="W413">
        <f t="shared" si="90"/>
        <v>7300.2599999999993</v>
      </c>
      <c r="X413" s="6">
        <f t="shared" si="91"/>
        <v>-400.379539999999</v>
      </c>
      <c r="Y413">
        <f t="shared" si="92"/>
        <v>-5.8027025587048933E-2</v>
      </c>
      <c r="Z413">
        <v>202405</v>
      </c>
      <c r="AA413" s="18">
        <v>202301</v>
      </c>
      <c r="AB413" t="str">
        <v>May-2023</v>
      </c>
      <c r="AC413">
        <f t="shared" si="93"/>
        <v>16</v>
      </c>
      <c r="AD413" t="str">
        <f t="shared" si="95"/>
        <v>On Time</v>
      </c>
      <c r="AE413">
        <f t="shared" si="96"/>
        <v>1</v>
      </c>
      <c r="AF413">
        <f t="shared" si="97"/>
        <v>1</v>
      </c>
    </row>
    <row r="414" spans="1:32" x14ac:dyDescent="0.25">
      <c r="A414" s="3" t="s">
        <v>418</v>
      </c>
      <c r="B414" s="4">
        <v>45002</v>
      </c>
      <c r="C414" s="4" t="str">
        <f t="shared" si="84"/>
        <v>Mar-2023</v>
      </c>
      <c r="D414" s="4" t="str">
        <f t="shared" si="85"/>
        <v>Q1</v>
      </c>
      <c r="E414" s="4">
        <v>45022</v>
      </c>
      <c r="F414" s="10">
        <f t="shared" si="86"/>
        <v>20</v>
      </c>
      <c r="G414" s="3" t="s">
        <v>641</v>
      </c>
      <c r="H414" s="3" t="s">
        <v>648</v>
      </c>
      <c r="I414" s="3" t="s">
        <v>676</v>
      </c>
      <c r="J414" t="str">
        <f t="shared" si="87"/>
        <v>Europe &gt; Germany &gt; Munich</v>
      </c>
      <c r="K414" s="3" t="s">
        <v>696</v>
      </c>
      <c r="L414" s="3" t="s">
        <v>699</v>
      </c>
      <c r="M414" s="3" t="s">
        <v>711</v>
      </c>
      <c r="N414" s="3" t="s">
        <v>722</v>
      </c>
      <c r="O414" s="3" t="s">
        <v>1136</v>
      </c>
      <c r="P414" s="6">
        <v>692.18</v>
      </c>
      <c r="Q414" s="6">
        <v>1159.3499999999999</v>
      </c>
      <c r="R414" s="6" t="str">
        <f t="shared" si="88"/>
        <v>Medium</v>
      </c>
      <c r="S414" s="6">
        <v>0.112</v>
      </c>
      <c r="T414" s="6">
        <v>2</v>
      </c>
      <c r="U414">
        <f t="shared" si="89"/>
        <v>2059.0056</v>
      </c>
      <c r="V414">
        <f t="shared" si="94"/>
        <v>511982.22125000006</v>
      </c>
      <c r="W414">
        <f t="shared" si="90"/>
        <v>1384.36</v>
      </c>
      <c r="X414" s="6">
        <f t="shared" si="91"/>
        <v>674.64560000000006</v>
      </c>
      <c r="Y414">
        <f t="shared" si="92"/>
        <v>0.32765602968734037</v>
      </c>
      <c r="Z414">
        <v>202303</v>
      </c>
      <c r="AA414" s="18">
        <v>202301</v>
      </c>
      <c r="AB414" t="str">
        <v>Mar-2023</v>
      </c>
      <c r="AC414">
        <f t="shared" si="93"/>
        <v>2</v>
      </c>
      <c r="AD414" t="str">
        <f t="shared" si="95"/>
        <v>Late</v>
      </c>
      <c r="AE414">
        <f t="shared" si="96"/>
        <v>0</v>
      </c>
      <c r="AF414">
        <f t="shared" si="97"/>
        <v>0</v>
      </c>
    </row>
    <row r="415" spans="1:32" x14ac:dyDescent="0.25">
      <c r="A415" s="3" t="s">
        <v>419</v>
      </c>
      <c r="B415" s="4">
        <v>45163</v>
      </c>
      <c r="C415" s="4" t="str">
        <f t="shared" si="84"/>
        <v>Aug-2023</v>
      </c>
      <c r="D415" s="4" t="str">
        <f t="shared" si="85"/>
        <v>Q3</v>
      </c>
      <c r="E415" s="4">
        <v>45185</v>
      </c>
      <c r="F415" s="10">
        <f t="shared" si="86"/>
        <v>22</v>
      </c>
      <c r="G415" s="3" t="s">
        <v>638</v>
      </c>
      <c r="H415" s="3" t="s">
        <v>643</v>
      </c>
      <c r="I415" s="3" t="s">
        <v>661</v>
      </c>
      <c r="J415" t="str">
        <f t="shared" si="87"/>
        <v>Africa &gt; Nigeria &gt; Abuja</v>
      </c>
      <c r="K415" s="3" t="s">
        <v>693</v>
      </c>
      <c r="L415" s="3" t="s">
        <v>701</v>
      </c>
      <c r="M415" s="3" t="s">
        <v>708</v>
      </c>
      <c r="N415" s="3" t="s">
        <v>722</v>
      </c>
      <c r="O415" s="3" t="s">
        <v>1137</v>
      </c>
      <c r="P415" s="6">
        <v>1196.83</v>
      </c>
      <c r="Q415" s="6">
        <v>2513.5100000000002</v>
      </c>
      <c r="R415" s="6" t="str">
        <f t="shared" si="88"/>
        <v>High</v>
      </c>
      <c r="S415" s="6">
        <v>8.3000000000000004E-2</v>
      </c>
      <c r="T415" s="6">
        <v>7</v>
      </c>
      <c r="U415">
        <f t="shared" si="89"/>
        <v>16134.22069</v>
      </c>
      <c r="V415">
        <f t="shared" si="94"/>
        <v>511982.22125000006</v>
      </c>
      <c r="W415">
        <f t="shared" si="90"/>
        <v>8377.81</v>
      </c>
      <c r="X415" s="6">
        <f t="shared" si="91"/>
        <v>7756.4106900000006</v>
      </c>
      <c r="Y415">
        <f t="shared" si="92"/>
        <v>0.48074281609445374</v>
      </c>
      <c r="Z415">
        <v>202308</v>
      </c>
      <c r="AA415" s="18">
        <v>202301</v>
      </c>
      <c r="AB415" t="str">
        <v>Aug-2023</v>
      </c>
      <c r="AC415">
        <f t="shared" si="93"/>
        <v>7</v>
      </c>
      <c r="AD415" t="str">
        <f t="shared" si="95"/>
        <v>Late</v>
      </c>
      <c r="AE415">
        <f t="shared" si="96"/>
        <v>0</v>
      </c>
      <c r="AF415">
        <f t="shared" si="97"/>
        <v>0</v>
      </c>
    </row>
    <row r="416" spans="1:32" x14ac:dyDescent="0.25">
      <c r="A416" s="3" t="s">
        <v>420</v>
      </c>
      <c r="B416" s="4">
        <v>45449</v>
      </c>
      <c r="C416" s="4" t="str">
        <f t="shared" si="84"/>
        <v>Jun-2024</v>
      </c>
      <c r="D416" s="4" t="str">
        <f t="shared" si="85"/>
        <v>Q2</v>
      </c>
      <c r="E416" s="4">
        <v>45467</v>
      </c>
      <c r="F416" s="10">
        <f t="shared" si="86"/>
        <v>18</v>
      </c>
      <c r="G416" s="3" t="s">
        <v>639</v>
      </c>
      <c r="H416" s="3" t="s">
        <v>646</v>
      </c>
      <c r="I416" s="3" t="s">
        <v>660</v>
      </c>
      <c r="J416" t="str">
        <f t="shared" si="87"/>
        <v>Asia &gt; India &gt; Bengaluru</v>
      </c>
      <c r="K416" s="3" t="s">
        <v>697</v>
      </c>
      <c r="L416" s="3" t="s">
        <v>703</v>
      </c>
      <c r="M416" s="3" t="s">
        <v>714</v>
      </c>
      <c r="N416" s="3" t="s">
        <v>721</v>
      </c>
      <c r="O416" s="3" t="s">
        <v>1138</v>
      </c>
      <c r="P416" s="6">
        <v>1253.25</v>
      </c>
      <c r="Q416" s="6">
        <v>3087.13</v>
      </c>
      <c r="R416" s="6" t="str">
        <f t="shared" si="88"/>
        <v>High</v>
      </c>
      <c r="S416" s="6">
        <v>7.1999999999999995E-2</v>
      </c>
      <c r="T416" s="6">
        <v>11</v>
      </c>
      <c r="U416">
        <f t="shared" si="89"/>
        <v>31513.423040000001</v>
      </c>
      <c r="V416">
        <f t="shared" si="94"/>
        <v>511982.22125000006</v>
      </c>
      <c r="W416">
        <f t="shared" si="90"/>
        <v>13785.75</v>
      </c>
      <c r="X416" s="6">
        <f t="shared" si="91"/>
        <v>17727.673040000001</v>
      </c>
      <c r="Y416">
        <f t="shared" si="92"/>
        <v>0.562543555408064</v>
      </c>
      <c r="Z416">
        <v>202406</v>
      </c>
      <c r="AA416" s="18">
        <v>202301</v>
      </c>
      <c r="AB416" t="str">
        <v>Jun-2023</v>
      </c>
      <c r="AC416">
        <f t="shared" si="93"/>
        <v>17</v>
      </c>
      <c r="AD416" t="str">
        <f t="shared" si="95"/>
        <v>Late</v>
      </c>
      <c r="AE416">
        <f t="shared" si="96"/>
        <v>0</v>
      </c>
      <c r="AF416">
        <f t="shared" si="97"/>
        <v>0</v>
      </c>
    </row>
    <row r="417" spans="1:32" x14ac:dyDescent="0.25">
      <c r="A417" s="3" t="s">
        <v>421</v>
      </c>
      <c r="B417" s="4">
        <v>45167</v>
      </c>
      <c r="C417" s="4" t="str">
        <f t="shared" si="84"/>
        <v>Aug-2023</v>
      </c>
      <c r="D417" s="4" t="str">
        <f t="shared" si="85"/>
        <v>Q3</v>
      </c>
      <c r="E417" s="4">
        <v>45182</v>
      </c>
      <c r="F417" s="10">
        <f t="shared" si="86"/>
        <v>15</v>
      </c>
      <c r="G417" s="3" t="s">
        <v>640</v>
      </c>
      <c r="H417" s="3" t="s">
        <v>645</v>
      </c>
      <c r="I417" s="3" t="s">
        <v>680</v>
      </c>
      <c r="J417" t="str">
        <f t="shared" si="87"/>
        <v>Americas &gt; Canada &gt; Vancouver</v>
      </c>
      <c r="K417" s="3" t="s">
        <v>697</v>
      </c>
      <c r="L417" s="3" t="s">
        <v>701</v>
      </c>
      <c r="M417" s="3" t="s">
        <v>711</v>
      </c>
      <c r="N417" s="3" t="s">
        <v>720</v>
      </c>
      <c r="O417" s="3" t="s">
        <v>1139</v>
      </c>
      <c r="P417" s="6">
        <v>1287.6400000000001</v>
      </c>
      <c r="Q417" s="6">
        <v>2717.15</v>
      </c>
      <c r="R417" s="6" t="str">
        <f t="shared" si="88"/>
        <v>High</v>
      </c>
      <c r="S417" s="6">
        <v>3.2000000000000001E-2</v>
      </c>
      <c r="T417" s="6">
        <v>7</v>
      </c>
      <c r="U417">
        <f t="shared" si="89"/>
        <v>18411.4084</v>
      </c>
      <c r="V417">
        <f t="shared" si="94"/>
        <v>511982.22125000006</v>
      </c>
      <c r="W417">
        <f t="shared" si="90"/>
        <v>9013.4800000000014</v>
      </c>
      <c r="X417" s="6">
        <f t="shared" si="91"/>
        <v>9397.9283999999989</v>
      </c>
      <c r="Y417">
        <f t="shared" si="92"/>
        <v>0.51044049405802105</v>
      </c>
      <c r="Z417">
        <v>202308</v>
      </c>
      <c r="AA417" s="18">
        <v>202301</v>
      </c>
      <c r="AB417" t="str">
        <v>Aug-2023</v>
      </c>
      <c r="AC417">
        <f t="shared" si="93"/>
        <v>7</v>
      </c>
      <c r="AD417" t="str">
        <f t="shared" si="95"/>
        <v>Late</v>
      </c>
      <c r="AE417">
        <f t="shared" si="96"/>
        <v>0</v>
      </c>
      <c r="AF417">
        <f t="shared" si="97"/>
        <v>0</v>
      </c>
    </row>
    <row r="418" spans="1:32" x14ac:dyDescent="0.25">
      <c r="A418" s="3" t="s">
        <v>422</v>
      </c>
      <c r="B418" s="4">
        <v>45626</v>
      </c>
      <c r="C418" s="4" t="str">
        <f t="shared" si="84"/>
        <v>Nov-2024</v>
      </c>
      <c r="D418" s="4" t="str">
        <f t="shared" si="85"/>
        <v>Q4</v>
      </c>
      <c r="E418" s="4">
        <v>45636</v>
      </c>
      <c r="F418" s="10">
        <f t="shared" si="86"/>
        <v>10</v>
      </c>
      <c r="G418" s="3" t="s">
        <v>639</v>
      </c>
      <c r="H418" s="3" t="s">
        <v>646</v>
      </c>
      <c r="I418" s="3" t="s">
        <v>688</v>
      </c>
      <c r="J418" t="str">
        <f t="shared" si="87"/>
        <v>Asia &gt; India &gt; Hyderabad</v>
      </c>
      <c r="K418" s="3" t="s">
        <v>697</v>
      </c>
      <c r="L418" s="3" t="s">
        <v>699</v>
      </c>
      <c r="M418" s="3" t="s">
        <v>713</v>
      </c>
      <c r="N418" s="3" t="s">
        <v>725</v>
      </c>
      <c r="O418" s="3" t="s">
        <v>1140</v>
      </c>
      <c r="P418" s="6">
        <v>851.49</v>
      </c>
      <c r="Q418" s="6">
        <v>901.79</v>
      </c>
      <c r="R418" s="6" t="str">
        <f t="shared" si="88"/>
        <v>Medium</v>
      </c>
      <c r="S418" s="6">
        <v>0.245</v>
      </c>
      <c r="T418" s="6">
        <v>16</v>
      </c>
      <c r="U418">
        <f t="shared" si="89"/>
        <v>10893.6232</v>
      </c>
      <c r="V418">
        <f t="shared" si="94"/>
        <v>511982.22125000006</v>
      </c>
      <c r="W418">
        <f t="shared" si="90"/>
        <v>13623.84</v>
      </c>
      <c r="X418" s="6">
        <f t="shared" si="91"/>
        <v>-2730.2168000000001</v>
      </c>
      <c r="Y418">
        <f t="shared" si="92"/>
        <v>-0.25062522816100341</v>
      </c>
      <c r="Z418">
        <v>202411</v>
      </c>
      <c r="AA418" s="18">
        <v>202301</v>
      </c>
      <c r="AB418" t="str">
        <v>Nov-2023</v>
      </c>
      <c r="AC418">
        <f t="shared" si="93"/>
        <v>22</v>
      </c>
      <c r="AD418" t="str">
        <f t="shared" si="95"/>
        <v>Late</v>
      </c>
      <c r="AE418">
        <f t="shared" si="96"/>
        <v>0</v>
      </c>
      <c r="AF418">
        <f t="shared" si="97"/>
        <v>1</v>
      </c>
    </row>
    <row r="419" spans="1:32" x14ac:dyDescent="0.25">
      <c r="A419" s="3" t="s">
        <v>423</v>
      </c>
      <c r="B419" s="4">
        <v>45813</v>
      </c>
      <c r="C419" s="4" t="str">
        <f t="shared" si="84"/>
        <v>Jun-2025</v>
      </c>
      <c r="D419" s="4" t="str">
        <f t="shared" si="85"/>
        <v>Q2</v>
      </c>
      <c r="E419" s="4">
        <v>45822</v>
      </c>
      <c r="F419" s="10">
        <f t="shared" si="86"/>
        <v>9</v>
      </c>
      <c r="G419" s="3" t="s">
        <v>639</v>
      </c>
      <c r="H419" s="3" t="s">
        <v>646</v>
      </c>
      <c r="I419" s="3" t="s">
        <v>672</v>
      </c>
      <c r="J419" t="str">
        <f t="shared" si="87"/>
        <v>Asia &gt; India &gt; Delhi</v>
      </c>
      <c r="K419" s="3" t="s">
        <v>695</v>
      </c>
      <c r="L419" s="3" t="s">
        <v>699</v>
      </c>
      <c r="M419" s="3" t="s">
        <v>712</v>
      </c>
      <c r="N419" s="3" t="s">
        <v>725</v>
      </c>
      <c r="O419" s="3" t="s">
        <v>1141</v>
      </c>
      <c r="P419" s="6">
        <v>618.69000000000005</v>
      </c>
      <c r="Q419" s="6">
        <v>796.15</v>
      </c>
      <c r="R419" s="6" t="str">
        <f t="shared" si="88"/>
        <v>Medium</v>
      </c>
      <c r="S419" s="6">
        <v>0.09</v>
      </c>
      <c r="T419" s="6">
        <v>11</v>
      </c>
      <c r="U419">
        <f t="shared" si="89"/>
        <v>7969.4615000000003</v>
      </c>
      <c r="V419">
        <f t="shared" si="94"/>
        <v>511982.22125000006</v>
      </c>
      <c r="W419">
        <f t="shared" si="90"/>
        <v>6805.59</v>
      </c>
      <c r="X419" s="6">
        <f t="shared" si="91"/>
        <v>1163.8715000000002</v>
      </c>
      <c r="Y419">
        <f t="shared" si="92"/>
        <v>0.14604142325049191</v>
      </c>
      <c r="Z419">
        <v>202506</v>
      </c>
      <c r="AA419" s="18">
        <v>202301</v>
      </c>
      <c r="AB419" t="str">
        <v>Jun-2023</v>
      </c>
      <c r="AC419">
        <f t="shared" si="93"/>
        <v>29</v>
      </c>
      <c r="AD419" t="str">
        <f t="shared" si="95"/>
        <v>Late</v>
      </c>
      <c r="AE419">
        <f t="shared" si="96"/>
        <v>0</v>
      </c>
      <c r="AF419">
        <f t="shared" si="97"/>
        <v>0</v>
      </c>
    </row>
    <row r="420" spans="1:32" x14ac:dyDescent="0.25">
      <c r="A420" s="3" t="s">
        <v>424</v>
      </c>
      <c r="B420" s="4">
        <v>45730</v>
      </c>
      <c r="C420" s="4" t="str">
        <f t="shared" si="84"/>
        <v>Mar-2025</v>
      </c>
      <c r="D420" s="4" t="str">
        <f t="shared" si="85"/>
        <v>Q1</v>
      </c>
      <c r="E420" s="4">
        <v>45755</v>
      </c>
      <c r="F420" s="10">
        <f t="shared" si="86"/>
        <v>25</v>
      </c>
      <c r="G420" s="3" t="s">
        <v>639</v>
      </c>
      <c r="H420" s="3" t="s">
        <v>651</v>
      </c>
      <c r="I420" s="3" t="s">
        <v>1413</v>
      </c>
      <c r="J420" t="str">
        <f t="shared" si="87"/>
        <v>Asia &gt; China &gt; Not Provided</v>
      </c>
      <c r="K420" s="3" t="s">
        <v>693</v>
      </c>
      <c r="L420" s="3" t="s">
        <v>702</v>
      </c>
      <c r="M420" s="3" t="s">
        <v>718</v>
      </c>
      <c r="N420" s="3" t="s">
        <v>720</v>
      </c>
      <c r="O420" s="3" t="s">
        <v>1142</v>
      </c>
      <c r="P420" s="6">
        <v>80.59</v>
      </c>
      <c r="Q420" s="6">
        <v>157.82</v>
      </c>
      <c r="R420" s="6" t="str">
        <f t="shared" si="88"/>
        <v>Low</v>
      </c>
      <c r="S420" s="6">
        <v>0.217</v>
      </c>
      <c r="T420" s="6">
        <v>6</v>
      </c>
      <c r="U420">
        <f t="shared" si="89"/>
        <v>741.43835999999999</v>
      </c>
      <c r="V420">
        <f t="shared" si="94"/>
        <v>511982.22125000006</v>
      </c>
      <c r="W420">
        <f t="shared" si="90"/>
        <v>483.54</v>
      </c>
      <c r="X420" s="6">
        <f t="shared" si="91"/>
        <v>257.89835999999997</v>
      </c>
      <c r="Y420">
        <f t="shared" si="92"/>
        <v>0.34783519967863541</v>
      </c>
      <c r="Z420">
        <v>202503</v>
      </c>
      <c r="AA420" s="18">
        <v>202301</v>
      </c>
      <c r="AB420" t="str">
        <v>Mar-2023</v>
      </c>
      <c r="AC420">
        <f t="shared" si="93"/>
        <v>26</v>
      </c>
      <c r="AD420" t="str">
        <f t="shared" si="95"/>
        <v>Late</v>
      </c>
      <c r="AE420">
        <f t="shared" si="96"/>
        <v>0</v>
      </c>
      <c r="AF420">
        <f t="shared" si="97"/>
        <v>1</v>
      </c>
    </row>
    <row r="421" spans="1:32" x14ac:dyDescent="0.25">
      <c r="A421" s="3" t="s">
        <v>425</v>
      </c>
      <c r="B421" s="4">
        <v>45307</v>
      </c>
      <c r="C421" s="4" t="str">
        <f t="shared" si="84"/>
        <v>Jan-2024</v>
      </c>
      <c r="D421" s="4" t="str">
        <f t="shared" si="85"/>
        <v>Q1</v>
      </c>
      <c r="E421" s="4">
        <v>45333</v>
      </c>
      <c r="F421" s="10">
        <f t="shared" si="86"/>
        <v>26</v>
      </c>
      <c r="G421" s="3" t="s">
        <v>641</v>
      </c>
      <c r="H421" s="3" t="s">
        <v>648</v>
      </c>
      <c r="I421" s="3" t="s">
        <v>690</v>
      </c>
      <c r="J421" t="str">
        <f t="shared" si="87"/>
        <v>Europe &gt; Germany &gt; Frankfurt</v>
      </c>
      <c r="K421" s="3" t="s">
        <v>695</v>
      </c>
      <c r="L421" s="3" t="s">
        <v>702</v>
      </c>
      <c r="M421" s="3" t="s">
        <v>710</v>
      </c>
      <c r="N421" s="3" t="s">
        <v>724</v>
      </c>
      <c r="O421" s="3" t="s">
        <v>1143</v>
      </c>
      <c r="P421" s="6">
        <v>504.93</v>
      </c>
      <c r="Q421" s="6">
        <v>819.06</v>
      </c>
      <c r="R421" s="6" t="str">
        <f t="shared" si="88"/>
        <v>Medium</v>
      </c>
      <c r="S421" s="6">
        <v>0.22600000000000001</v>
      </c>
      <c r="T421" s="6">
        <v>15</v>
      </c>
      <c r="U421">
        <f t="shared" si="89"/>
        <v>9509.2865999999995</v>
      </c>
      <c r="V421">
        <f t="shared" si="94"/>
        <v>511982.22125000006</v>
      </c>
      <c r="W421">
        <f t="shared" si="90"/>
        <v>7573.95</v>
      </c>
      <c r="X421" s="6">
        <f t="shared" si="91"/>
        <v>1935.3365999999996</v>
      </c>
      <c r="Y421">
        <f t="shared" si="92"/>
        <v>0.20352069312959814</v>
      </c>
      <c r="Z421">
        <v>202401</v>
      </c>
      <c r="AA421" s="18">
        <v>202301</v>
      </c>
      <c r="AB421" t="str">
        <v>Jan-2023</v>
      </c>
      <c r="AC421">
        <f t="shared" si="93"/>
        <v>12</v>
      </c>
      <c r="AD421" t="str">
        <f t="shared" si="95"/>
        <v>Late</v>
      </c>
      <c r="AE421">
        <f t="shared" si="96"/>
        <v>0</v>
      </c>
      <c r="AF421">
        <f t="shared" si="97"/>
        <v>1</v>
      </c>
    </row>
    <row r="422" spans="1:32" x14ac:dyDescent="0.25">
      <c r="A422" s="3" t="s">
        <v>426</v>
      </c>
      <c r="B422" s="4">
        <v>45211</v>
      </c>
      <c r="C422" s="4" t="str">
        <f t="shared" si="84"/>
        <v>Oct-2023</v>
      </c>
      <c r="D422" s="4" t="str">
        <f t="shared" si="85"/>
        <v>Q4</v>
      </c>
      <c r="E422" s="4">
        <v>45228</v>
      </c>
      <c r="F422" s="10">
        <f t="shared" si="86"/>
        <v>17</v>
      </c>
      <c r="G422" s="3" t="s">
        <v>639</v>
      </c>
      <c r="H422" s="3" t="s">
        <v>644</v>
      </c>
      <c r="I422" s="3" t="s">
        <v>686</v>
      </c>
      <c r="J422" t="str">
        <f t="shared" si="87"/>
        <v>Asia &gt; Japan &gt; Nagoya</v>
      </c>
      <c r="K422" s="3" t="s">
        <v>695</v>
      </c>
      <c r="L422" s="3" t="s">
        <v>703</v>
      </c>
      <c r="M422" s="3" t="s">
        <v>714</v>
      </c>
      <c r="N422" s="3" t="s">
        <v>722</v>
      </c>
      <c r="O422" s="3" t="s">
        <v>1144</v>
      </c>
      <c r="P422" s="6">
        <v>1102.19</v>
      </c>
      <c r="Q422" s="6">
        <v>1711.16</v>
      </c>
      <c r="R422" s="6" t="str">
        <f t="shared" si="88"/>
        <v>High</v>
      </c>
      <c r="S422" s="6">
        <v>0.151</v>
      </c>
      <c r="T422" s="6">
        <v>10</v>
      </c>
      <c r="U422">
        <f t="shared" si="89"/>
        <v>14527.748400000002</v>
      </c>
      <c r="V422">
        <f t="shared" si="94"/>
        <v>511982.22125000006</v>
      </c>
      <c r="W422">
        <f t="shared" si="90"/>
        <v>11021.900000000001</v>
      </c>
      <c r="X422" s="6">
        <f t="shared" si="91"/>
        <v>3505.8484000000008</v>
      </c>
      <c r="Y422">
        <f t="shared" si="92"/>
        <v>0.24132083675127525</v>
      </c>
      <c r="Z422">
        <v>202310</v>
      </c>
      <c r="AA422" s="18">
        <v>202303</v>
      </c>
      <c r="AB422" t="str">
        <v>Oct-2023</v>
      </c>
      <c r="AC422">
        <f t="shared" si="93"/>
        <v>7</v>
      </c>
      <c r="AD422" t="str">
        <f t="shared" si="95"/>
        <v>Late</v>
      </c>
      <c r="AE422">
        <f t="shared" si="96"/>
        <v>0</v>
      </c>
      <c r="AF422">
        <f t="shared" si="97"/>
        <v>0</v>
      </c>
    </row>
    <row r="423" spans="1:32" x14ac:dyDescent="0.25">
      <c r="A423" s="3" t="s">
        <v>427</v>
      </c>
      <c r="B423" s="4">
        <v>45713</v>
      </c>
      <c r="C423" s="4" t="str">
        <f t="shared" si="84"/>
        <v>Feb-2025</v>
      </c>
      <c r="D423" s="4" t="str">
        <f t="shared" si="85"/>
        <v>Q1</v>
      </c>
      <c r="E423" s="4">
        <v>45733</v>
      </c>
      <c r="F423" s="10">
        <f t="shared" si="86"/>
        <v>20</v>
      </c>
      <c r="G423" s="3" t="s">
        <v>640</v>
      </c>
      <c r="H423" s="3" t="s">
        <v>652</v>
      </c>
      <c r="I423" s="3" t="s">
        <v>678</v>
      </c>
      <c r="J423" t="str">
        <f t="shared" si="87"/>
        <v>Americas &gt; USA &gt; San Francisco</v>
      </c>
      <c r="K423" s="3" t="s">
        <v>695</v>
      </c>
      <c r="L423" s="3" t="s">
        <v>701</v>
      </c>
      <c r="M423" s="3" t="s">
        <v>714</v>
      </c>
      <c r="N423" s="3" t="s">
        <v>722</v>
      </c>
      <c r="O423" s="3" t="s">
        <v>1145</v>
      </c>
      <c r="P423" s="6">
        <v>1205.26</v>
      </c>
      <c r="Q423" s="6">
        <v>1696.35</v>
      </c>
      <c r="R423" s="6" t="str">
        <f t="shared" si="88"/>
        <v>High</v>
      </c>
      <c r="S423" s="6">
        <v>1.9E-2</v>
      </c>
      <c r="T423" s="6">
        <v>6</v>
      </c>
      <c r="U423">
        <f t="shared" si="89"/>
        <v>9984.7160999999978</v>
      </c>
      <c r="V423">
        <f t="shared" si="94"/>
        <v>511982.22125000006</v>
      </c>
      <c r="W423">
        <f t="shared" si="90"/>
        <v>7231.5599999999995</v>
      </c>
      <c r="X423" s="6">
        <f t="shared" si="91"/>
        <v>2753.1560999999983</v>
      </c>
      <c r="Y423">
        <f t="shared" si="92"/>
        <v>0.27573704374028213</v>
      </c>
      <c r="Z423">
        <v>202502</v>
      </c>
      <c r="AA423" s="18">
        <v>202301</v>
      </c>
      <c r="AB423" t="str">
        <v>Feb-2023</v>
      </c>
      <c r="AC423">
        <f t="shared" si="93"/>
        <v>25</v>
      </c>
      <c r="AD423" t="str">
        <f t="shared" si="95"/>
        <v>Late</v>
      </c>
      <c r="AE423">
        <f t="shared" si="96"/>
        <v>0</v>
      </c>
      <c r="AF423">
        <f t="shared" si="97"/>
        <v>0</v>
      </c>
    </row>
    <row r="424" spans="1:32" x14ac:dyDescent="0.25">
      <c r="A424" s="3" t="s">
        <v>428</v>
      </c>
      <c r="B424" s="4">
        <v>45841</v>
      </c>
      <c r="C424" s="4" t="str">
        <f t="shared" si="84"/>
        <v>Jul-2025</v>
      </c>
      <c r="D424" s="4" t="str">
        <f t="shared" si="85"/>
        <v>Q3</v>
      </c>
      <c r="E424" s="4">
        <v>45844</v>
      </c>
      <c r="F424" s="10">
        <f t="shared" si="86"/>
        <v>3</v>
      </c>
      <c r="G424" s="3" t="s">
        <v>638</v>
      </c>
      <c r="H424" s="3" t="s">
        <v>643</v>
      </c>
      <c r="I424" s="3" t="s">
        <v>657</v>
      </c>
      <c r="J424" t="str">
        <f t="shared" si="87"/>
        <v>Africa &gt; Nigeria &gt; Lagos</v>
      </c>
      <c r="K424" s="3" t="s">
        <v>696</v>
      </c>
      <c r="L424" s="3" t="s">
        <v>700</v>
      </c>
      <c r="M424" s="3" t="s">
        <v>1413</v>
      </c>
      <c r="N424" s="3" t="s">
        <v>723</v>
      </c>
      <c r="O424" s="3" t="s">
        <v>1146</v>
      </c>
      <c r="P424" s="6">
        <v>1313.3</v>
      </c>
      <c r="Q424" s="6">
        <v>2884.34</v>
      </c>
      <c r="R424" s="6" t="str">
        <f t="shared" si="88"/>
        <v>High</v>
      </c>
      <c r="S424" s="6">
        <v>0.157</v>
      </c>
      <c r="T424" s="6">
        <v>42</v>
      </c>
      <c r="U424">
        <f t="shared" si="89"/>
        <v>102122.94203999999</v>
      </c>
      <c r="V424">
        <f t="shared" si="94"/>
        <v>511982.22125000006</v>
      </c>
      <c r="W424">
        <f t="shared" si="90"/>
        <v>55158.6</v>
      </c>
      <c r="X424" s="6">
        <f t="shared" si="91"/>
        <v>46964.342039999996</v>
      </c>
      <c r="Y424">
        <f t="shared" si="92"/>
        <v>0.45988042551305253</v>
      </c>
      <c r="Z424">
        <v>202507</v>
      </c>
      <c r="AA424" s="18">
        <v>202301</v>
      </c>
      <c r="AB424" t="str">
        <v>Jul-2023</v>
      </c>
      <c r="AC424">
        <f t="shared" si="93"/>
        <v>30</v>
      </c>
      <c r="AD424" t="str">
        <f t="shared" si="95"/>
        <v>On Time</v>
      </c>
      <c r="AE424">
        <f t="shared" si="96"/>
        <v>1</v>
      </c>
      <c r="AF424">
        <f t="shared" si="97"/>
        <v>0</v>
      </c>
    </row>
    <row r="425" spans="1:32" x14ac:dyDescent="0.25">
      <c r="A425" s="3" t="s">
        <v>429</v>
      </c>
      <c r="B425" s="4">
        <v>45915</v>
      </c>
      <c r="C425" s="4" t="str">
        <f t="shared" si="84"/>
        <v>Sept-2025</v>
      </c>
      <c r="D425" s="4" t="str">
        <f t="shared" si="85"/>
        <v>Q3</v>
      </c>
      <c r="E425" s="4">
        <v>45925</v>
      </c>
      <c r="F425" s="10">
        <f t="shared" si="86"/>
        <v>10</v>
      </c>
      <c r="G425" s="3" t="s">
        <v>639</v>
      </c>
      <c r="H425" s="3" t="s">
        <v>646</v>
      </c>
      <c r="I425" s="3" t="s">
        <v>672</v>
      </c>
      <c r="J425" t="str">
        <f t="shared" si="87"/>
        <v>Asia &gt; India &gt; Delhi</v>
      </c>
      <c r="K425" s="3" t="s">
        <v>696</v>
      </c>
      <c r="L425" s="3" t="s">
        <v>699</v>
      </c>
      <c r="M425" s="3" t="s">
        <v>712</v>
      </c>
      <c r="N425" s="3" t="s">
        <v>722</v>
      </c>
      <c r="O425" s="3" t="s">
        <v>1147</v>
      </c>
      <c r="P425" s="6">
        <v>1488.91</v>
      </c>
      <c r="Q425" s="6">
        <v>1483.74</v>
      </c>
      <c r="R425" s="6" t="str">
        <f t="shared" si="88"/>
        <v>High</v>
      </c>
      <c r="S425" s="6">
        <v>0.16800000000000001</v>
      </c>
      <c r="T425" s="6">
        <v>24</v>
      </c>
      <c r="U425">
        <f t="shared" si="89"/>
        <v>29627.320319999999</v>
      </c>
      <c r="V425">
        <f t="shared" si="94"/>
        <v>511982.22125000006</v>
      </c>
      <c r="W425">
        <f t="shared" si="90"/>
        <v>35733.840000000004</v>
      </c>
      <c r="X425" s="6">
        <f t="shared" si="91"/>
        <v>-6106.5196800000049</v>
      </c>
      <c r="Y425">
        <f t="shared" si="92"/>
        <v>-0.20611110333450519</v>
      </c>
      <c r="Z425">
        <v>202509</v>
      </c>
      <c r="AA425" s="18">
        <v>202301</v>
      </c>
      <c r="AB425" t="str">
        <v>Sept-2023</v>
      </c>
      <c r="AC425">
        <f t="shared" si="93"/>
        <v>32</v>
      </c>
      <c r="AD425" t="str">
        <f t="shared" si="95"/>
        <v>Late</v>
      </c>
      <c r="AE425">
        <f t="shared" si="96"/>
        <v>0</v>
      </c>
      <c r="AF425">
        <f t="shared" si="97"/>
        <v>0</v>
      </c>
    </row>
    <row r="426" spans="1:32" x14ac:dyDescent="0.25">
      <c r="A426" s="3" t="s">
        <v>430</v>
      </c>
      <c r="B426" s="4">
        <v>45341</v>
      </c>
      <c r="C426" s="4" t="str">
        <f t="shared" si="84"/>
        <v>Feb-2024</v>
      </c>
      <c r="D426" s="4" t="str">
        <f t="shared" si="85"/>
        <v>Q1</v>
      </c>
      <c r="E426" s="4">
        <v>45357</v>
      </c>
      <c r="F426" s="10">
        <f t="shared" si="86"/>
        <v>16</v>
      </c>
      <c r="G426" s="3" t="s">
        <v>639</v>
      </c>
      <c r="H426" s="3" t="s">
        <v>651</v>
      </c>
      <c r="I426" s="3" t="s">
        <v>691</v>
      </c>
      <c r="J426" t="str">
        <f t="shared" si="87"/>
        <v>Asia &gt; China &gt; Beijing</v>
      </c>
      <c r="K426" s="3" t="s">
        <v>694</v>
      </c>
      <c r="L426" s="3" t="s">
        <v>701</v>
      </c>
      <c r="M426" s="3" t="s">
        <v>711</v>
      </c>
      <c r="N426" s="3" t="s">
        <v>720</v>
      </c>
      <c r="O426" s="3" t="s">
        <v>1148</v>
      </c>
      <c r="P426" s="6">
        <v>1477.84</v>
      </c>
      <c r="Q426" s="6">
        <v>3197.47</v>
      </c>
      <c r="R426" s="6" t="str">
        <f t="shared" si="88"/>
        <v>High</v>
      </c>
      <c r="S426" s="6">
        <v>0.24299999999999999</v>
      </c>
      <c r="T426" s="6">
        <v>24</v>
      </c>
      <c r="U426">
        <f t="shared" si="89"/>
        <v>58091.634960000003</v>
      </c>
      <c r="V426">
        <f t="shared" si="94"/>
        <v>511982.22125000006</v>
      </c>
      <c r="W426">
        <f t="shared" si="90"/>
        <v>35468.159999999996</v>
      </c>
      <c r="X426" s="6">
        <f t="shared" si="91"/>
        <v>22623.474960000007</v>
      </c>
      <c r="Y426">
        <f t="shared" si="92"/>
        <v>0.38944462443823091</v>
      </c>
      <c r="Z426">
        <v>202402</v>
      </c>
      <c r="AA426" s="18">
        <v>202301</v>
      </c>
      <c r="AB426" t="str">
        <v>Feb-2023</v>
      </c>
      <c r="AC426">
        <f t="shared" si="93"/>
        <v>13</v>
      </c>
      <c r="AD426" t="str">
        <f t="shared" si="95"/>
        <v>Late</v>
      </c>
      <c r="AE426">
        <f t="shared" si="96"/>
        <v>0</v>
      </c>
      <c r="AF426">
        <f t="shared" si="97"/>
        <v>1</v>
      </c>
    </row>
    <row r="427" spans="1:32" x14ac:dyDescent="0.25">
      <c r="A427" s="3" t="s">
        <v>431</v>
      </c>
      <c r="B427" s="4">
        <v>45349</v>
      </c>
      <c r="C427" s="4" t="str">
        <f t="shared" si="84"/>
        <v>Feb-2024</v>
      </c>
      <c r="D427" s="4" t="str">
        <f t="shared" si="85"/>
        <v>Q1</v>
      </c>
      <c r="E427" s="4">
        <v>45377</v>
      </c>
      <c r="F427" s="10">
        <f t="shared" si="86"/>
        <v>28</v>
      </c>
      <c r="G427" s="3" t="s">
        <v>639</v>
      </c>
      <c r="H427" s="3" t="s">
        <v>646</v>
      </c>
      <c r="I427" s="3" t="s">
        <v>683</v>
      </c>
      <c r="J427" t="str">
        <f t="shared" si="87"/>
        <v>Asia &gt; India &gt; Mumbai</v>
      </c>
      <c r="K427" s="3" t="s">
        <v>694</v>
      </c>
      <c r="L427" s="3" t="s">
        <v>701</v>
      </c>
      <c r="M427" s="3" t="s">
        <v>707</v>
      </c>
      <c r="N427" s="3" t="s">
        <v>723</v>
      </c>
      <c r="O427" s="3" t="s">
        <v>1149</v>
      </c>
      <c r="P427" s="6">
        <v>1035.19</v>
      </c>
      <c r="Q427" s="6">
        <v>2322.6999999999998</v>
      </c>
      <c r="R427" s="6" t="str">
        <f t="shared" si="88"/>
        <v>High</v>
      </c>
      <c r="S427" s="6">
        <v>0.17299999999999999</v>
      </c>
      <c r="T427" s="6">
        <v>8</v>
      </c>
      <c r="U427">
        <f t="shared" si="89"/>
        <v>15366.983199999999</v>
      </c>
      <c r="V427">
        <f t="shared" si="94"/>
        <v>511982.22125000006</v>
      </c>
      <c r="W427">
        <f t="shared" si="90"/>
        <v>8281.52</v>
      </c>
      <c r="X427" s="6">
        <f t="shared" si="91"/>
        <v>7085.4631999999983</v>
      </c>
      <c r="Y427">
        <f t="shared" si="92"/>
        <v>0.46108355217047409</v>
      </c>
      <c r="Z427">
        <v>202402</v>
      </c>
      <c r="AA427" s="18">
        <v>202301</v>
      </c>
      <c r="AB427" t="str">
        <v>Feb-2023</v>
      </c>
      <c r="AC427">
        <f t="shared" si="93"/>
        <v>13</v>
      </c>
      <c r="AD427" t="str">
        <f t="shared" si="95"/>
        <v>Late</v>
      </c>
      <c r="AE427">
        <f t="shared" si="96"/>
        <v>0</v>
      </c>
      <c r="AF427">
        <f t="shared" si="97"/>
        <v>0</v>
      </c>
    </row>
    <row r="428" spans="1:32" x14ac:dyDescent="0.25">
      <c r="A428" s="3" t="s">
        <v>432</v>
      </c>
      <c r="B428" s="4">
        <v>45897</v>
      </c>
      <c r="C428" s="4" t="str">
        <f t="shared" si="84"/>
        <v>Aug-2025</v>
      </c>
      <c r="D428" s="4" t="str">
        <f t="shared" si="85"/>
        <v>Q3</v>
      </c>
      <c r="E428" s="4">
        <v>45905</v>
      </c>
      <c r="F428" s="10">
        <f t="shared" si="86"/>
        <v>8</v>
      </c>
      <c r="G428" s="3" t="s">
        <v>638</v>
      </c>
      <c r="H428" s="3" t="s">
        <v>643</v>
      </c>
      <c r="I428" s="3" t="s">
        <v>655</v>
      </c>
      <c r="J428" t="str">
        <f t="shared" si="87"/>
        <v>Africa &gt; Nigeria &gt; Port Harcourt</v>
      </c>
      <c r="K428" s="3" t="s">
        <v>697</v>
      </c>
      <c r="L428" s="3" t="s">
        <v>701</v>
      </c>
      <c r="M428" s="3" t="s">
        <v>710</v>
      </c>
      <c r="N428" s="3" t="s">
        <v>723</v>
      </c>
      <c r="O428" s="3" t="s">
        <v>1150</v>
      </c>
      <c r="P428" s="6">
        <v>1271.0999999999999</v>
      </c>
      <c r="Q428" s="6">
        <v>1932.42</v>
      </c>
      <c r="R428" s="6" t="str">
        <f t="shared" si="88"/>
        <v>High</v>
      </c>
      <c r="S428" s="6">
        <v>0.25</v>
      </c>
      <c r="T428" s="6">
        <v>21</v>
      </c>
      <c r="U428">
        <f t="shared" si="89"/>
        <v>30435.614999999998</v>
      </c>
      <c r="V428">
        <f t="shared" si="94"/>
        <v>511982.22125000006</v>
      </c>
      <c r="W428">
        <f t="shared" si="90"/>
        <v>26693.1</v>
      </c>
      <c r="X428" s="6">
        <f t="shared" si="91"/>
        <v>3742.5149999999994</v>
      </c>
      <c r="Y428">
        <f t="shared" si="92"/>
        <v>0.12296498690760807</v>
      </c>
      <c r="Z428">
        <v>202508</v>
      </c>
      <c r="AA428" s="18">
        <v>202301</v>
      </c>
      <c r="AB428" t="str">
        <v>Aug-2023</v>
      </c>
      <c r="AC428">
        <f t="shared" si="93"/>
        <v>31</v>
      </c>
      <c r="AD428" t="str">
        <f t="shared" si="95"/>
        <v>Late</v>
      </c>
      <c r="AE428">
        <f t="shared" si="96"/>
        <v>0</v>
      </c>
      <c r="AF428">
        <f t="shared" si="97"/>
        <v>1</v>
      </c>
    </row>
    <row r="429" spans="1:32" x14ac:dyDescent="0.25">
      <c r="A429" s="3" t="s">
        <v>433</v>
      </c>
      <c r="B429" s="4">
        <v>45522</v>
      </c>
      <c r="C429" s="4" t="str">
        <f t="shared" si="84"/>
        <v>Aug-2024</v>
      </c>
      <c r="D429" s="4" t="str">
        <f t="shared" si="85"/>
        <v>Q3</v>
      </c>
      <c r="E429" s="4">
        <v>45547</v>
      </c>
      <c r="F429" s="10">
        <f t="shared" si="86"/>
        <v>25</v>
      </c>
      <c r="G429" s="3" t="s">
        <v>639</v>
      </c>
      <c r="H429" s="3" t="s">
        <v>646</v>
      </c>
      <c r="I429" s="3" t="s">
        <v>683</v>
      </c>
      <c r="J429" t="str">
        <f t="shared" si="87"/>
        <v>Asia &gt; India &gt; Mumbai</v>
      </c>
      <c r="K429" s="3" t="s">
        <v>696</v>
      </c>
      <c r="L429" s="3" t="s">
        <v>701</v>
      </c>
      <c r="M429" s="3" t="s">
        <v>704</v>
      </c>
      <c r="N429" s="3" t="s">
        <v>722</v>
      </c>
      <c r="O429" s="3" t="s">
        <v>1151</v>
      </c>
      <c r="P429" s="6">
        <v>1154.03</v>
      </c>
      <c r="Q429" s="6">
        <v>1590.36</v>
      </c>
      <c r="R429" s="6" t="str">
        <f t="shared" si="88"/>
        <v>High</v>
      </c>
      <c r="S429" s="6">
        <v>0.314</v>
      </c>
      <c r="T429" s="6">
        <v>18</v>
      </c>
      <c r="U429">
        <f t="shared" si="89"/>
        <v>19637.76528</v>
      </c>
      <c r="V429">
        <f t="shared" si="94"/>
        <v>511982.22125000006</v>
      </c>
      <c r="W429">
        <f t="shared" si="90"/>
        <v>20772.54</v>
      </c>
      <c r="X429" s="6">
        <f t="shared" si="91"/>
        <v>-1134.7747200000013</v>
      </c>
      <c r="Y429">
        <f t="shared" si="92"/>
        <v>-5.7785328616576745E-2</v>
      </c>
      <c r="Z429">
        <v>202408</v>
      </c>
      <c r="AA429" s="18">
        <v>202301</v>
      </c>
      <c r="AB429" t="str">
        <v>Aug-2023</v>
      </c>
      <c r="AC429">
        <f t="shared" si="93"/>
        <v>19</v>
      </c>
      <c r="AD429" t="str">
        <f t="shared" si="95"/>
        <v>Late</v>
      </c>
      <c r="AE429">
        <f t="shared" si="96"/>
        <v>0</v>
      </c>
      <c r="AF429">
        <f t="shared" si="97"/>
        <v>1</v>
      </c>
    </row>
    <row r="430" spans="1:32" x14ac:dyDescent="0.25">
      <c r="A430" s="3" t="s">
        <v>434</v>
      </c>
      <c r="B430" s="4">
        <v>45347</v>
      </c>
      <c r="C430" s="4" t="str">
        <f t="shared" si="84"/>
        <v>Feb-2024</v>
      </c>
      <c r="D430" s="4" t="str">
        <f t="shared" si="85"/>
        <v>Q1</v>
      </c>
      <c r="E430" s="4">
        <v>45360</v>
      </c>
      <c r="F430" s="10">
        <f t="shared" si="86"/>
        <v>13</v>
      </c>
      <c r="G430" s="3" t="s">
        <v>641</v>
      </c>
      <c r="H430" s="3" t="s">
        <v>649</v>
      </c>
      <c r="I430" s="3" t="s">
        <v>665</v>
      </c>
      <c r="J430" t="str">
        <f t="shared" si="87"/>
        <v>Europe &gt; France &gt; Marseille</v>
      </c>
      <c r="K430" s="3" t="s">
        <v>697</v>
      </c>
      <c r="L430" s="3" t="s">
        <v>702</v>
      </c>
      <c r="M430" s="3" t="s">
        <v>710</v>
      </c>
      <c r="N430" s="3" t="s">
        <v>724</v>
      </c>
      <c r="O430" s="3" t="s">
        <v>1152</v>
      </c>
      <c r="P430" s="6">
        <v>322.44</v>
      </c>
      <c r="Q430" s="6">
        <v>395.61</v>
      </c>
      <c r="R430" s="6" t="str">
        <f t="shared" si="88"/>
        <v>Low</v>
      </c>
      <c r="S430" s="6">
        <v>0</v>
      </c>
      <c r="T430" s="6">
        <v>34</v>
      </c>
      <c r="U430">
        <f t="shared" si="89"/>
        <v>13450.74</v>
      </c>
      <c r="V430">
        <f t="shared" si="94"/>
        <v>511982.22125000006</v>
      </c>
      <c r="W430">
        <f t="shared" si="90"/>
        <v>10962.96</v>
      </c>
      <c r="X430" s="6">
        <f t="shared" si="91"/>
        <v>2487.7800000000007</v>
      </c>
      <c r="Y430">
        <f t="shared" si="92"/>
        <v>0.18495487980586947</v>
      </c>
      <c r="Z430">
        <v>202402</v>
      </c>
      <c r="AA430" s="18">
        <v>202301</v>
      </c>
      <c r="AB430" t="str">
        <v>Feb-2023</v>
      </c>
      <c r="AC430">
        <f t="shared" si="93"/>
        <v>13</v>
      </c>
      <c r="AD430" t="str">
        <f t="shared" si="95"/>
        <v>Late</v>
      </c>
      <c r="AE430">
        <f t="shared" si="96"/>
        <v>0</v>
      </c>
      <c r="AF430">
        <f t="shared" si="97"/>
        <v>0</v>
      </c>
    </row>
    <row r="431" spans="1:32" x14ac:dyDescent="0.25">
      <c r="A431" s="3" t="s">
        <v>435</v>
      </c>
      <c r="B431" s="4">
        <v>45784</v>
      </c>
      <c r="C431" s="4" t="str">
        <f t="shared" si="84"/>
        <v>May-2025</v>
      </c>
      <c r="D431" s="4" t="str">
        <f t="shared" si="85"/>
        <v>Q2</v>
      </c>
      <c r="E431" s="4">
        <v>45790</v>
      </c>
      <c r="F431" s="10">
        <f t="shared" si="86"/>
        <v>6</v>
      </c>
      <c r="G431" s="3" t="s">
        <v>639</v>
      </c>
      <c r="H431" s="3" t="s">
        <v>646</v>
      </c>
      <c r="I431" s="3" t="s">
        <v>660</v>
      </c>
      <c r="J431" t="str">
        <f t="shared" si="87"/>
        <v>Asia &gt; India &gt; Bengaluru</v>
      </c>
      <c r="K431" s="3" t="s">
        <v>698</v>
      </c>
      <c r="L431" s="3" t="s">
        <v>703</v>
      </c>
      <c r="M431" s="3" t="s">
        <v>705</v>
      </c>
      <c r="N431" s="3" t="s">
        <v>722</v>
      </c>
      <c r="O431" s="3" t="s">
        <v>1153</v>
      </c>
      <c r="P431" s="6">
        <v>935.98</v>
      </c>
      <c r="Q431" s="6">
        <v>2077.69</v>
      </c>
      <c r="R431" s="6" t="str">
        <f t="shared" si="88"/>
        <v>Medium</v>
      </c>
      <c r="S431" s="6">
        <v>0.17499999999999999</v>
      </c>
      <c r="T431" s="6">
        <v>24</v>
      </c>
      <c r="U431">
        <f t="shared" si="89"/>
        <v>41138.261999999995</v>
      </c>
      <c r="V431">
        <f t="shared" si="94"/>
        <v>511982.22125000006</v>
      </c>
      <c r="W431">
        <f t="shared" si="90"/>
        <v>22463.52</v>
      </c>
      <c r="X431" s="6">
        <f t="shared" si="91"/>
        <v>18674.741999999995</v>
      </c>
      <c r="Y431">
        <f t="shared" si="92"/>
        <v>0.45395067978321491</v>
      </c>
      <c r="Z431">
        <v>202505</v>
      </c>
      <c r="AA431" s="18">
        <v>202301</v>
      </c>
      <c r="AB431" t="str">
        <v>May-2023</v>
      </c>
      <c r="AC431">
        <f t="shared" si="93"/>
        <v>28</v>
      </c>
      <c r="AD431" t="str">
        <f t="shared" si="95"/>
        <v>On Time</v>
      </c>
      <c r="AE431">
        <f t="shared" si="96"/>
        <v>1</v>
      </c>
      <c r="AF431">
        <f t="shared" si="97"/>
        <v>0</v>
      </c>
    </row>
    <row r="432" spans="1:32" x14ac:dyDescent="0.25">
      <c r="A432" s="3" t="s">
        <v>436</v>
      </c>
      <c r="B432" s="4">
        <v>45597</v>
      </c>
      <c r="C432" s="4" t="str">
        <f t="shared" si="84"/>
        <v>Nov-2024</v>
      </c>
      <c r="D432" s="4" t="str">
        <f t="shared" si="85"/>
        <v>Q4</v>
      </c>
      <c r="E432" s="4">
        <v>45608</v>
      </c>
      <c r="F432" s="10">
        <f t="shared" si="86"/>
        <v>11</v>
      </c>
      <c r="G432" s="3" t="s">
        <v>641</v>
      </c>
      <c r="H432" s="3" t="s">
        <v>648</v>
      </c>
      <c r="I432" s="3" t="s">
        <v>690</v>
      </c>
      <c r="J432" t="str">
        <f t="shared" si="87"/>
        <v>Europe &gt; Germany &gt; Frankfurt</v>
      </c>
      <c r="K432" s="3" t="s">
        <v>696</v>
      </c>
      <c r="L432" s="3" t="s">
        <v>700</v>
      </c>
      <c r="M432" s="3" t="s">
        <v>709</v>
      </c>
      <c r="N432" s="3" t="s">
        <v>720</v>
      </c>
      <c r="O432" s="3" t="s">
        <v>1154</v>
      </c>
      <c r="P432" s="6">
        <v>599.84</v>
      </c>
      <c r="Q432" s="6">
        <v>1330.85</v>
      </c>
      <c r="R432" s="6" t="str">
        <f t="shared" si="88"/>
        <v>Medium</v>
      </c>
      <c r="S432" s="6">
        <v>0.115</v>
      </c>
      <c r="T432" s="6">
        <v>11</v>
      </c>
      <c r="U432">
        <f t="shared" si="89"/>
        <v>12955.824749999998</v>
      </c>
      <c r="V432">
        <f t="shared" si="94"/>
        <v>511982.22125000006</v>
      </c>
      <c r="W432">
        <f t="shared" si="90"/>
        <v>6598.2400000000007</v>
      </c>
      <c r="X432" s="6">
        <f t="shared" si="91"/>
        <v>6357.5847499999973</v>
      </c>
      <c r="Y432">
        <f t="shared" si="92"/>
        <v>0.49071246892252063</v>
      </c>
      <c r="Z432">
        <v>202411</v>
      </c>
      <c r="AA432" s="18">
        <v>202301</v>
      </c>
      <c r="AB432" t="str">
        <v>Nov-2023</v>
      </c>
      <c r="AC432">
        <f t="shared" si="93"/>
        <v>22</v>
      </c>
      <c r="AD432" t="str">
        <f t="shared" si="95"/>
        <v>Late</v>
      </c>
      <c r="AE432">
        <f t="shared" si="96"/>
        <v>0</v>
      </c>
      <c r="AF432">
        <f t="shared" si="97"/>
        <v>0</v>
      </c>
    </row>
    <row r="433" spans="1:32" x14ac:dyDescent="0.25">
      <c r="A433" s="3" t="s">
        <v>437</v>
      </c>
      <c r="B433" s="4">
        <v>45654</v>
      </c>
      <c r="C433" s="4" t="str">
        <f t="shared" si="84"/>
        <v>Dec-2024</v>
      </c>
      <c r="D433" s="4" t="str">
        <f t="shared" si="85"/>
        <v>Q4</v>
      </c>
      <c r="E433" s="4">
        <v>45665</v>
      </c>
      <c r="F433" s="10">
        <f t="shared" si="86"/>
        <v>11</v>
      </c>
      <c r="G433" s="3" t="s">
        <v>639</v>
      </c>
      <c r="H433" s="3" t="s">
        <v>651</v>
      </c>
      <c r="I433" s="3" t="s">
        <v>668</v>
      </c>
      <c r="J433" t="str">
        <f t="shared" si="87"/>
        <v>Asia &gt; China &gt; Shenzhen</v>
      </c>
      <c r="K433" s="3" t="s">
        <v>698</v>
      </c>
      <c r="L433" s="3" t="s">
        <v>700</v>
      </c>
      <c r="M433" s="3" t="s">
        <v>715</v>
      </c>
      <c r="N433" s="3" t="s">
        <v>723</v>
      </c>
      <c r="O433" s="3" t="s">
        <v>1155</v>
      </c>
      <c r="P433" s="6">
        <v>1201.31</v>
      </c>
      <c r="Q433" s="6">
        <v>2764.65</v>
      </c>
      <c r="R433" s="6" t="str">
        <f t="shared" si="88"/>
        <v>High</v>
      </c>
      <c r="S433" s="6">
        <v>0</v>
      </c>
      <c r="T433" s="6">
        <v>21</v>
      </c>
      <c r="U433">
        <f t="shared" si="89"/>
        <v>58057.65</v>
      </c>
      <c r="V433">
        <f t="shared" si="94"/>
        <v>511982.22125000006</v>
      </c>
      <c r="W433">
        <f t="shared" si="90"/>
        <v>25227.51</v>
      </c>
      <c r="X433" s="6">
        <f t="shared" si="91"/>
        <v>32830.14</v>
      </c>
      <c r="Y433">
        <f t="shared" si="92"/>
        <v>0.56547483406579491</v>
      </c>
      <c r="Z433">
        <v>202412</v>
      </c>
      <c r="AA433" s="18">
        <v>202301</v>
      </c>
      <c r="AB433" t="str">
        <v>Dec-2023</v>
      </c>
      <c r="AC433">
        <f t="shared" si="93"/>
        <v>23</v>
      </c>
      <c r="AD433" t="str">
        <f t="shared" si="95"/>
        <v>Late</v>
      </c>
      <c r="AE433">
        <f t="shared" si="96"/>
        <v>0</v>
      </c>
      <c r="AF433">
        <f t="shared" si="97"/>
        <v>0</v>
      </c>
    </row>
    <row r="434" spans="1:32" x14ac:dyDescent="0.25">
      <c r="A434" s="3" t="s">
        <v>438</v>
      </c>
      <c r="B434" s="4">
        <v>45220</v>
      </c>
      <c r="C434" s="4" t="str">
        <f t="shared" si="84"/>
        <v>Oct-2023</v>
      </c>
      <c r="D434" s="4" t="str">
        <f t="shared" si="85"/>
        <v>Q4</v>
      </c>
      <c r="E434" s="4">
        <v>45220</v>
      </c>
      <c r="F434" s="10">
        <f t="shared" si="86"/>
        <v>0</v>
      </c>
      <c r="G434" s="3" t="s">
        <v>641</v>
      </c>
      <c r="H434" s="3" t="s">
        <v>650</v>
      </c>
      <c r="I434" s="3" t="s">
        <v>685</v>
      </c>
      <c r="J434" t="str">
        <f t="shared" si="87"/>
        <v>Europe &gt; United Kingdom &gt; Manchester</v>
      </c>
      <c r="K434" s="3" t="s">
        <v>698</v>
      </c>
      <c r="L434" s="3" t="s">
        <v>702</v>
      </c>
      <c r="M434" s="3" t="s">
        <v>705</v>
      </c>
      <c r="N434" s="3" t="s">
        <v>724</v>
      </c>
      <c r="O434" s="3" t="s">
        <v>1156</v>
      </c>
      <c r="P434" s="6">
        <v>384.19</v>
      </c>
      <c r="Q434" s="6">
        <v>278.35000000000002</v>
      </c>
      <c r="R434" s="6" t="str">
        <f t="shared" si="88"/>
        <v>Low</v>
      </c>
      <c r="S434" s="6">
        <v>5.6000000000000001E-2</v>
      </c>
      <c r="T434" s="6">
        <v>10</v>
      </c>
      <c r="U434">
        <f t="shared" si="89"/>
        <v>2627.6239999999998</v>
      </c>
      <c r="V434">
        <f t="shared" si="94"/>
        <v>511982.22125000006</v>
      </c>
      <c r="W434">
        <f t="shared" si="90"/>
        <v>3841.9</v>
      </c>
      <c r="X434" s="6">
        <f t="shared" si="91"/>
        <v>-1214.2760000000003</v>
      </c>
      <c r="Y434">
        <f t="shared" si="92"/>
        <v>-0.46211938998882657</v>
      </c>
      <c r="Z434">
        <v>202310</v>
      </c>
      <c r="AA434" s="18">
        <v>202301</v>
      </c>
      <c r="AB434" t="str">
        <v>Oct-2023</v>
      </c>
      <c r="AC434">
        <f t="shared" si="93"/>
        <v>9</v>
      </c>
      <c r="AD434" t="str">
        <f t="shared" si="95"/>
        <v>On Time</v>
      </c>
      <c r="AE434">
        <f t="shared" si="96"/>
        <v>1</v>
      </c>
      <c r="AF434">
        <f t="shared" si="97"/>
        <v>0</v>
      </c>
    </row>
    <row r="435" spans="1:32" x14ac:dyDescent="0.25">
      <c r="A435" s="3" t="s">
        <v>439</v>
      </c>
      <c r="B435" s="4">
        <v>45636</v>
      </c>
      <c r="C435" s="4" t="str">
        <f t="shared" si="84"/>
        <v>Dec-2024</v>
      </c>
      <c r="D435" s="4" t="str">
        <f t="shared" si="85"/>
        <v>Q4</v>
      </c>
      <c r="E435" s="4">
        <v>45645</v>
      </c>
      <c r="F435" s="10">
        <f t="shared" si="86"/>
        <v>9</v>
      </c>
      <c r="G435" s="3" t="s">
        <v>638</v>
      </c>
      <c r="H435" s="3" t="s">
        <v>643</v>
      </c>
      <c r="I435" s="3" t="s">
        <v>657</v>
      </c>
      <c r="J435" t="str">
        <f t="shared" si="87"/>
        <v>Africa &gt; Nigeria &gt; Lagos</v>
      </c>
      <c r="K435" s="3" t="s">
        <v>693</v>
      </c>
      <c r="L435" s="3" t="s">
        <v>699</v>
      </c>
      <c r="M435" s="3" t="s">
        <v>711</v>
      </c>
      <c r="N435" s="3" t="s">
        <v>724</v>
      </c>
      <c r="O435" s="3" t="s">
        <v>1157</v>
      </c>
      <c r="P435" s="6">
        <v>488.68</v>
      </c>
      <c r="Q435" s="6">
        <v>984.36</v>
      </c>
      <c r="R435" s="6" t="str">
        <f t="shared" si="88"/>
        <v>Low</v>
      </c>
      <c r="S435" s="6">
        <v>5.8999999999999997E-2</v>
      </c>
      <c r="T435" s="6">
        <v>14</v>
      </c>
      <c r="U435">
        <f t="shared" si="89"/>
        <v>12967.958640000001</v>
      </c>
      <c r="V435">
        <f t="shared" si="94"/>
        <v>511982.22125000006</v>
      </c>
      <c r="W435">
        <f t="shared" si="90"/>
        <v>6841.52</v>
      </c>
      <c r="X435" s="6">
        <f t="shared" si="91"/>
        <v>6126.4386400000003</v>
      </c>
      <c r="Y435">
        <f t="shared" si="92"/>
        <v>0.47242891576649876</v>
      </c>
      <c r="Z435">
        <v>202412</v>
      </c>
      <c r="AA435" s="18">
        <v>202301</v>
      </c>
      <c r="AB435" t="str">
        <v>Dec-2023</v>
      </c>
      <c r="AC435">
        <f t="shared" si="93"/>
        <v>23</v>
      </c>
      <c r="AD435" t="str">
        <f t="shared" si="95"/>
        <v>Late</v>
      </c>
      <c r="AE435">
        <f t="shared" si="96"/>
        <v>0</v>
      </c>
      <c r="AF435">
        <f t="shared" si="97"/>
        <v>0</v>
      </c>
    </row>
    <row r="436" spans="1:32" x14ac:dyDescent="0.25">
      <c r="A436" s="3" t="s">
        <v>440</v>
      </c>
      <c r="B436" s="4">
        <v>45542</v>
      </c>
      <c r="C436" s="4" t="str">
        <f t="shared" si="84"/>
        <v>Sept-2024</v>
      </c>
      <c r="D436" s="4" t="str">
        <f t="shared" si="85"/>
        <v>Q3</v>
      </c>
      <c r="E436" s="4">
        <v>45553</v>
      </c>
      <c r="F436" s="10">
        <f t="shared" si="86"/>
        <v>11</v>
      </c>
      <c r="G436" s="3" t="s">
        <v>639</v>
      </c>
      <c r="H436" s="3" t="s">
        <v>651</v>
      </c>
      <c r="I436" s="3" t="s">
        <v>691</v>
      </c>
      <c r="J436" t="str">
        <f t="shared" si="87"/>
        <v>Asia &gt; China &gt; Beijing</v>
      </c>
      <c r="K436" s="3" t="s">
        <v>696</v>
      </c>
      <c r="L436" s="3" t="s">
        <v>702</v>
      </c>
      <c r="M436" s="3" t="s">
        <v>711</v>
      </c>
      <c r="N436" s="3" t="s">
        <v>721</v>
      </c>
      <c r="O436" s="3" t="s">
        <v>1158</v>
      </c>
      <c r="P436" s="6">
        <v>181.74</v>
      </c>
      <c r="Q436" s="6">
        <v>190.84</v>
      </c>
      <c r="R436" s="6" t="str">
        <f t="shared" si="88"/>
        <v>Low</v>
      </c>
      <c r="S436" s="6">
        <v>0.214</v>
      </c>
      <c r="T436" s="6">
        <v>13</v>
      </c>
      <c r="U436">
        <f t="shared" si="89"/>
        <v>1950.0031200000001</v>
      </c>
      <c r="V436">
        <f t="shared" si="94"/>
        <v>511982.22125000006</v>
      </c>
      <c r="W436">
        <f t="shared" si="90"/>
        <v>2362.62</v>
      </c>
      <c r="X436" s="6">
        <f t="shared" si="91"/>
        <v>-412.61687999999981</v>
      </c>
      <c r="Y436">
        <f t="shared" si="92"/>
        <v>-0.21159806144310159</v>
      </c>
      <c r="Z436">
        <v>202409</v>
      </c>
      <c r="AA436" s="18">
        <v>202301</v>
      </c>
      <c r="AB436" t="str">
        <v>Sept-2023</v>
      </c>
      <c r="AC436">
        <f t="shared" si="93"/>
        <v>20</v>
      </c>
      <c r="AD436" t="str">
        <f t="shared" si="95"/>
        <v>Late</v>
      </c>
      <c r="AE436">
        <f t="shared" si="96"/>
        <v>0</v>
      </c>
      <c r="AF436">
        <f t="shared" si="97"/>
        <v>1</v>
      </c>
    </row>
    <row r="437" spans="1:32" x14ac:dyDescent="0.25">
      <c r="A437" s="3" t="s">
        <v>441</v>
      </c>
      <c r="B437" s="4">
        <v>45217</v>
      </c>
      <c r="C437" s="4" t="str">
        <f t="shared" si="84"/>
        <v>Oct-2023</v>
      </c>
      <c r="D437" s="4" t="str">
        <f t="shared" si="85"/>
        <v>Q4</v>
      </c>
      <c r="E437" s="4">
        <v>45219</v>
      </c>
      <c r="F437" s="10">
        <f t="shared" si="86"/>
        <v>2</v>
      </c>
      <c r="G437" s="3" t="s">
        <v>638</v>
      </c>
      <c r="H437" s="3" t="s">
        <v>642</v>
      </c>
      <c r="I437" s="3" t="s">
        <v>654</v>
      </c>
      <c r="J437" t="str">
        <f t="shared" si="87"/>
        <v>Africa &gt; Kenya &gt; Kisumu</v>
      </c>
      <c r="K437" s="3" t="s">
        <v>696</v>
      </c>
      <c r="L437" s="3" t="s">
        <v>699</v>
      </c>
      <c r="M437" s="3" t="s">
        <v>705</v>
      </c>
      <c r="N437" s="3" t="s">
        <v>722</v>
      </c>
      <c r="O437" s="3" t="s">
        <v>1159</v>
      </c>
      <c r="P437" s="6">
        <v>774.12</v>
      </c>
      <c r="Q437" s="6">
        <v>908.3</v>
      </c>
      <c r="R437" s="6" t="str">
        <f t="shared" si="88"/>
        <v>Medium</v>
      </c>
      <c r="S437" s="6">
        <v>0</v>
      </c>
      <c r="T437" s="6">
        <v>30</v>
      </c>
      <c r="U437">
        <f t="shared" si="89"/>
        <v>27249</v>
      </c>
      <c r="V437">
        <f t="shared" si="94"/>
        <v>511982.22125000006</v>
      </c>
      <c r="W437">
        <f t="shared" si="90"/>
        <v>23223.599999999999</v>
      </c>
      <c r="X437" s="6">
        <f t="shared" si="91"/>
        <v>4025.4000000000015</v>
      </c>
      <c r="Y437">
        <f t="shared" si="92"/>
        <v>0.14772652207420461</v>
      </c>
      <c r="Z437">
        <v>202310</v>
      </c>
      <c r="AA437" s="18">
        <v>202301</v>
      </c>
      <c r="AB437" t="str">
        <v>Oct-2023</v>
      </c>
      <c r="AC437">
        <f t="shared" si="93"/>
        <v>9</v>
      </c>
      <c r="AD437" t="str">
        <f t="shared" si="95"/>
        <v>On Time</v>
      </c>
      <c r="AE437">
        <f t="shared" si="96"/>
        <v>1</v>
      </c>
      <c r="AF437">
        <f t="shared" si="97"/>
        <v>0</v>
      </c>
    </row>
    <row r="438" spans="1:32" x14ac:dyDescent="0.25">
      <c r="A438" s="3" t="s">
        <v>442</v>
      </c>
      <c r="B438" s="4">
        <v>45650</v>
      </c>
      <c r="C438" s="4" t="str">
        <f t="shared" si="84"/>
        <v>Dec-2024</v>
      </c>
      <c r="D438" s="4" t="str">
        <f t="shared" si="85"/>
        <v>Q4</v>
      </c>
      <c r="E438" s="4">
        <v>45670</v>
      </c>
      <c r="F438" s="10">
        <f t="shared" si="86"/>
        <v>20</v>
      </c>
      <c r="G438" s="3" t="s">
        <v>639</v>
      </c>
      <c r="H438" s="3" t="s">
        <v>646</v>
      </c>
      <c r="I438" s="3" t="s">
        <v>660</v>
      </c>
      <c r="J438" t="str">
        <f t="shared" si="87"/>
        <v>Asia &gt; India &gt; Bengaluru</v>
      </c>
      <c r="K438" s="3" t="s">
        <v>693</v>
      </c>
      <c r="L438" s="3" t="s">
        <v>701</v>
      </c>
      <c r="M438" s="3" t="s">
        <v>718</v>
      </c>
      <c r="N438" s="3" t="s">
        <v>721</v>
      </c>
      <c r="O438" s="3" t="s">
        <v>1160</v>
      </c>
      <c r="P438" s="6">
        <v>126.15</v>
      </c>
      <c r="Q438" s="6">
        <v>284.23</v>
      </c>
      <c r="R438" s="6" t="str">
        <f t="shared" si="88"/>
        <v>Low</v>
      </c>
      <c r="S438" s="6">
        <v>0.113</v>
      </c>
      <c r="T438" s="6">
        <v>22</v>
      </c>
      <c r="U438">
        <f t="shared" si="89"/>
        <v>5546.4642200000008</v>
      </c>
      <c r="V438">
        <f t="shared" si="94"/>
        <v>511982.22125000006</v>
      </c>
      <c r="W438">
        <f t="shared" si="90"/>
        <v>2775.3</v>
      </c>
      <c r="X438" s="6">
        <f t="shared" si="91"/>
        <v>2771.1642200000006</v>
      </c>
      <c r="Y438">
        <f t="shared" si="92"/>
        <v>0.49962716968541088</v>
      </c>
      <c r="Z438">
        <v>202412</v>
      </c>
      <c r="AA438" s="18">
        <v>202301</v>
      </c>
      <c r="AB438" t="str">
        <v>Dec-2023</v>
      </c>
      <c r="AC438">
        <f t="shared" si="93"/>
        <v>23</v>
      </c>
      <c r="AD438" t="str">
        <f t="shared" si="95"/>
        <v>Late</v>
      </c>
      <c r="AE438">
        <f t="shared" si="96"/>
        <v>0</v>
      </c>
      <c r="AF438">
        <f t="shared" si="97"/>
        <v>0</v>
      </c>
    </row>
    <row r="439" spans="1:32" x14ac:dyDescent="0.25">
      <c r="A439" s="3" t="s">
        <v>443</v>
      </c>
      <c r="B439" s="4">
        <v>45037</v>
      </c>
      <c r="C439" s="4" t="str">
        <f t="shared" si="84"/>
        <v>Apr-2023</v>
      </c>
      <c r="D439" s="4" t="str">
        <f t="shared" si="85"/>
        <v>Q2</v>
      </c>
      <c r="E439" s="4">
        <v>45039</v>
      </c>
      <c r="F439" s="10">
        <f t="shared" si="86"/>
        <v>2</v>
      </c>
      <c r="G439" s="3" t="s">
        <v>639</v>
      </c>
      <c r="H439" s="3" t="s">
        <v>644</v>
      </c>
      <c r="I439" s="3" t="s">
        <v>686</v>
      </c>
      <c r="J439" t="str">
        <f t="shared" si="87"/>
        <v>Asia &gt; Japan &gt; Nagoya</v>
      </c>
      <c r="K439" s="3" t="s">
        <v>697</v>
      </c>
      <c r="L439" s="3" t="s">
        <v>703</v>
      </c>
      <c r="M439" s="3" t="s">
        <v>716</v>
      </c>
      <c r="N439" s="3" t="s">
        <v>719</v>
      </c>
      <c r="O439" s="3" t="s">
        <v>1161</v>
      </c>
      <c r="P439" s="6">
        <v>607.04</v>
      </c>
      <c r="Q439" s="6">
        <v>1229.3399999999999</v>
      </c>
      <c r="R439" s="6" t="str">
        <f t="shared" si="88"/>
        <v>Medium</v>
      </c>
      <c r="S439" s="6">
        <v>0.14699999999999999</v>
      </c>
      <c r="T439" s="6">
        <v>7</v>
      </c>
      <c r="U439">
        <f t="shared" si="89"/>
        <v>7340.3891399999993</v>
      </c>
      <c r="V439">
        <f t="shared" si="94"/>
        <v>511982.22125000006</v>
      </c>
      <c r="W439">
        <f t="shared" si="90"/>
        <v>4249.28</v>
      </c>
      <c r="X439" s="6">
        <f t="shared" si="91"/>
        <v>3091.1091399999996</v>
      </c>
      <c r="Y439">
        <f t="shared" si="92"/>
        <v>0.42110970972310058</v>
      </c>
      <c r="Z439">
        <v>202304</v>
      </c>
      <c r="AA439" s="18">
        <v>202303</v>
      </c>
      <c r="AB439" t="str">
        <v>Apr-2023</v>
      </c>
      <c r="AC439">
        <f t="shared" si="93"/>
        <v>1</v>
      </c>
      <c r="AD439" t="str">
        <f t="shared" si="95"/>
        <v>On Time</v>
      </c>
      <c r="AE439">
        <f t="shared" si="96"/>
        <v>1</v>
      </c>
      <c r="AF439">
        <f t="shared" si="97"/>
        <v>0</v>
      </c>
    </row>
    <row r="440" spans="1:32" x14ac:dyDescent="0.25">
      <c r="A440" s="3" t="s">
        <v>444</v>
      </c>
      <c r="B440" s="4">
        <v>45290</v>
      </c>
      <c r="C440" s="4" t="str">
        <f t="shared" si="84"/>
        <v>Dec-2023</v>
      </c>
      <c r="D440" s="4" t="str">
        <f t="shared" si="85"/>
        <v>Q4</v>
      </c>
      <c r="E440" s="4">
        <v>45299</v>
      </c>
      <c r="F440" s="10">
        <f t="shared" si="86"/>
        <v>9</v>
      </c>
      <c r="G440" s="3" t="s">
        <v>641</v>
      </c>
      <c r="H440" s="3" t="s">
        <v>649</v>
      </c>
      <c r="I440" s="3" t="s">
        <v>665</v>
      </c>
      <c r="J440" t="str">
        <f t="shared" si="87"/>
        <v>Europe &gt; France &gt; Marseille</v>
      </c>
      <c r="K440" s="3" t="s">
        <v>696</v>
      </c>
      <c r="L440" s="3" t="s">
        <v>701</v>
      </c>
      <c r="M440" s="3" t="s">
        <v>708</v>
      </c>
      <c r="N440" s="3" t="s">
        <v>725</v>
      </c>
      <c r="O440" s="3" t="s">
        <v>1162</v>
      </c>
      <c r="P440" s="6">
        <v>861.1</v>
      </c>
      <c r="Q440" s="6">
        <v>1224.72</v>
      </c>
      <c r="R440" s="6" t="str">
        <f t="shared" si="88"/>
        <v>Medium</v>
      </c>
      <c r="S440" s="6">
        <v>0.17399999999999999</v>
      </c>
      <c r="T440" s="6">
        <v>24</v>
      </c>
      <c r="U440">
        <f t="shared" si="89"/>
        <v>24278.849280000002</v>
      </c>
      <c r="V440">
        <f t="shared" si="94"/>
        <v>504641.83211000008</v>
      </c>
      <c r="W440">
        <f t="shared" si="90"/>
        <v>20666.400000000001</v>
      </c>
      <c r="X440" s="6">
        <f t="shared" si="91"/>
        <v>3612.4492800000007</v>
      </c>
      <c r="Y440">
        <f t="shared" si="92"/>
        <v>0.14878997098827909</v>
      </c>
      <c r="Z440">
        <v>202312</v>
      </c>
      <c r="AA440" s="18">
        <v>202301</v>
      </c>
      <c r="AB440" t="str">
        <v>Dec-2023</v>
      </c>
      <c r="AC440">
        <f t="shared" si="93"/>
        <v>11</v>
      </c>
      <c r="AD440" t="str">
        <f t="shared" si="95"/>
        <v>Late</v>
      </c>
      <c r="AE440">
        <f t="shared" si="96"/>
        <v>0</v>
      </c>
      <c r="AF440">
        <f t="shared" si="97"/>
        <v>0</v>
      </c>
    </row>
    <row r="441" spans="1:32" x14ac:dyDescent="0.25">
      <c r="A441" s="3" t="s">
        <v>445</v>
      </c>
      <c r="B441" s="4">
        <v>44978</v>
      </c>
      <c r="C441" s="4" t="str">
        <f t="shared" si="84"/>
        <v>Feb-2023</v>
      </c>
      <c r="D441" s="4" t="str">
        <f t="shared" si="85"/>
        <v>Q1</v>
      </c>
      <c r="E441" s="4">
        <v>44997</v>
      </c>
      <c r="F441" s="10">
        <f t="shared" si="86"/>
        <v>19</v>
      </c>
      <c r="G441" s="3" t="s">
        <v>638</v>
      </c>
      <c r="H441" s="3" t="s">
        <v>642</v>
      </c>
      <c r="I441" s="3" t="s">
        <v>670</v>
      </c>
      <c r="J441" t="str">
        <f t="shared" si="87"/>
        <v>Africa &gt; Kenya &gt; Nakuru</v>
      </c>
      <c r="K441" s="3" t="s">
        <v>693</v>
      </c>
      <c r="L441" s="3" t="s">
        <v>700</v>
      </c>
      <c r="M441" s="3" t="s">
        <v>713</v>
      </c>
      <c r="N441" s="3" t="s">
        <v>721</v>
      </c>
      <c r="O441" s="3" t="s">
        <v>1163</v>
      </c>
      <c r="P441" s="6">
        <v>352.65</v>
      </c>
      <c r="Q441" s="6">
        <v>485.86</v>
      </c>
      <c r="R441" s="6" t="str">
        <f t="shared" si="88"/>
        <v>Low</v>
      </c>
      <c r="S441" s="6">
        <v>4.1000000000000002E-2</v>
      </c>
      <c r="T441" s="6">
        <v>6</v>
      </c>
      <c r="U441">
        <f t="shared" si="89"/>
        <v>2795.6384399999997</v>
      </c>
      <c r="V441">
        <f t="shared" si="94"/>
        <v>504641.83211000008</v>
      </c>
      <c r="W441">
        <f t="shared" si="90"/>
        <v>2115.8999999999996</v>
      </c>
      <c r="X441" s="6">
        <f t="shared" si="91"/>
        <v>679.73844000000008</v>
      </c>
      <c r="Y441">
        <f t="shared" si="92"/>
        <v>0.24314247159943908</v>
      </c>
      <c r="Z441">
        <v>202302</v>
      </c>
      <c r="AA441" s="18">
        <v>202301</v>
      </c>
      <c r="AB441" t="str">
        <v>Feb-2023</v>
      </c>
      <c r="AC441">
        <f t="shared" si="93"/>
        <v>1</v>
      </c>
      <c r="AD441" t="str">
        <f t="shared" si="95"/>
        <v>Late</v>
      </c>
      <c r="AE441">
        <f t="shared" si="96"/>
        <v>0</v>
      </c>
      <c r="AF441">
        <f t="shared" si="97"/>
        <v>0</v>
      </c>
    </row>
    <row r="442" spans="1:32" x14ac:dyDescent="0.25">
      <c r="A442" s="3" t="s">
        <v>446</v>
      </c>
      <c r="B442" s="4">
        <v>45063</v>
      </c>
      <c r="C442" s="4" t="str">
        <f t="shared" si="84"/>
        <v>May-2023</v>
      </c>
      <c r="D442" s="4" t="str">
        <f t="shared" si="85"/>
        <v>Q2</v>
      </c>
      <c r="E442" s="4">
        <v>45080</v>
      </c>
      <c r="F442" s="10">
        <f t="shared" si="86"/>
        <v>17</v>
      </c>
      <c r="G442" s="3" t="s">
        <v>639</v>
      </c>
      <c r="H442" s="3" t="s">
        <v>651</v>
      </c>
      <c r="I442" s="3" t="s">
        <v>691</v>
      </c>
      <c r="J442" t="str">
        <f t="shared" si="87"/>
        <v>Asia &gt; China &gt; Beijing</v>
      </c>
      <c r="K442" s="3" t="s">
        <v>695</v>
      </c>
      <c r="L442" s="3" t="s">
        <v>702</v>
      </c>
      <c r="M442" s="3" t="s">
        <v>716</v>
      </c>
      <c r="N442" s="3" t="s">
        <v>720</v>
      </c>
      <c r="O442" s="3" t="s">
        <v>1164</v>
      </c>
      <c r="P442" s="6">
        <v>979.59</v>
      </c>
      <c r="Q442" s="6">
        <v>2210.94</v>
      </c>
      <c r="R442" s="6" t="str">
        <f t="shared" si="88"/>
        <v>Medium</v>
      </c>
      <c r="S442" s="6">
        <v>0.15</v>
      </c>
      <c r="T442" s="6">
        <v>11</v>
      </c>
      <c r="U442">
        <f t="shared" si="89"/>
        <v>20672.289000000001</v>
      </c>
      <c r="V442">
        <f t="shared" si="94"/>
        <v>504641.83211000008</v>
      </c>
      <c r="W442">
        <f t="shared" si="90"/>
        <v>10775.49</v>
      </c>
      <c r="X442" s="6">
        <f t="shared" si="91"/>
        <v>9896.7990000000009</v>
      </c>
      <c r="Y442">
        <f t="shared" si="92"/>
        <v>0.47874712858358359</v>
      </c>
      <c r="Z442">
        <v>202305</v>
      </c>
      <c r="AA442" s="18">
        <v>202301</v>
      </c>
      <c r="AB442" t="str">
        <v>May-2023</v>
      </c>
      <c r="AC442">
        <f t="shared" si="93"/>
        <v>4</v>
      </c>
      <c r="AD442" t="str">
        <f t="shared" si="95"/>
        <v>Late</v>
      </c>
      <c r="AE442">
        <f t="shared" si="96"/>
        <v>0</v>
      </c>
      <c r="AF442">
        <f t="shared" si="97"/>
        <v>0</v>
      </c>
    </row>
    <row r="443" spans="1:32" x14ac:dyDescent="0.25">
      <c r="A443" s="3" t="s">
        <v>447</v>
      </c>
      <c r="B443" s="4">
        <v>45374</v>
      </c>
      <c r="C443" s="4" t="str">
        <f t="shared" si="84"/>
        <v>Mar-2024</v>
      </c>
      <c r="D443" s="4" t="str">
        <f t="shared" si="85"/>
        <v>Q1</v>
      </c>
      <c r="E443" s="4">
        <v>45377</v>
      </c>
      <c r="F443" s="10">
        <f t="shared" si="86"/>
        <v>3</v>
      </c>
      <c r="G443" s="3" t="s">
        <v>639</v>
      </c>
      <c r="H443" s="3" t="s">
        <v>646</v>
      </c>
      <c r="I443" s="3" t="s">
        <v>660</v>
      </c>
      <c r="J443" t="str">
        <f t="shared" si="87"/>
        <v>Asia &gt; India &gt; Bengaluru</v>
      </c>
      <c r="K443" s="3" t="s">
        <v>694</v>
      </c>
      <c r="L443" s="3" t="s">
        <v>703</v>
      </c>
      <c r="M443" s="3" t="s">
        <v>707</v>
      </c>
      <c r="N443" s="3" t="s">
        <v>722</v>
      </c>
      <c r="O443" s="3" t="s">
        <v>1165</v>
      </c>
      <c r="P443" s="6">
        <v>382.21</v>
      </c>
      <c r="Q443" s="6">
        <v>571.89</v>
      </c>
      <c r="R443" s="6" t="str">
        <f t="shared" si="88"/>
        <v>Low</v>
      </c>
      <c r="S443" s="6">
        <v>0.14799999999999999</v>
      </c>
      <c r="T443" s="6">
        <v>26</v>
      </c>
      <c r="U443">
        <f t="shared" si="89"/>
        <v>12668.50728</v>
      </c>
      <c r="V443">
        <f t="shared" si="94"/>
        <v>504641.83211000008</v>
      </c>
      <c r="W443">
        <f t="shared" si="90"/>
        <v>9937.4599999999991</v>
      </c>
      <c r="X443" s="6">
        <f t="shared" si="91"/>
        <v>2731.0472800000007</v>
      </c>
      <c r="Y443">
        <f t="shared" si="92"/>
        <v>0.2155776698578809</v>
      </c>
      <c r="Z443">
        <v>202403</v>
      </c>
      <c r="AA443" s="18">
        <v>202301</v>
      </c>
      <c r="AB443" t="str">
        <v>Mar-2023</v>
      </c>
      <c r="AC443">
        <f t="shared" si="93"/>
        <v>14</v>
      </c>
      <c r="AD443" t="str">
        <f t="shared" si="95"/>
        <v>On Time</v>
      </c>
      <c r="AE443">
        <f t="shared" si="96"/>
        <v>1</v>
      </c>
      <c r="AF443">
        <f t="shared" si="97"/>
        <v>0</v>
      </c>
    </row>
    <row r="444" spans="1:32" x14ac:dyDescent="0.25">
      <c r="A444" s="3" t="s">
        <v>448</v>
      </c>
      <c r="B444" s="4">
        <v>45189</v>
      </c>
      <c r="C444" s="4" t="str">
        <f t="shared" si="84"/>
        <v>Sept-2023</v>
      </c>
      <c r="D444" s="4" t="str">
        <f t="shared" si="85"/>
        <v>Q3</v>
      </c>
      <c r="E444" s="4">
        <v>45197</v>
      </c>
      <c r="F444" s="10">
        <f t="shared" si="86"/>
        <v>8</v>
      </c>
      <c r="G444" s="3" t="s">
        <v>639</v>
      </c>
      <c r="H444" s="3" t="s">
        <v>646</v>
      </c>
      <c r="I444" s="3" t="s">
        <v>1413</v>
      </c>
      <c r="J444" t="str">
        <f t="shared" si="87"/>
        <v>Asia &gt; India &gt; Not Provided</v>
      </c>
      <c r="K444" s="3" t="s">
        <v>693</v>
      </c>
      <c r="L444" s="3" t="s">
        <v>1413</v>
      </c>
      <c r="M444" s="3" t="s">
        <v>709</v>
      </c>
      <c r="N444" s="3" t="s">
        <v>725</v>
      </c>
      <c r="O444" s="3" t="s">
        <v>1166</v>
      </c>
      <c r="P444" s="6">
        <v>1362.06</v>
      </c>
      <c r="Q444" s="6">
        <v>3398.37</v>
      </c>
      <c r="R444" s="6" t="str">
        <f t="shared" si="88"/>
        <v>High</v>
      </c>
      <c r="S444" s="6">
        <v>0.157</v>
      </c>
      <c r="T444" s="6">
        <v>11</v>
      </c>
      <c r="U444">
        <f t="shared" si="89"/>
        <v>31513.085009999999</v>
      </c>
      <c r="V444">
        <f t="shared" si="94"/>
        <v>504641.83211000008</v>
      </c>
      <c r="W444">
        <f t="shared" si="90"/>
        <v>14982.66</v>
      </c>
      <c r="X444" s="6">
        <f t="shared" si="91"/>
        <v>16530.425009999999</v>
      </c>
      <c r="Y444">
        <f t="shared" si="92"/>
        <v>0.52455749745714919</v>
      </c>
      <c r="Z444">
        <v>202309</v>
      </c>
      <c r="AA444" s="18">
        <v>202301</v>
      </c>
      <c r="AB444" t="str">
        <v>Sept-2023</v>
      </c>
      <c r="AC444">
        <f t="shared" si="93"/>
        <v>8</v>
      </c>
      <c r="AD444" t="str">
        <f t="shared" si="95"/>
        <v>Late</v>
      </c>
      <c r="AE444">
        <f t="shared" si="96"/>
        <v>0</v>
      </c>
      <c r="AF444">
        <f t="shared" si="97"/>
        <v>0</v>
      </c>
    </row>
    <row r="445" spans="1:32" x14ac:dyDescent="0.25">
      <c r="A445" s="3" t="s">
        <v>449</v>
      </c>
      <c r="B445" s="4">
        <v>45526</v>
      </c>
      <c r="C445" s="4" t="str">
        <f t="shared" si="84"/>
        <v>Aug-2024</v>
      </c>
      <c r="D445" s="4" t="str">
        <f t="shared" si="85"/>
        <v>Q3</v>
      </c>
      <c r="E445" s="4">
        <v>45539</v>
      </c>
      <c r="F445" s="10">
        <f t="shared" si="86"/>
        <v>13</v>
      </c>
      <c r="G445" s="3" t="s">
        <v>641</v>
      </c>
      <c r="H445" s="3" t="s">
        <v>648</v>
      </c>
      <c r="I445" s="3" t="s">
        <v>690</v>
      </c>
      <c r="J445" t="str">
        <f t="shared" si="87"/>
        <v>Europe &gt; Germany &gt; Frankfurt</v>
      </c>
      <c r="K445" s="3" t="s">
        <v>695</v>
      </c>
      <c r="L445" s="3" t="s">
        <v>699</v>
      </c>
      <c r="M445" s="3" t="s">
        <v>708</v>
      </c>
      <c r="N445" s="3" t="s">
        <v>720</v>
      </c>
      <c r="O445" s="3" t="s">
        <v>1167</v>
      </c>
      <c r="P445" s="6">
        <v>90.04</v>
      </c>
      <c r="Q445" s="6">
        <v>194.62</v>
      </c>
      <c r="R445" s="6" t="str">
        <f t="shared" si="88"/>
        <v>Low</v>
      </c>
      <c r="S445" s="6">
        <v>4.2999999999999997E-2</v>
      </c>
      <c r="T445" s="6">
        <v>32</v>
      </c>
      <c r="U445">
        <f t="shared" si="89"/>
        <v>5960.04288</v>
      </c>
      <c r="V445">
        <f t="shared" si="94"/>
        <v>504641.83211000008</v>
      </c>
      <c r="W445">
        <f t="shared" si="90"/>
        <v>2881.28</v>
      </c>
      <c r="X445" s="6">
        <f t="shared" si="91"/>
        <v>3078.7628799999998</v>
      </c>
      <c r="Y445">
        <f t="shared" si="92"/>
        <v>0.51656723650954672</v>
      </c>
      <c r="Z445">
        <v>202408</v>
      </c>
      <c r="AA445" s="18">
        <v>202301</v>
      </c>
      <c r="AB445" t="str">
        <v>Aug-2023</v>
      </c>
      <c r="AC445">
        <f t="shared" si="93"/>
        <v>19</v>
      </c>
      <c r="AD445" t="str">
        <f t="shared" si="95"/>
        <v>Late</v>
      </c>
      <c r="AE445">
        <f t="shared" si="96"/>
        <v>0</v>
      </c>
      <c r="AF445">
        <f t="shared" si="97"/>
        <v>0</v>
      </c>
    </row>
    <row r="446" spans="1:32" x14ac:dyDescent="0.25">
      <c r="A446" s="3" t="s">
        <v>450</v>
      </c>
      <c r="B446" s="4">
        <v>45560</v>
      </c>
      <c r="C446" s="4" t="str">
        <f t="shared" si="84"/>
        <v>Sept-2024</v>
      </c>
      <c r="D446" s="4" t="str">
        <f t="shared" si="85"/>
        <v>Q3</v>
      </c>
      <c r="E446" s="4">
        <v>45568</v>
      </c>
      <c r="F446" s="10">
        <f t="shared" si="86"/>
        <v>8</v>
      </c>
      <c r="G446" s="3" t="s">
        <v>640</v>
      </c>
      <c r="H446" s="3" t="s">
        <v>645</v>
      </c>
      <c r="I446" s="3" t="s">
        <v>659</v>
      </c>
      <c r="J446" t="str">
        <f t="shared" si="87"/>
        <v>Americas &gt; Canada &gt; Toronto</v>
      </c>
      <c r="K446" s="3" t="s">
        <v>696</v>
      </c>
      <c r="L446" s="3" t="s">
        <v>700</v>
      </c>
      <c r="M446" s="3" t="s">
        <v>710</v>
      </c>
      <c r="N446" s="3" t="s">
        <v>720</v>
      </c>
      <c r="O446" s="3" t="s">
        <v>1168</v>
      </c>
      <c r="P446" s="6">
        <v>558.19000000000005</v>
      </c>
      <c r="Q446" s="6">
        <v>1031.6400000000001</v>
      </c>
      <c r="R446" s="6" t="str">
        <f t="shared" si="88"/>
        <v>Medium</v>
      </c>
      <c r="S446" s="6">
        <v>0</v>
      </c>
      <c r="T446" s="6">
        <v>21</v>
      </c>
      <c r="U446">
        <f t="shared" si="89"/>
        <v>21664.440000000002</v>
      </c>
      <c r="V446">
        <f t="shared" si="94"/>
        <v>504641.83211000008</v>
      </c>
      <c r="W446">
        <f t="shared" si="90"/>
        <v>11721.990000000002</v>
      </c>
      <c r="X446" s="6">
        <f t="shared" si="91"/>
        <v>9942.4500000000007</v>
      </c>
      <c r="Y446">
        <f t="shared" si="92"/>
        <v>0.45892947152107322</v>
      </c>
      <c r="Z446">
        <v>202409</v>
      </c>
      <c r="AA446" s="18">
        <v>202301</v>
      </c>
      <c r="AB446" t="str">
        <v>Sept-2023</v>
      </c>
      <c r="AC446">
        <f t="shared" si="93"/>
        <v>20</v>
      </c>
      <c r="AD446" t="str">
        <f t="shared" si="95"/>
        <v>Late</v>
      </c>
      <c r="AE446">
        <f t="shared" si="96"/>
        <v>0</v>
      </c>
      <c r="AF446">
        <f t="shared" si="97"/>
        <v>0</v>
      </c>
    </row>
    <row r="447" spans="1:32" x14ac:dyDescent="0.25">
      <c r="A447" s="3" t="s">
        <v>451</v>
      </c>
      <c r="B447" s="4">
        <v>45090</v>
      </c>
      <c r="C447" s="4" t="str">
        <f t="shared" si="84"/>
        <v>Jun-2023</v>
      </c>
      <c r="D447" s="4" t="str">
        <f t="shared" si="85"/>
        <v>Q2</v>
      </c>
      <c r="E447" s="4">
        <v>45101</v>
      </c>
      <c r="F447" s="10">
        <f t="shared" si="86"/>
        <v>11</v>
      </c>
      <c r="G447" s="3" t="s">
        <v>640</v>
      </c>
      <c r="H447" s="3" t="s">
        <v>645</v>
      </c>
      <c r="I447" s="3" t="s">
        <v>659</v>
      </c>
      <c r="J447" t="str">
        <f t="shared" si="87"/>
        <v>Americas &gt; Canada &gt; Toronto</v>
      </c>
      <c r="K447" s="3" t="s">
        <v>693</v>
      </c>
      <c r="L447" s="3" t="s">
        <v>700</v>
      </c>
      <c r="M447" s="3" t="s">
        <v>704</v>
      </c>
      <c r="N447" s="3" t="s">
        <v>720</v>
      </c>
      <c r="O447" s="3" t="s">
        <v>1169</v>
      </c>
      <c r="P447" s="6">
        <v>247.07</v>
      </c>
      <c r="Q447" s="6">
        <v>495.19</v>
      </c>
      <c r="R447" s="6" t="str">
        <f t="shared" si="88"/>
        <v>Low</v>
      </c>
      <c r="S447" s="6">
        <v>2.8000000000000001E-2</v>
      </c>
      <c r="T447" s="6">
        <v>4</v>
      </c>
      <c r="U447">
        <f t="shared" si="89"/>
        <v>1925.29872</v>
      </c>
      <c r="V447">
        <f t="shared" si="94"/>
        <v>504641.83211000008</v>
      </c>
      <c r="W447">
        <f t="shared" si="90"/>
        <v>988.28</v>
      </c>
      <c r="X447" s="6">
        <f t="shared" si="91"/>
        <v>937.01872000000003</v>
      </c>
      <c r="Y447">
        <f t="shared" si="92"/>
        <v>0.48668744764968214</v>
      </c>
      <c r="Z447">
        <v>202306</v>
      </c>
      <c r="AA447" s="18">
        <v>202301</v>
      </c>
      <c r="AB447" t="str">
        <v>Jun-2023</v>
      </c>
      <c r="AC447">
        <f t="shared" si="93"/>
        <v>5</v>
      </c>
      <c r="AD447" t="str">
        <f t="shared" si="95"/>
        <v>Late</v>
      </c>
      <c r="AE447">
        <f t="shared" si="96"/>
        <v>0</v>
      </c>
      <c r="AF447">
        <f t="shared" si="97"/>
        <v>0</v>
      </c>
    </row>
    <row r="448" spans="1:32" x14ac:dyDescent="0.25">
      <c r="A448" s="3" t="s">
        <v>452</v>
      </c>
      <c r="B448" s="4">
        <v>45284</v>
      </c>
      <c r="C448" s="4" t="str">
        <f t="shared" si="84"/>
        <v>Dec-2023</v>
      </c>
      <c r="D448" s="4" t="str">
        <f t="shared" si="85"/>
        <v>Q4</v>
      </c>
      <c r="E448" s="4">
        <v>45304</v>
      </c>
      <c r="F448" s="10">
        <f t="shared" si="86"/>
        <v>20</v>
      </c>
      <c r="G448" s="3" t="s">
        <v>639</v>
      </c>
      <c r="H448" s="3" t="s">
        <v>644</v>
      </c>
      <c r="I448" s="3" t="s">
        <v>686</v>
      </c>
      <c r="J448" t="str">
        <f t="shared" si="87"/>
        <v>Asia &gt; Japan &gt; Nagoya</v>
      </c>
      <c r="K448" s="3" t="s">
        <v>694</v>
      </c>
      <c r="L448" s="3" t="s">
        <v>703</v>
      </c>
      <c r="M448" s="3" t="s">
        <v>709</v>
      </c>
      <c r="N448" s="3" t="s">
        <v>723</v>
      </c>
      <c r="O448" s="3" t="s">
        <v>1170</v>
      </c>
      <c r="P448" s="6">
        <v>625.37</v>
      </c>
      <c r="Q448" s="6">
        <v>1319.04</v>
      </c>
      <c r="R448" s="6" t="str">
        <f t="shared" si="88"/>
        <v>Medium</v>
      </c>
      <c r="S448" s="6">
        <v>7.3999999999999996E-2</v>
      </c>
      <c r="T448" s="6">
        <v>8</v>
      </c>
      <c r="U448">
        <f t="shared" si="89"/>
        <v>9771.4483199999995</v>
      </c>
      <c r="V448">
        <f t="shared" si="94"/>
        <v>504641.83211000008</v>
      </c>
      <c r="W448">
        <f t="shared" si="90"/>
        <v>5002.96</v>
      </c>
      <c r="X448" s="6">
        <f t="shared" si="91"/>
        <v>4768.4883199999995</v>
      </c>
      <c r="Y448">
        <f t="shared" si="92"/>
        <v>0.48800220436513547</v>
      </c>
      <c r="Z448">
        <v>202312</v>
      </c>
      <c r="AA448" s="18">
        <v>202303</v>
      </c>
      <c r="AB448" t="str">
        <v>Dec-2023</v>
      </c>
      <c r="AC448">
        <f t="shared" si="93"/>
        <v>9</v>
      </c>
      <c r="AD448" t="str">
        <f t="shared" si="95"/>
        <v>Late</v>
      </c>
      <c r="AE448">
        <f t="shared" si="96"/>
        <v>0</v>
      </c>
      <c r="AF448">
        <f t="shared" si="97"/>
        <v>0</v>
      </c>
    </row>
    <row r="449" spans="1:32" x14ac:dyDescent="0.25">
      <c r="A449" s="3" t="s">
        <v>453</v>
      </c>
      <c r="B449" s="4">
        <v>45746</v>
      </c>
      <c r="C449" s="4" t="str">
        <f t="shared" si="84"/>
        <v>Mar-2025</v>
      </c>
      <c r="D449" s="4" t="str">
        <f t="shared" si="85"/>
        <v>Q1</v>
      </c>
      <c r="E449" s="4">
        <v>45776</v>
      </c>
      <c r="F449" s="10">
        <f t="shared" si="86"/>
        <v>30</v>
      </c>
      <c r="G449" s="3" t="s">
        <v>638</v>
      </c>
      <c r="H449" s="3" t="s">
        <v>653</v>
      </c>
      <c r="I449" s="3" t="s">
        <v>679</v>
      </c>
      <c r="J449" t="str">
        <f t="shared" si="87"/>
        <v>Africa &gt; South Africa &gt; Durban</v>
      </c>
      <c r="K449" s="3" t="s">
        <v>696</v>
      </c>
      <c r="L449" s="3" t="s">
        <v>701</v>
      </c>
      <c r="M449" s="3" t="s">
        <v>705</v>
      </c>
      <c r="N449" s="3" t="s">
        <v>724</v>
      </c>
      <c r="O449" s="3" t="s">
        <v>1171</v>
      </c>
      <c r="P449" s="6">
        <v>194.6</v>
      </c>
      <c r="Q449" s="6">
        <v>314.87</v>
      </c>
      <c r="R449" s="6" t="str">
        <f t="shared" si="88"/>
        <v>Low</v>
      </c>
      <c r="S449" s="6">
        <v>0.29299999999999998</v>
      </c>
      <c r="T449" s="6">
        <v>25</v>
      </c>
      <c r="U449">
        <f t="shared" si="89"/>
        <v>5565.3272500000003</v>
      </c>
      <c r="V449">
        <f t="shared" si="94"/>
        <v>504641.83211000008</v>
      </c>
      <c r="W449">
        <f t="shared" si="90"/>
        <v>4865</v>
      </c>
      <c r="X449" s="6">
        <f t="shared" si="91"/>
        <v>700.32725000000028</v>
      </c>
      <c r="Y449">
        <f t="shared" si="92"/>
        <v>0.1258375686712763</v>
      </c>
      <c r="Z449">
        <v>202503</v>
      </c>
      <c r="AA449" s="18">
        <v>202301</v>
      </c>
      <c r="AB449" t="str">
        <v>Mar-2023</v>
      </c>
      <c r="AC449">
        <f t="shared" si="93"/>
        <v>26</v>
      </c>
      <c r="AD449" t="str">
        <f t="shared" si="95"/>
        <v>Late</v>
      </c>
      <c r="AE449">
        <f t="shared" si="96"/>
        <v>0</v>
      </c>
      <c r="AF449">
        <f t="shared" si="97"/>
        <v>1</v>
      </c>
    </row>
    <row r="450" spans="1:32" x14ac:dyDescent="0.25">
      <c r="A450" s="3" t="s">
        <v>454</v>
      </c>
      <c r="B450" s="4">
        <v>45446</v>
      </c>
      <c r="C450" s="4" t="str">
        <f t="shared" ref="C450:C513" si="98">TEXT(B450,"MMM-YYYY")</f>
        <v>Jun-2024</v>
      </c>
      <c r="D450" s="4" t="str">
        <f t="shared" ref="D450:D513" si="99">IF(MONTH(B450)&lt;=3,"Q1",IF(MONTH(B450)&lt;=6,"Q2",IF(MONTH(B450)&lt;=9,"Q3","Q4")))</f>
        <v>Q2</v>
      </c>
      <c r="E450" s="4">
        <v>45467</v>
      </c>
      <c r="F450" s="10">
        <f t="shared" ref="F450:F513" si="100">ABS(E450-B450)</f>
        <v>21</v>
      </c>
      <c r="G450" s="3" t="s">
        <v>640</v>
      </c>
      <c r="H450" s="3" t="s">
        <v>645</v>
      </c>
      <c r="I450" s="3" t="s">
        <v>659</v>
      </c>
      <c r="J450" t="str">
        <f t="shared" ref="J450:J513" si="101">G450 &amp; " &gt; " &amp; H450 &amp; " &gt; " &amp; I450</f>
        <v>Americas &gt; Canada &gt; Toronto</v>
      </c>
      <c r="K450" s="3" t="s">
        <v>697</v>
      </c>
      <c r="L450" s="3" t="s">
        <v>703</v>
      </c>
      <c r="M450" s="3" t="s">
        <v>707</v>
      </c>
      <c r="N450" s="3" t="s">
        <v>724</v>
      </c>
      <c r="O450" s="3" t="s">
        <v>1172</v>
      </c>
      <c r="P450" s="6">
        <v>1205.5</v>
      </c>
      <c r="Q450" s="6">
        <v>2210.17</v>
      </c>
      <c r="R450" s="6" t="str">
        <f t="shared" ref="R450:R513" si="102">IF(P450&lt;=500,"Low",IF(P450&lt;=1000,"Medium","High"))</f>
        <v>High</v>
      </c>
      <c r="S450" s="6">
        <v>0.104</v>
      </c>
      <c r="T450" s="6">
        <v>23</v>
      </c>
      <c r="U450">
        <f t="shared" ref="U450:U513" si="103">(Q450*T450*(1-S450))</f>
        <v>45547.183360000003</v>
      </c>
      <c r="V450">
        <f t="shared" si="94"/>
        <v>504641.83211000008</v>
      </c>
      <c r="W450">
        <f t="shared" ref="W450:W513" si="104">(P450*T450)</f>
        <v>27726.5</v>
      </c>
      <c r="X450" s="6">
        <f t="shared" ref="X450:X513" si="105">(U450-W450)</f>
        <v>17820.683360000003</v>
      </c>
      <c r="Y450">
        <f t="shared" ref="Y450:Y513" si="106">IF(U450=0,0,X450/U450)</f>
        <v>0.39125763758314652</v>
      </c>
      <c r="Z450">
        <v>202406</v>
      </c>
      <c r="AA450" s="18">
        <v>202301</v>
      </c>
      <c r="AB450" t="str">
        <v>Jun-2023</v>
      </c>
      <c r="AC450">
        <f t="shared" ref="AC450:AC513" si="107">DATEDIF(DATE(LEFT(AA450,4),RIGHT(AA450,2),1),B450,"M")</f>
        <v>17</v>
      </c>
      <c r="AD450" t="str">
        <f t="shared" si="95"/>
        <v>Late</v>
      </c>
      <c r="AE450">
        <f t="shared" si="96"/>
        <v>0</v>
      </c>
      <c r="AF450">
        <f t="shared" si="97"/>
        <v>0</v>
      </c>
    </row>
    <row r="451" spans="1:32" x14ac:dyDescent="0.25">
      <c r="A451" s="3" t="s">
        <v>455</v>
      </c>
      <c r="B451" s="4">
        <v>45454</v>
      </c>
      <c r="C451" s="4" t="str">
        <f t="shared" si="98"/>
        <v>Jun-2024</v>
      </c>
      <c r="D451" s="4" t="str">
        <f t="shared" si="99"/>
        <v>Q2</v>
      </c>
      <c r="E451" s="4">
        <v>45482</v>
      </c>
      <c r="F451" s="10">
        <f t="shared" si="100"/>
        <v>28</v>
      </c>
      <c r="G451" s="3" t="s">
        <v>638</v>
      </c>
      <c r="H451" s="3" t="s">
        <v>643</v>
      </c>
      <c r="I451" s="3" t="s">
        <v>655</v>
      </c>
      <c r="J451" t="str">
        <f t="shared" si="101"/>
        <v>Africa &gt; Nigeria &gt; Port Harcourt</v>
      </c>
      <c r="K451" s="3" t="s">
        <v>693</v>
      </c>
      <c r="L451" s="3" t="s">
        <v>701</v>
      </c>
      <c r="M451" s="3" t="s">
        <v>706</v>
      </c>
      <c r="N451" s="3" t="s">
        <v>722</v>
      </c>
      <c r="O451" s="3" t="s">
        <v>1173</v>
      </c>
      <c r="P451" s="6">
        <v>895.54</v>
      </c>
      <c r="Q451" s="6">
        <v>1045</v>
      </c>
      <c r="R451" s="6" t="str">
        <f t="shared" si="102"/>
        <v>Medium</v>
      </c>
      <c r="S451" s="6">
        <v>0.216</v>
      </c>
      <c r="T451" s="6">
        <v>15</v>
      </c>
      <c r="U451">
        <f t="shared" si="103"/>
        <v>12289.2</v>
      </c>
      <c r="V451">
        <f t="shared" ref="V451:V514" si="108">SUMIFS(U451:U1082,N451:N1082,"Components")</f>
        <v>504641.83211000008</v>
      </c>
      <c r="W451">
        <f t="shared" si="104"/>
        <v>13433.099999999999</v>
      </c>
      <c r="X451" s="6">
        <f t="shared" si="105"/>
        <v>-1143.8999999999978</v>
      </c>
      <c r="Y451">
        <f t="shared" si="106"/>
        <v>-9.3081730299775234E-2</v>
      </c>
      <c r="Z451">
        <v>202406</v>
      </c>
      <c r="AA451" s="18">
        <v>202301</v>
      </c>
      <c r="AB451" t="str">
        <v>Jun-2023</v>
      </c>
      <c r="AC451">
        <f t="shared" si="107"/>
        <v>17</v>
      </c>
      <c r="AD451" t="str">
        <f t="shared" ref="AD451:AD514" si="109">IF(F451&lt;=7,"On Time","Late")</f>
        <v>Late</v>
      </c>
      <c r="AE451">
        <f t="shared" ref="AE451:AE514" si="110">IF(F451&lt;=7,1,0)</f>
        <v>0</v>
      </c>
      <c r="AF451">
        <f t="shared" ref="AF451:AF514" si="111">IF(S451&gt;0.2,1,0)</f>
        <v>1</v>
      </c>
    </row>
    <row r="452" spans="1:32" x14ac:dyDescent="0.25">
      <c r="A452" s="3" t="s">
        <v>456</v>
      </c>
      <c r="B452" s="4">
        <v>45129</v>
      </c>
      <c r="C452" s="4" t="str">
        <f t="shared" si="98"/>
        <v>Jul-2023</v>
      </c>
      <c r="D452" s="4" t="str">
        <f t="shared" si="99"/>
        <v>Q3</v>
      </c>
      <c r="E452" s="4">
        <v>45130</v>
      </c>
      <c r="F452" s="10">
        <f t="shared" si="100"/>
        <v>1</v>
      </c>
      <c r="G452" s="3" t="s">
        <v>639</v>
      </c>
      <c r="H452" s="3" t="s">
        <v>646</v>
      </c>
      <c r="I452" s="3" t="s">
        <v>672</v>
      </c>
      <c r="J452" t="str">
        <f t="shared" si="101"/>
        <v>Asia &gt; India &gt; Delhi</v>
      </c>
      <c r="K452" s="3" t="s">
        <v>697</v>
      </c>
      <c r="L452" s="3" t="s">
        <v>702</v>
      </c>
      <c r="M452" s="3" t="s">
        <v>710</v>
      </c>
      <c r="N452" s="3" t="s">
        <v>720</v>
      </c>
      <c r="O452" s="3" t="s">
        <v>1174</v>
      </c>
      <c r="P452" s="6">
        <v>946.99</v>
      </c>
      <c r="Q452" s="6">
        <v>2132.19</v>
      </c>
      <c r="R452" s="6" t="str">
        <f t="shared" si="102"/>
        <v>Medium</v>
      </c>
      <c r="S452" s="6">
        <v>0.16500000000000001</v>
      </c>
      <c r="T452" s="6">
        <v>7</v>
      </c>
      <c r="U452">
        <f t="shared" si="103"/>
        <v>12462.65055</v>
      </c>
      <c r="V452">
        <f t="shared" si="108"/>
        <v>504641.83211000008</v>
      </c>
      <c r="W452">
        <f t="shared" si="104"/>
        <v>6628.93</v>
      </c>
      <c r="X452" s="6">
        <f t="shared" si="105"/>
        <v>5833.72055</v>
      </c>
      <c r="Y452">
        <f t="shared" si="106"/>
        <v>0.46809629513362228</v>
      </c>
      <c r="Z452">
        <v>202307</v>
      </c>
      <c r="AA452" s="18">
        <v>202301</v>
      </c>
      <c r="AB452" t="str">
        <v>Jul-2023</v>
      </c>
      <c r="AC452">
        <f t="shared" si="107"/>
        <v>6</v>
      </c>
      <c r="AD452" t="str">
        <f t="shared" si="109"/>
        <v>On Time</v>
      </c>
      <c r="AE452">
        <f t="shared" si="110"/>
        <v>1</v>
      </c>
      <c r="AF452">
        <f t="shared" si="111"/>
        <v>0</v>
      </c>
    </row>
    <row r="453" spans="1:32" x14ac:dyDescent="0.25">
      <c r="A453" s="3" t="s">
        <v>457</v>
      </c>
      <c r="B453" s="4">
        <v>44945</v>
      </c>
      <c r="C453" s="4" t="str">
        <f t="shared" si="98"/>
        <v>Jan-2023</v>
      </c>
      <c r="D453" s="4" t="str">
        <f t="shared" si="99"/>
        <v>Q1</v>
      </c>
      <c r="E453" s="4">
        <v>44960</v>
      </c>
      <c r="F453" s="10">
        <f t="shared" si="100"/>
        <v>15</v>
      </c>
      <c r="G453" s="3" t="s">
        <v>641</v>
      </c>
      <c r="H453" s="3" t="s">
        <v>650</v>
      </c>
      <c r="I453" s="3" t="s">
        <v>675</v>
      </c>
      <c r="J453" t="str">
        <f t="shared" si="101"/>
        <v>Europe &gt; United Kingdom &gt; London</v>
      </c>
      <c r="K453" s="3" t="s">
        <v>698</v>
      </c>
      <c r="L453" s="3" t="s">
        <v>702</v>
      </c>
      <c r="M453" s="3" t="s">
        <v>707</v>
      </c>
      <c r="N453" s="3" t="s">
        <v>725</v>
      </c>
      <c r="O453" s="3" t="s">
        <v>1175</v>
      </c>
      <c r="P453" s="6">
        <v>873.06</v>
      </c>
      <c r="Q453" s="6">
        <v>2101.5500000000002</v>
      </c>
      <c r="R453" s="6" t="str">
        <f t="shared" si="102"/>
        <v>Medium</v>
      </c>
      <c r="S453" s="6">
        <v>6.6000000000000003E-2</v>
      </c>
      <c r="T453" s="6">
        <v>10</v>
      </c>
      <c r="U453">
        <f t="shared" si="103"/>
        <v>19628.476999999999</v>
      </c>
      <c r="V453">
        <f t="shared" si="108"/>
        <v>504641.83211000008</v>
      </c>
      <c r="W453">
        <f t="shared" si="104"/>
        <v>8730.5999999999985</v>
      </c>
      <c r="X453" s="6">
        <f t="shared" si="105"/>
        <v>10897.877</v>
      </c>
      <c r="Y453">
        <f t="shared" si="106"/>
        <v>0.55520746719167269</v>
      </c>
      <c r="Z453">
        <v>202301</v>
      </c>
      <c r="AA453" s="18">
        <v>202301</v>
      </c>
      <c r="AB453" t="str">
        <v>Jan-2023</v>
      </c>
      <c r="AC453">
        <f t="shared" si="107"/>
        <v>0</v>
      </c>
      <c r="AD453" t="str">
        <f t="shared" si="109"/>
        <v>Late</v>
      </c>
      <c r="AE453">
        <f t="shared" si="110"/>
        <v>0</v>
      </c>
      <c r="AF453">
        <f t="shared" si="111"/>
        <v>0</v>
      </c>
    </row>
    <row r="454" spans="1:32" x14ac:dyDescent="0.25">
      <c r="A454" s="3" t="s">
        <v>458</v>
      </c>
      <c r="B454" s="4">
        <v>45413</v>
      </c>
      <c r="C454" s="4" t="str">
        <f t="shared" si="98"/>
        <v>May-2024</v>
      </c>
      <c r="D454" s="4" t="str">
        <f t="shared" si="99"/>
        <v>Q2</v>
      </c>
      <c r="E454" s="4">
        <v>45428</v>
      </c>
      <c r="F454" s="10">
        <f t="shared" si="100"/>
        <v>15</v>
      </c>
      <c r="G454" s="3" t="s">
        <v>639</v>
      </c>
      <c r="H454" s="3" t="s">
        <v>646</v>
      </c>
      <c r="I454" s="3" t="s">
        <v>660</v>
      </c>
      <c r="J454" t="str">
        <f t="shared" si="101"/>
        <v>Asia &gt; India &gt; Bengaluru</v>
      </c>
      <c r="K454" s="3" t="s">
        <v>697</v>
      </c>
      <c r="L454" s="3" t="s">
        <v>699</v>
      </c>
      <c r="M454" s="3" t="s">
        <v>708</v>
      </c>
      <c r="N454" s="3" t="s">
        <v>719</v>
      </c>
      <c r="O454" s="3" t="s">
        <v>1176</v>
      </c>
      <c r="P454" s="6">
        <v>901.19</v>
      </c>
      <c r="Q454" s="6">
        <v>2125.44</v>
      </c>
      <c r="R454" s="6" t="str">
        <f t="shared" si="102"/>
        <v>Medium</v>
      </c>
      <c r="S454" s="6">
        <v>7.0999999999999994E-2</v>
      </c>
      <c r="T454" s="6">
        <v>12</v>
      </c>
      <c r="U454">
        <f t="shared" si="103"/>
        <v>23694.405119999999</v>
      </c>
      <c r="V454">
        <f t="shared" si="108"/>
        <v>504641.83211000008</v>
      </c>
      <c r="W454">
        <f t="shared" si="104"/>
        <v>10814.28</v>
      </c>
      <c r="X454" s="6">
        <f t="shared" si="105"/>
        <v>12880.125119999999</v>
      </c>
      <c r="Y454">
        <f t="shared" si="106"/>
        <v>0.54359352154100415</v>
      </c>
      <c r="Z454">
        <v>202405</v>
      </c>
      <c r="AA454" s="18">
        <v>202301</v>
      </c>
      <c r="AB454" t="str">
        <v>May-2023</v>
      </c>
      <c r="AC454">
        <f t="shared" si="107"/>
        <v>16</v>
      </c>
      <c r="AD454" t="str">
        <f t="shared" si="109"/>
        <v>Late</v>
      </c>
      <c r="AE454">
        <f t="shared" si="110"/>
        <v>0</v>
      </c>
      <c r="AF454">
        <f t="shared" si="111"/>
        <v>0</v>
      </c>
    </row>
    <row r="455" spans="1:32" x14ac:dyDescent="0.25">
      <c r="A455" s="3" t="s">
        <v>459</v>
      </c>
      <c r="B455" s="4">
        <v>45817</v>
      </c>
      <c r="C455" s="4" t="str">
        <f t="shared" si="98"/>
        <v>Jun-2025</v>
      </c>
      <c r="D455" s="4" t="str">
        <f t="shared" si="99"/>
        <v>Q2</v>
      </c>
      <c r="E455" s="4">
        <v>45832</v>
      </c>
      <c r="F455" s="10">
        <f t="shared" si="100"/>
        <v>15</v>
      </c>
      <c r="G455" s="3" t="s">
        <v>639</v>
      </c>
      <c r="H455" s="3" t="s">
        <v>644</v>
      </c>
      <c r="I455" s="3" t="s">
        <v>686</v>
      </c>
      <c r="J455" t="str">
        <f t="shared" si="101"/>
        <v>Asia &gt; Japan &gt; Nagoya</v>
      </c>
      <c r="K455" s="3" t="s">
        <v>693</v>
      </c>
      <c r="L455" s="3" t="s">
        <v>703</v>
      </c>
      <c r="M455" s="3" t="s">
        <v>709</v>
      </c>
      <c r="N455" s="3" t="s">
        <v>722</v>
      </c>
      <c r="O455" s="3" t="s">
        <v>1177</v>
      </c>
      <c r="P455" s="6">
        <v>400.39</v>
      </c>
      <c r="Q455" s="6">
        <v>712.75</v>
      </c>
      <c r="R455" s="6" t="str">
        <f t="shared" si="102"/>
        <v>Low</v>
      </c>
      <c r="S455" s="6">
        <v>0.115</v>
      </c>
      <c r="T455" s="6">
        <v>19</v>
      </c>
      <c r="U455">
        <f t="shared" si="103"/>
        <v>11984.891250000001</v>
      </c>
      <c r="V455">
        <f t="shared" si="108"/>
        <v>480947.42699000012</v>
      </c>
      <c r="W455">
        <f t="shared" si="104"/>
        <v>7607.41</v>
      </c>
      <c r="X455" s="6">
        <f t="shared" si="105"/>
        <v>4377.4812500000007</v>
      </c>
      <c r="Y455">
        <f t="shared" si="106"/>
        <v>0.36524997671547504</v>
      </c>
      <c r="Z455">
        <v>202506</v>
      </c>
      <c r="AA455" s="18">
        <v>202303</v>
      </c>
      <c r="AB455" t="str">
        <v>Jun-2023</v>
      </c>
      <c r="AC455">
        <f t="shared" si="107"/>
        <v>27</v>
      </c>
      <c r="AD455" t="str">
        <f t="shared" si="109"/>
        <v>Late</v>
      </c>
      <c r="AE455">
        <f t="shared" si="110"/>
        <v>0</v>
      </c>
      <c r="AF455">
        <f t="shared" si="111"/>
        <v>0</v>
      </c>
    </row>
    <row r="456" spans="1:32" x14ac:dyDescent="0.25">
      <c r="A456" s="3" t="s">
        <v>460</v>
      </c>
      <c r="B456" s="4">
        <v>45070</v>
      </c>
      <c r="C456" s="4" t="str">
        <f t="shared" si="98"/>
        <v>May-2023</v>
      </c>
      <c r="D456" s="4" t="str">
        <f t="shared" si="99"/>
        <v>Q2</v>
      </c>
      <c r="E456" s="4">
        <v>45098</v>
      </c>
      <c r="F456" s="10">
        <f t="shared" si="100"/>
        <v>28</v>
      </c>
      <c r="G456" s="3" t="s">
        <v>640</v>
      </c>
      <c r="H456" s="3" t="s">
        <v>652</v>
      </c>
      <c r="I456" s="3" t="s">
        <v>689</v>
      </c>
      <c r="J456" t="str">
        <f t="shared" si="101"/>
        <v>Americas &gt; USA &gt; Austin</v>
      </c>
      <c r="K456" s="3" t="s">
        <v>697</v>
      </c>
      <c r="L456" s="3" t="s">
        <v>701</v>
      </c>
      <c r="M456" s="3" t="s">
        <v>707</v>
      </c>
      <c r="N456" s="3" t="s">
        <v>724</v>
      </c>
      <c r="O456" s="3" t="s">
        <v>1178</v>
      </c>
      <c r="P456" s="6">
        <v>813.97</v>
      </c>
      <c r="Q456" s="6">
        <v>1568.83</v>
      </c>
      <c r="R456" s="6" t="str">
        <f t="shared" si="102"/>
        <v>Medium</v>
      </c>
      <c r="S456" s="6">
        <v>1.7000000000000001E-2</v>
      </c>
      <c r="T456" s="6">
        <v>15</v>
      </c>
      <c r="U456">
        <f t="shared" si="103"/>
        <v>23132.398349999996</v>
      </c>
      <c r="V456">
        <f t="shared" si="108"/>
        <v>480947.42699000012</v>
      </c>
      <c r="W456">
        <f t="shared" si="104"/>
        <v>12209.550000000001</v>
      </c>
      <c r="X456" s="6">
        <f t="shared" si="105"/>
        <v>10922.848349999995</v>
      </c>
      <c r="Y456">
        <f t="shared" si="106"/>
        <v>0.4721883215364911</v>
      </c>
      <c r="Z456">
        <v>202305</v>
      </c>
      <c r="AA456" s="18">
        <v>202301</v>
      </c>
      <c r="AB456" t="str">
        <v>May-2023</v>
      </c>
      <c r="AC456">
        <f t="shared" si="107"/>
        <v>4</v>
      </c>
      <c r="AD456" t="str">
        <f t="shared" si="109"/>
        <v>Late</v>
      </c>
      <c r="AE456">
        <f t="shared" si="110"/>
        <v>0</v>
      </c>
      <c r="AF456">
        <f t="shared" si="111"/>
        <v>0</v>
      </c>
    </row>
    <row r="457" spans="1:32" x14ac:dyDescent="0.25">
      <c r="A457" s="3" t="s">
        <v>461</v>
      </c>
      <c r="B457" s="4">
        <v>45653</v>
      </c>
      <c r="C457" s="4" t="str">
        <f t="shared" si="98"/>
        <v>Dec-2024</v>
      </c>
      <c r="D457" s="4" t="str">
        <f t="shared" si="99"/>
        <v>Q4</v>
      </c>
      <c r="E457" s="4">
        <v>45655</v>
      </c>
      <c r="F457" s="10">
        <f t="shared" si="100"/>
        <v>2</v>
      </c>
      <c r="G457" s="3" t="s">
        <v>640</v>
      </c>
      <c r="H457" s="3" t="s">
        <v>645</v>
      </c>
      <c r="I457" s="3" t="s">
        <v>680</v>
      </c>
      <c r="J457" t="str">
        <f t="shared" si="101"/>
        <v>Americas &gt; Canada &gt; Vancouver</v>
      </c>
      <c r="K457" s="3" t="s">
        <v>698</v>
      </c>
      <c r="L457" s="3" t="s">
        <v>701</v>
      </c>
      <c r="M457" s="3" t="s">
        <v>704</v>
      </c>
      <c r="N457" s="3" t="s">
        <v>725</v>
      </c>
      <c r="O457" s="3" t="s">
        <v>1179</v>
      </c>
      <c r="P457" s="6">
        <v>1146.72</v>
      </c>
      <c r="Q457" s="6">
        <v>2074.34</v>
      </c>
      <c r="R457" s="6" t="str">
        <f t="shared" si="102"/>
        <v>High</v>
      </c>
      <c r="S457" s="6">
        <v>0.111</v>
      </c>
      <c r="T457" s="6">
        <v>8</v>
      </c>
      <c r="U457">
        <f t="shared" si="103"/>
        <v>14752.706080000002</v>
      </c>
      <c r="V457">
        <f t="shared" si="108"/>
        <v>480947.42699000012</v>
      </c>
      <c r="W457">
        <f t="shared" si="104"/>
        <v>9173.76</v>
      </c>
      <c r="X457" s="6">
        <f t="shared" si="105"/>
        <v>5578.9460800000015</v>
      </c>
      <c r="Y457">
        <f t="shared" si="106"/>
        <v>0.37816425337472737</v>
      </c>
      <c r="Z457">
        <v>202412</v>
      </c>
      <c r="AA457" s="18">
        <v>202301</v>
      </c>
      <c r="AB457" t="str">
        <v>Dec-2023</v>
      </c>
      <c r="AC457">
        <f t="shared" si="107"/>
        <v>23</v>
      </c>
      <c r="AD457" t="str">
        <f t="shared" si="109"/>
        <v>On Time</v>
      </c>
      <c r="AE457">
        <f t="shared" si="110"/>
        <v>1</v>
      </c>
      <c r="AF457">
        <f t="shared" si="111"/>
        <v>0</v>
      </c>
    </row>
    <row r="458" spans="1:32" x14ac:dyDescent="0.25">
      <c r="A458" s="3" t="s">
        <v>462</v>
      </c>
      <c r="B458" s="4">
        <v>45265</v>
      </c>
      <c r="C458" s="4" t="str">
        <f t="shared" si="98"/>
        <v>Dec-2023</v>
      </c>
      <c r="D458" s="4" t="str">
        <f t="shared" si="99"/>
        <v>Q4</v>
      </c>
      <c r="E458" s="4">
        <v>45272</v>
      </c>
      <c r="F458" s="10">
        <f t="shared" si="100"/>
        <v>7</v>
      </c>
      <c r="G458" s="3" t="s">
        <v>640</v>
      </c>
      <c r="H458" s="3" t="s">
        <v>647</v>
      </c>
      <c r="I458" s="3" t="s">
        <v>664</v>
      </c>
      <c r="J458" t="str">
        <f t="shared" si="101"/>
        <v>Americas &gt; Brazil &gt; Brasília</v>
      </c>
      <c r="K458" s="3" t="s">
        <v>693</v>
      </c>
      <c r="L458" s="3" t="s">
        <v>703</v>
      </c>
      <c r="M458" s="3" t="s">
        <v>713</v>
      </c>
      <c r="N458" s="3" t="s">
        <v>722</v>
      </c>
      <c r="O458" s="3" t="s">
        <v>1180</v>
      </c>
      <c r="P458" s="6">
        <v>307.43</v>
      </c>
      <c r="Q458" s="6">
        <v>495.19</v>
      </c>
      <c r="R458" s="6" t="str">
        <f t="shared" si="102"/>
        <v>Low</v>
      </c>
      <c r="S458" s="6">
        <v>0</v>
      </c>
      <c r="T458" s="6">
        <v>42</v>
      </c>
      <c r="U458">
        <f t="shared" si="103"/>
        <v>20797.98</v>
      </c>
      <c r="V458">
        <f t="shared" si="108"/>
        <v>480947.42699000012</v>
      </c>
      <c r="W458">
        <f t="shared" si="104"/>
        <v>12912.06</v>
      </c>
      <c r="X458" s="6">
        <f t="shared" si="105"/>
        <v>7885.92</v>
      </c>
      <c r="Y458">
        <f t="shared" si="106"/>
        <v>0.37916759223732305</v>
      </c>
      <c r="Z458">
        <v>202312</v>
      </c>
      <c r="AA458" s="18">
        <v>202301</v>
      </c>
      <c r="AB458" t="str">
        <v>Dec-2023</v>
      </c>
      <c r="AC458">
        <f t="shared" si="107"/>
        <v>11</v>
      </c>
      <c r="AD458" t="str">
        <f t="shared" si="109"/>
        <v>On Time</v>
      </c>
      <c r="AE458">
        <f t="shared" si="110"/>
        <v>1</v>
      </c>
      <c r="AF458">
        <f t="shared" si="111"/>
        <v>0</v>
      </c>
    </row>
    <row r="459" spans="1:32" x14ac:dyDescent="0.25">
      <c r="A459" s="3" t="s">
        <v>463</v>
      </c>
      <c r="B459" s="4">
        <v>45048</v>
      </c>
      <c r="C459" s="4" t="str">
        <f t="shared" si="98"/>
        <v>May-2023</v>
      </c>
      <c r="D459" s="4" t="str">
        <f t="shared" si="99"/>
        <v>Q2</v>
      </c>
      <c r="E459" s="4">
        <v>45065</v>
      </c>
      <c r="F459" s="10">
        <f t="shared" si="100"/>
        <v>17</v>
      </c>
      <c r="G459" s="3" t="s">
        <v>639</v>
      </c>
      <c r="H459" s="3" t="s">
        <v>651</v>
      </c>
      <c r="I459" s="3" t="s">
        <v>677</v>
      </c>
      <c r="J459" t="str">
        <f t="shared" si="101"/>
        <v>Asia &gt; China &gt; Shanghai</v>
      </c>
      <c r="K459" s="3" t="s">
        <v>695</v>
      </c>
      <c r="L459" s="3" t="s">
        <v>703</v>
      </c>
      <c r="M459" s="3" t="s">
        <v>705</v>
      </c>
      <c r="N459" s="3" t="s">
        <v>724</v>
      </c>
      <c r="O459" s="3" t="s">
        <v>1181</v>
      </c>
      <c r="P459" s="6">
        <v>714.28</v>
      </c>
      <c r="Q459" s="6">
        <v>757.59</v>
      </c>
      <c r="R459" s="6" t="str">
        <f t="shared" si="102"/>
        <v>Medium</v>
      </c>
      <c r="S459" s="6">
        <v>0.13600000000000001</v>
      </c>
      <c r="T459" s="6">
        <v>12</v>
      </c>
      <c r="U459">
        <f t="shared" si="103"/>
        <v>7854.6931199999999</v>
      </c>
      <c r="V459">
        <f t="shared" si="108"/>
        <v>480947.42699000012</v>
      </c>
      <c r="W459">
        <f t="shared" si="104"/>
        <v>8571.36</v>
      </c>
      <c r="X459" s="6">
        <f t="shared" si="105"/>
        <v>-716.66688000000067</v>
      </c>
      <c r="Y459">
        <f t="shared" si="106"/>
        <v>-9.1240595787910383E-2</v>
      </c>
      <c r="Z459">
        <v>202305</v>
      </c>
      <c r="AA459" s="18">
        <v>202301</v>
      </c>
      <c r="AB459" t="str">
        <v>May-2023</v>
      </c>
      <c r="AC459">
        <f t="shared" si="107"/>
        <v>4</v>
      </c>
      <c r="AD459" t="str">
        <f t="shared" si="109"/>
        <v>Late</v>
      </c>
      <c r="AE459">
        <f t="shared" si="110"/>
        <v>0</v>
      </c>
      <c r="AF459">
        <f t="shared" si="111"/>
        <v>0</v>
      </c>
    </row>
    <row r="460" spans="1:32" x14ac:dyDescent="0.25">
      <c r="A460" s="3" t="s">
        <v>464</v>
      </c>
      <c r="B460" s="4">
        <v>45260</v>
      </c>
      <c r="C460" s="4" t="str">
        <f t="shared" si="98"/>
        <v>Nov-2023</v>
      </c>
      <c r="D460" s="4" t="str">
        <f t="shared" si="99"/>
        <v>Q4</v>
      </c>
      <c r="E460" s="4">
        <v>45270</v>
      </c>
      <c r="F460" s="10">
        <f t="shared" si="100"/>
        <v>10</v>
      </c>
      <c r="G460" s="3" t="s">
        <v>641</v>
      </c>
      <c r="H460" s="3" t="s">
        <v>648</v>
      </c>
      <c r="I460" s="3" t="s">
        <v>676</v>
      </c>
      <c r="J460" t="str">
        <f t="shared" si="101"/>
        <v>Europe &gt; Germany &gt; Munich</v>
      </c>
      <c r="K460" s="3" t="s">
        <v>697</v>
      </c>
      <c r="L460" s="3" t="s">
        <v>703</v>
      </c>
      <c r="M460" s="3" t="s">
        <v>713</v>
      </c>
      <c r="N460" s="3" t="s">
        <v>723</v>
      </c>
      <c r="O460" s="3" t="s">
        <v>1182</v>
      </c>
      <c r="P460" s="6">
        <v>174.74</v>
      </c>
      <c r="Q460" s="6">
        <v>415.96</v>
      </c>
      <c r="R460" s="6" t="str">
        <f t="shared" si="102"/>
        <v>Low</v>
      </c>
      <c r="S460" s="6">
        <v>0.125</v>
      </c>
      <c r="T460" s="6">
        <v>21</v>
      </c>
      <c r="U460">
        <f t="shared" si="103"/>
        <v>7643.2649999999994</v>
      </c>
      <c r="V460">
        <f t="shared" si="108"/>
        <v>480947.42699000012</v>
      </c>
      <c r="W460">
        <f t="shared" si="104"/>
        <v>3669.54</v>
      </c>
      <c r="X460" s="6">
        <f t="shared" si="105"/>
        <v>3973.7249999999995</v>
      </c>
      <c r="Y460">
        <f t="shared" si="106"/>
        <v>0.51989889137691803</v>
      </c>
      <c r="Z460">
        <v>202311</v>
      </c>
      <c r="AA460" s="18">
        <v>202301</v>
      </c>
      <c r="AB460" t="str">
        <v>Nov-2023</v>
      </c>
      <c r="AC460">
        <f t="shared" si="107"/>
        <v>10</v>
      </c>
      <c r="AD460" t="str">
        <f t="shared" si="109"/>
        <v>Late</v>
      </c>
      <c r="AE460">
        <f t="shared" si="110"/>
        <v>0</v>
      </c>
      <c r="AF460">
        <f t="shared" si="111"/>
        <v>0</v>
      </c>
    </row>
    <row r="461" spans="1:32" x14ac:dyDescent="0.25">
      <c r="A461" s="3" t="s">
        <v>465</v>
      </c>
      <c r="B461" s="4">
        <v>45417</v>
      </c>
      <c r="C461" s="4" t="str">
        <f t="shared" si="98"/>
        <v>May-2024</v>
      </c>
      <c r="D461" s="4" t="str">
        <f t="shared" si="99"/>
        <v>Q2</v>
      </c>
      <c r="E461" s="4">
        <v>45430</v>
      </c>
      <c r="F461" s="10">
        <f t="shared" si="100"/>
        <v>13</v>
      </c>
      <c r="G461" s="3" t="s">
        <v>641</v>
      </c>
      <c r="H461" s="3" t="s">
        <v>649</v>
      </c>
      <c r="I461" s="3" t="s">
        <v>665</v>
      </c>
      <c r="J461" t="str">
        <f t="shared" si="101"/>
        <v>Europe &gt; France &gt; Marseille</v>
      </c>
      <c r="K461" s="3" t="s">
        <v>693</v>
      </c>
      <c r="L461" s="3" t="s">
        <v>701</v>
      </c>
      <c r="M461" s="3" t="s">
        <v>712</v>
      </c>
      <c r="N461" s="3" t="s">
        <v>719</v>
      </c>
      <c r="O461" s="3" t="s">
        <v>1183</v>
      </c>
      <c r="P461" s="6">
        <v>1264.04</v>
      </c>
      <c r="Q461" s="6">
        <v>1870.89</v>
      </c>
      <c r="R461" s="6" t="str">
        <f t="shared" si="102"/>
        <v>High</v>
      </c>
      <c r="S461" s="6">
        <v>0</v>
      </c>
      <c r="T461" s="6">
        <v>13</v>
      </c>
      <c r="U461">
        <f t="shared" si="103"/>
        <v>24321.57</v>
      </c>
      <c r="V461">
        <f t="shared" si="108"/>
        <v>480947.42699000012</v>
      </c>
      <c r="W461">
        <f t="shared" si="104"/>
        <v>16432.52</v>
      </c>
      <c r="X461" s="6">
        <f t="shared" si="105"/>
        <v>7889.0499999999993</v>
      </c>
      <c r="Y461">
        <f t="shared" si="106"/>
        <v>0.32436433996653996</v>
      </c>
      <c r="Z461">
        <v>202405</v>
      </c>
      <c r="AA461" s="18">
        <v>202301</v>
      </c>
      <c r="AB461" t="str">
        <v>May-2023</v>
      </c>
      <c r="AC461">
        <f t="shared" si="107"/>
        <v>16</v>
      </c>
      <c r="AD461" t="str">
        <f t="shared" si="109"/>
        <v>Late</v>
      </c>
      <c r="AE461">
        <f t="shared" si="110"/>
        <v>0</v>
      </c>
      <c r="AF461">
        <f t="shared" si="111"/>
        <v>0</v>
      </c>
    </row>
    <row r="462" spans="1:32" x14ac:dyDescent="0.25">
      <c r="A462" s="3" t="s">
        <v>466</v>
      </c>
      <c r="B462" s="4">
        <v>45116</v>
      </c>
      <c r="C462" s="4" t="str">
        <f t="shared" si="98"/>
        <v>Jul-2023</v>
      </c>
      <c r="D462" s="4" t="str">
        <f t="shared" si="99"/>
        <v>Q3</v>
      </c>
      <c r="E462" s="4">
        <v>45126</v>
      </c>
      <c r="F462" s="10">
        <f t="shared" si="100"/>
        <v>10</v>
      </c>
      <c r="G462" s="3" t="s">
        <v>639</v>
      </c>
      <c r="H462" s="3" t="s">
        <v>644</v>
      </c>
      <c r="I462" s="3" t="s">
        <v>681</v>
      </c>
      <c r="J462" t="str">
        <f t="shared" si="101"/>
        <v>Asia &gt; Japan &gt; Tokyo</v>
      </c>
      <c r="K462" s="3" t="s">
        <v>698</v>
      </c>
      <c r="L462" s="3" t="s">
        <v>702</v>
      </c>
      <c r="M462" s="3" t="s">
        <v>717</v>
      </c>
      <c r="N462" s="3" t="s">
        <v>719</v>
      </c>
      <c r="O462" s="3" t="s">
        <v>1184</v>
      </c>
      <c r="P462" s="6">
        <v>141.26</v>
      </c>
      <c r="Q462" s="6">
        <v>206.88</v>
      </c>
      <c r="R462" s="6" t="str">
        <f t="shared" si="102"/>
        <v>Low</v>
      </c>
      <c r="S462" s="6">
        <v>0.107</v>
      </c>
      <c r="T462" s="6">
        <v>9</v>
      </c>
      <c r="U462">
        <f t="shared" si="103"/>
        <v>1662.6945600000001</v>
      </c>
      <c r="V462">
        <f t="shared" si="108"/>
        <v>456625.85699000012</v>
      </c>
      <c r="W462">
        <f t="shared" si="104"/>
        <v>1271.3399999999999</v>
      </c>
      <c r="X462" s="6">
        <f t="shared" si="105"/>
        <v>391.35456000000022</v>
      </c>
      <c r="Y462">
        <f t="shared" si="106"/>
        <v>0.23537369365062469</v>
      </c>
      <c r="Z462">
        <v>202307</v>
      </c>
      <c r="AA462" s="18">
        <v>202303</v>
      </c>
      <c r="AB462" t="str">
        <v>Jul-2023</v>
      </c>
      <c r="AC462">
        <f t="shared" si="107"/>
        <v>4</v>
      </c>
      <c r="AD462" t="str">
        <f t="shared" si="109"/>
        <v>Late</v>
      </c>
      <c r="AE462">
        <f t="shared" si="110"/>
        <v>0</v>
      </c>
      <c r="AF462">
        <f t="shared" si="111"/>
        <v>0</v>
      </c>
    </row>
    <row r="463" spans="1:32" x14ac:dyDescent="0.25">
      <c r="A463" s="3" t="s">
        <v>467</v>
      </c>
      <c r="B463" s="4">
        <v>45063</v>
      </c>
      <c r="C463" s="4" t="str">
        <f t="shared" si="98"/>
        <v>May-2023</v>
      </c>
      <c r="D463" s="4" t="str">
        <f t="shared" si="99"/>
        <v>Q2</v>
      </c>
      <c r="E463" s="4">
        <v>45092</v>
      </c>
      <c r="F463" s="10">
        <f t="shared" si="100"/>
        <v>29</v>
      </c>
      <c r="G463" s="3" t="s">
        <v>638</v>
      </c>
      <c r="H463" s="3" t="s">
        <v>653</v>
      </c>
      <c r="I463" s="3" t="s">
        <v>679</v>
      </c>
      <c r="J463" t="str">
        <f t="shared" si="101"/>
        <v>Africa &gt; South Africa &gt; Durban</v>
      </c>
      <c r="K463" s="3" t="s">
        <v>698</v>
      </c>
      <c r="L463" s="3" t="s">
        <v>699</v>
      </c>
      <c r="M463" s="3" t="s">
        <v>715</v>
      </c>
      <c r="N463" s="3" t="s">
        <v>725</v>
      </c>
      <c r="O463" s="3" t="s">
        <v>1185</v>
      </c>
      <c r="P463" s="6">
        <v>40.89</v>
      </c>
      <c r="Q463" s="6">
        <v>62.82</v>
      </c>
      <c r="R463" s="6" t="str">
        <f t="shared" si="102"/>
        <v>Low</v>
      </c>
      <c r="S463" s="6">
        <v>0.129</v>
      </c>
      <c r="T463" s="6">
        <v>17</v>
      </c>
      <c r="U463">
        <f t="shared" si="103"/>
        <v>930.17574000000002</v>
      </c>
      <c r="V463">
        <f t="shared" si="108"/>
        <v>454963.16243000008</v>
      </c>
      <c r="W463">
        <f t="shared" si="104"/>
        <v>695.13</v>
      </c>
      <c r="X463" s="6">
        <f t="shared" si="105"/>
        <v>235.04574000000002</v>
      </c>
      <c r="Y463">
        <f t="shared" si="106"/>
        <v>0.25268960465470752</v>
      </c>
      <c r="Z463">
        <v>202305</v>
      </c>
      <c r="AA463" s="18">
        <v>202301</v>
      </c>
      <c r="AB463" t="str">
        <v>May-2023</v>
      </c>
      <c r="AC463">
        <f t="shared" si="107"/>
        <v>4</v>
      </c>
      <c r="AD463" t="str">
        <f t="shared" si="109"/>
        <v>Late</v>
      </c>
      <c r="AE463">
        <f t="shared" si="110"/>
        <v>0</v>
      </c>
      <c r="AF463">
        <f t="shared" si="111"/>
        <v>0</v>
      </c>
    </row>
    <row r="464" spans="1:32" x14ac:dyDescent="0.25">
      <c r="A464" s="3" t="s">
        <v>468</v>
      </c>
      <c r="B464" s="4">
        <v>45358</v>
      </c>
      <c r="C464" s="4" t="str">
        <f t="shared" si="98"/>
        <v>Mar-2024</v>
      </c>
      <c r="D464" s="4" t="str">
        <f t="shared" si="99"/>
        <v>Q1</v>
      </c>
      <c r="E464" s="4">
        <v>45385</v>
      </c>
      <c r="F464" s="10">
        <f t="shared" si="100"/>
        <v>27</v>
      </c>
      <c r="G464" s="3" t="s">
        <v>641</v>
      </c>
      <c r="H464" s="3" t="s">
        <v>648</v>
      </c>
      <c r="I464" s="3" t="s">
        <v>690</v>
      </c>
      <c r="J464" t="str">
        <f t="shared" si="101"/>
        <v>Europe &gt; Germany &gt; Frankfurt</v>
      </c>
      <c r="K464" s="3" t="s">
        <v>693</v>
      </c>
      <c r="L464" s="3" t="s">
        <v>703</v>
      </c>
      <c r="M464" s="3" t="s">
        <v>716</v>
      </c>
      <c r="N464" s="3" t="s">
        <v>720</v>
      </c>
      <c r="O464" s="3" t="s">
        <v>1186</v>
      </c>
      <c r="P464" s="6">
        <v>738.16</v>
      </c>
      <c r="Q464" s="6">
        <v>956.49</v>
      </c>
      <c r="R464" s="6" t="str">
        <f t="shared" si="102"/>
        <v>Medium</v>
      </c>
      <c r="S464" s="6">
        <v>0.152</v>
      </c>
      <c r="T464" s="6">
        <v>5</v>
      </c>
      <c r="U464">
        <f t="shared" si="103"/>
        <v>4055.5175999999997</v>
      </c>
      <c r="V464">
        <f t="shared" si="108"/>
        <v>454963.16243000008</v>
      </c>
      <c r="W464">
        <f t="shared" si="104"/>
        <v>3690.7999999999997</v>
      </c>
      <c r="X464" s="6">
        <f t="shared" si="105"/>
        <v>364.71759999999995</v>
      </c>
      <c r="Y464">
        <f t="shared" si="106"/>
        <v>8.9931208780847108E-2</v>
      </c>
      <c r="Z464">
        <v>202403</v>
      </c>
      <c r="AA464" s="18">
        <v>202301</v>
      </c>
      <c r="AB464" t="str">
        <v>Mar-2023</v>
      </c>
      <c r="AC464">
        <f t="shared" si="107"/>
        <v>14</v>
      </c>
      <c r="AD464" t="str">
        <f t="shared" si="109"/>
        <v>Late</v>
      </c>
      <c r="AE464">
        <f t="shared" si="110"/>
        <v>0</v>
      </c>
      <c r="AF464">
        <f t="shared" si="111"/>
        <v>0</v>
      </c>
    </row>
    <row r="465" spans="1:32" x14ac:dyDescent="0.25">
      <c r="A465" s="3" t="s">
        <v>469</v>
      </c>
      <c r="B465" s="4">
        <v>45757</v>
      </c>
      <c r="C465" s="4" t="str">
        <f t="shared" si="98"/>
        <v>Apr-2025</v>
      </c>
      <c r="D465" s="4" t="str">
        <f t="shared" si="99"/>
        <v>Q2</v>
      </c>
      <c r="E465" s="4">
        <v>45766</v>
      </c>
      <c r="F465" s="10">
        <f t="shared" si="100"/>
        <v>9</v>
      </c>
      <c r="G465" s="3" t="s">
        <v>638</v>
      </c>
      <c r="H465" s="3" t="s">
        <v>653</v>
      </c>
      <c r="I465" s="3" t="s">
        <v>679</v>
      </c>
      <c r="J465" t="str">
        <f t="shared" si="101"/>
        <v>Africa &gt; South Africa &gt; Durban</v>
      </c>
      <c r="K465" s="3" t="s">
        <v>698</v>
      </c>
      <c r="L465" s="3" t="s">
        <v>1413</v>
      </c>
      <c r="M465" s="3" t="s">
        <v>707</v>
      </c>
      <c r="N465" s="3" t="s">
        <v>721</v>
      </c>
      <c r="O465" s="3" t="s">
        <v>1187</v>
      </c>
      <c r="P465" s="6">
        <v>113.74</v>
      </c>
      <c r="Q465" s="6">
        <v>165.7</v>
      </c>
      <c r="R465" s="6" t="str">
        <f t="shared" si="102"/>
        <v>Low</v>
      </c>
      <c r="S465" s="6">
        <v>0.124</v>
      </c>
      <c r="T465" s="6">
        <v>13</v>
      </c>
      <c r="U465">
        <f t="shared" si="103"/>
        <v>1886.9915999999998</v>
      </c>
      <c r="V465">
        <f t="shared" si="108"/>
        <v>454963.16243000008</v>
      </c>
      <c r="W465">
        <f t="shared" si="104"/>
        <v>1478.62</v>
      </c>
      <c r="X465" s="6">
        <f t="shared" si="105"/>
        <v>408.37159999999994</v>
      </c>
      <c r="Y465">
        <f t="shared" si="106"/>
        <v>0.21641410592394794</v>
      </c>
      <c r="Z465">
        <v>202504</v>
      </c>
      <c r="AA465" s="18">
        <v>202301</v>
      </c>
      <c r="AB465" t="str">
        <v>Apr-2023</v>
      </c>
      <c r="AC465">
        <f t="shared" si="107"/>
        <v>27</v>
      </c>
      <c r="AD465" t="str">
        <f t="shared" si="109"/>
        <v>Late</v>
      </c>
      <c r="AE465">
        <f t="shared" si="110"/>
        <v>0</v>
      </c>
      <c r="AF465">
        <f t="shared" si="111"/>
        <v>0</v>
      </c>
    </row>
    <row r="466" spans="1:32" x14ac:dyDescent="0.25">
      <c r="A466" s="3" t="s">
        <v>470</v>
      </c>
      <c r="B466" s="4">
        <v>45865</v>
      </c>
      <c r="C466" s="4" t="str">
        <f t="shared" si="98"/>
        <v>Jul-2025</v>
      </c>
      <c r="D466" s="4" t="str">
        <f t="shared" si="99"/>
        <v>Q3</v>
      </c>
      <c r="E466" s="4">
        <v>45884</v>
      </c>
      <c r="F466" s="10">
        <f t="shared" si="100"/>
        <v>19</v>
      </c>
      <c r="G466" s="3" t="s">
        <v>639</v>
      </c>
      <c r="H466" s="3" t="s">
        <v>644</v>
      </c>
      <c r="I466" s="3" t="s">
        <v>681</v>
      </c>
      <c r="J466" t="str">
        <f t="shared" si="101"/>
        <v>Asia &gt; Japan &gt; Tokyo</v>
      </c>
      <c r="K466" s="3" t="s">
        <v>697</v>
      </c>
      <c r="L466" s="3" t="s">
        <v>701</v>
      </c>
      <c r="M466" s="3" t="s">
        <v>705</v>
      </c>
      <c r="N466" s="3" t="s">
        <v>719</v>
      </c>
      <c r="O466" s="3" t="s">
        <v>1188</v>
      </c>
      <c r="P466" s="6">
        <v>275.43</v>
      </c>
      <c r="Q466" s="6">
        <v>608.36</v>
      </c>
      <c r="R466" s="6" t="str">
        <f t="shared" si="102"/>
        <v>Low</v>
      </c>
      <c r="S466" s="6">
        <v>0.25700000000000001</v>
      </c>
      <c r="T466" s="6">
        <v>4</v>
      </c>
      <c r="U466">
        <f t="shared" si="103"/>
        <v>1808.04592</v>
      </c>
      <c r="V466">
        <f t="shared" si="108"/>
        <v>454963.16243000008</v>
      </c>
      <c r="W466">
        <f t="shared" si="104"/>
        <v>1101.72</v>
      </c>
      <c r="X466" s="6">
        <f t="shared" si="105"/>
        <v>706.32592</v>
      </c>
      <c r="Y466">
        <f t="shared" si="106"/>
        <v>0.39065706915231446</v>
      </c>
      <c r="Z466">
        <v>202507</v>
      </c>
      <c r="AA466" s="18">
        <v>202303</v>
      </c>
      <c r="AB466" t="str">
        <v>Jul-2023</v>
      </c>
      <c r="AC466">
        <f t="shared" si="107"/>
        <v>28</v>
      </c>
      <c r="AD466" t="str">
        <f t="shared" si="109"/>
        <v>Late</v>
      </c>
      <c r="AE466">
        <f t="shared" si="110"/>
        <v>0</v>
      </c>
      <c r="AF466">
        <f t="shared" si="111"/>
        <v>1</v>
      </c>
    </row>
    <row r="467" spans="1:32" x14ac:dyDescent="0.25">
      <c r="A467" s="3" t="s">
        <v>471</v>
      </c>
      <c r="B467" s="4">
        <v>45618</v>
      </c>
      <c r="C467" s="4" t="str">
        <f t="shared" si="98"/>
        <v>Nov-2024</v>
      </c>
      <c r="D467" s="4" t="str">
        <f t="shared" si="99"/>
        <v>Q4</v>
      </c>
      <c r="E467" s="4">
        <v>45641</v>
      </c>
      <c r="F467" s="10">
        <f t="shared" si="100"/>
        <v>23</v>
      </c>
      <c r="G467" s="3" t="s">
        <v>638</v>
      </c>
      <c r="H467" s="3" t="s">
        <v>642</v>
      </c>
      <c r="I467" s="3" t="s">
        <v>667</v>
      </c>
      <c r="J467" t="str">
        <f t="shared" si="101"/>
        <v>Africa &gt; Kenya &gt; Mombasa</v>
      </c>
      <c r="K467" s="3" t="s">
        <v>695</v>
      </c>
      <c r="L467" s="3" t="s">
        <v>702</v>
      </c>
      <c r="M467" s="3" t="s">
        <v>704</v>
      </c>
      <c r="N467" s="3" t="s">
        <v>719</v>
      </c>
      <c r="O467" s="3" t="s">
        <v>1189</v>
      </c>
      <c r="P467" s="6">
        <v>1335.76</v>
      </c>
      <c r="Q467" s="6">
        <v>2665.91</v>
      </c>
      <c r="R467" s="6" t="str">
        <f t="shared" si="102"/>
        <v>High</v>
      </c>
      <c r="S467" s="6">
        <v>0.21099999999999999</v>
      </c>
      <c r="T467" s="6">
        <v>40</v>
      </c>
      <c r="U467">
        <f t="shared" si="103"/>
        <v>84136.119600000005</v>
      </c>
      <c r="V467">
        <f t="shared" si="108"/>
        <v>453155.11651000002</v>
      </c>
      <c r="W467">
        <f t="shared" si="104"/>
        <v>53430.400000000001</v>
      </c>
      <c r="X467" s="6">
        <f t="shared" si="105"/>
        <v>30705.719600000004</v>
      </c>
      <c r="Y467">
        <f t="shared" si="106"/>
        <v>0.36495288522909253</v>
      </c>
      <c r="Z467">
        <v>202411</v>
      </c>
      <c r="AA467" s="18">
        <v>202301</v>
      </c>
      <c r="AB467" t="str">
        <v>Nov-2023</v>
      </c>
      <c r="AC467">
        <f t="shared" si="107"/>
        <v>22</v>
      </c>
      <c r="AD467" t="str">
        <f t="shared" si="109"/>
        <v>Late</v>
      </c>
      <c r="AE467">
        <f t="shared" si="110"/>
        <v>0</v>
      </c>
      <c r="AF467">
        <f t="shared" si="111"/>
        <v>1</v>
      </c>
    </row>
    <row r="468" spans="1:32" x14ac:dyDescent="0.25">
      <c r="A468" s="3" t="s">
        <v>472</v>
      </c>
      <c r="B468" s="4">
        <v>45466</v>
      </c>
      <c r="C468" s="4" t="str">
        <f t="shared" si="98"/>
        <v>Jun-2024</v>
      </c>
      <c r="D468" s="4" t="str">
        <f t="shared" si="99"/>
        <v>Q2</v>
      </c>
      <c r="E468" s="4">
        <v>45471</v>
      </c>
      <c r="F468" s="10">
        <f t="shared" si="100"/>
        <v>5</v>
      </c>
      <c r="G468" s="3" t="s">
        <v>638</v>
      </c>
      <c r="H468" s="3" t="s">
        <v>643</v>
      </c>
      <c r="I468" s="3" t="s">
        <v>655</v>
      </c>
      <c r="J468" t="str">
        <f t="shared" si="101"/>
        <v>Africa &gt; Nigeria &gt; Port Harcourt</v>
      </c>
      <c r="K468" s="3" t="s">
        <v>695</v>
      </c>
      <c r="L468" s="3" t="s">
        <v>703</v>
      </c>
      <c r="M468" s="3" t="s">
        <v>716</v>
      </c>
      <c r="N468" s="3" t="s">
        <v>725</v>
      </c>
      <c r="O468" s="3" t="s">
        <v>1190</v>
      </c>
      <c r="P468" s="6">
        <v>242.31</v>
      </c>
      <c r="Q468" s="6">
        <v>587.95000000000005</v>
      </c>
      <c r="R468" s="6" t="str">
        <f t="shared" si="102"/>
        <v>Low</v>
      </c>
      <c r="S468" s="6">
        <v>0.22900000000000001</v>
      </c>
      <c r="T468" s="6">
        <v>6</v>
      </c>
      <c r="U468">
        <f t="shared" si="103"/>
        <v>2719.8567000000003</v>
      </c>
      <c r="V468">
        <f t="shared" si="108"/>
        <v>369018.99690999999</v>
      </c>
      <c r="W468">
        <f t="shared" si="104"/>
        <v>1453.8600000000001</v>
      </c>
      <c r="X468" s="6">
        <f t="shared" si="105"/>
        <v>1265.9967000000001</v>
      </c>
      <c r="Y468">
        <f t="shared" si="106"/>
        <v>0.46546448568411714</v>
      </c>
      <c r="Z468">
        <v>202406</v>
      </c>
      <c r="AA468" s="18">
        <v>202301</v>
      </c>
      <c r="AB468" t="str">
        <v>Jun-2023</v>
      </c>
      <c r="AC468">
        <f t="shared" si="107"/>
        <v>17</v>
      </c>
      <c r="AD468" t="str">
        <f t="shared" si="109"/>
        <v>On Time</v>
      </c>
      <c r="AE468">
        <f t="shared" si="110"/>
        <v>1</v>
      </c>
      <c r="AF468">
        <f t="shared" si="111"/>
        <v>1</v>
      </c>
    </row>
    <row r="469" spans="1:32" x14ac:dyDescent="0.25">
      <c r="A469" s="3" t="s">
        <v>473</v>
      </c>
      <c r="B469" s="4">
        <v>45278</v>
      </c>
      <c r="C469" s="4" t="str">
        <f t="shared" si="98"/>
        <v>Dec-2023</v>
      </c>
      <c r="D469" s="4" t="str">
        <f t="shared" si="99"/>
        <v>Q4</v>
      </c>
      <c r="E469" s="4">
        <v>45305</v>
      </c>
      <c r="F469" s="10">
        <f t="shared" si="100"/>
        <v>27</v>
      </c>
      <c r="G469" s="3" t="s">
        <v>639</v>
      </c>
      <c r="H469" s="3" t="s">
        <v>646</v>
      </c>
      <c r="I469" s="3" t="s">
        <v>683</v>
      </c>
      <c r="J469" t="str">
        <f t="shared" si="101"/>
        <v>Asia &gt; India &gt; Mumbai</v>
      </c>
      <c r="K469" s="3" t="s">
        <v>696</v>
      </c>
      <c r="L469" s="3" t="s">
        <v>702</v>
      </c>
      <c r="M469" s="3" t="s">
        <v>718</v>
      </c>
      <c r="N469" s="3" t="s">
        <v>721</v>
      </c>
      <c r="O469" s="3" t="s">
        <v>1191</v>
      </c>
      <c r="P469" s="6">
        <v>1408.3</v>
      </c>
      <c r="Q469" s="6">
        <v>2193.13</v>
      </c>
      <c r="R469" s="6" t="str">
        <f t="shared" si="102"/>
        <v>High</v>
      </c>
      <c r="S469" s="6">
        <v>7.0999999999999994E-2</v>
      </c>
      <c r="T469" s="6">
        <v>7</v>
      </c>
      <c r="U469">
        <f t="shared" si="103"/>
        <v>14261.92439</v>
      </c>
      <c r="V469">
        <f t="shared" si="108"/>
        <v>369018.99690999999</v>
      </c>
      <c r="W469">
        <f t="shared" si="104"/>
        <v>9858.1</v>
      </c>
      <c r="X469" s="6">
        <f t="shared" si="105"/>
        <v>4403.8243899999998</v>
      </c>
      <c r="Y469">
        <f t="shared" si="106"/>
        <v>0.30878191957656281</v>
      </c>
      <c r="Z469">
        <v>202312</v>
      </c>
      <c r="AA469" s="18">
        <v>202301</v>
      </c>
      <c r="AB469" t="str">
        <v>Dec-2023</v>
      </c>
      <c r="AC469">
        <f t="shared" si="107"/>
        <v>11</v>
      </c>
      <c r="AD469" t="str">
        <f t="shared" si="109"/>
        <v>Late</v>
      </c>
      <c r="AE469">
        <f t="shared" si="110"/>
        <v>0</v>
      </c>
      <c r="AF469">
        <f t="shared" si="111"/>
        <v>0</v>
      </c>
    </row>
    <row r="470" spans="1:32" x14ac:dyDescent="0.25">
      <c r="A470" s="3" t="s">
        <v>474</v>
      </c>
      <c r="B470" s="4">
        <v>45809</v>
      </c>
      <c r="C470" s="4" t="str">
        <f t="shared" si="98"/>
        <v>Jun-2025</v>
      </c>
      <c r="D470" s="4" t="str">
        <f t="shared" si="99"/>
        <v>Q2</v>
      </c>
      <c r="E470" s="4">
        <v>45813</v>
      </c>
      <c r="F470" s="10">
        <f t="shared" si="100"/>
        <v>4</v>
      </c>
      <c r="G470" s="3" t="s">
        <v>641</v>
      </c>
      <c r="H470" s="3" t="s">
        <v>648</v>
      </c>
      <c r="I470" s="3" t="s">
        <v>676</v>
      </c>
      <c r="J470" t="str">
        <f t="shared" si="101"/>
        <v>Europe &gt; Germany &gt; Munich</v>
      </c>
      <c r="K470" s="3" t="s">
        <v>698</v>
      </c>
      <c r="L470" s="3" t="s">
        <v>703</v>
      </c>
      <c r="M470" s="3" t="s">
        <v>716</v>
      </c>
      <c r="N470" s="3" t="s">
        <v>719</v>
      </c>
      <c r="O470" s="3" t="s">
        <v>1192</v>
      </c>
      <c r="P470" s="6">
        <v>1171.42</v>
      </c>
      <c r="Q470" s="6">
        <v>2187.8000000000002</v>
      </c>
      <c r="R470" s="6" t="str">
        <f t="shared" si="102"/>
        <v>High</v>
      </c>
      <c r="S470" s="6">
        <v>0.23</v>
      </c>
      <c r="T470" s="6">
        <v>15</v>
      </c>
      <c r="U470">
        <f t="shared" si="103"/>
        <v>25269.09</v>
      </c>
      <c r="V470">
        <f t="shared" si="108"/>
        <v>369018.99690999999</v>
      </c>
      <c r="W470">
        <f t="shared" si="104"/>
        <v>17571.300000000003</v>
      </c>
      <c r="X470" s="6">
        <f t="shared" si="105"/>
        <v>7697.7899999999972</v>
      </c>
      <c r="Y470">
        <f t="shared" si="106"/>
        <v>0.30463265594447592</v>
      </c>
      <c r="Z470">
        <v>202506</v>
      </c>
      <c r="AA470" s="18">
        <v>202301</v>
      </c>
      <c r="AB470" t="str">
        <v>Jun-2023</v>
      </c>
      <c r="AC470">
        <f t="shared" si="107"/>
        <v>29</v>
      </c>
      <c r="AD470" t="str">
        <f t="shared" si="109"/>
        <v>On Time</v>
      </c>
      <c r="AE470">
        <f t="shared" si="110"/>
        <v>1</v>
      </c>
      <c r="AF470">
        <f t="shared" si="111"/>
        <v>1</v>
      </c>
    </row>
    <row r="471" spans="1:32" x14ac:dyDescent="0.25">
      <c r="A471" s="3" t="s">
        <v>475</v>
      </c>
      <c r="B471" s="4">
        <v>45739</v>
      </c>
      <c r="C471" s="4" t="str">
        <f t="shared" si="98"/>
        <v>Mar-2025</v>
      </c>
      <c r="D471" s="4" t="str">
        <f t="shared" si="99"/>
        <v>Q1</v>
      </c>
      <c r="E471" s="4">
        <v>45749</v>
      </c>
      <c r="F471" s="10">
        <f t="shared" si="100"/>
        <v>10</v>
      </c>
      <c r="G471" s="3" t="s">
        <v>641</v>
      </c>
      <c r="H471" s="3" t="s">
        <v>648</v>
      </c>
      <c r="I471" s="3" t="s">
        <v>663</v>
      </c>
      <c r="J471" t="str">
        <f t="shared" si="101"/>
        <v>Europe &gt; Germany &gt; Berlin</v>
      </c>
      <c r="K471" s="3" t="s">
        <v>698</v>
      </c>
      <c r="L471" s="3" t="s">
        <v>700</v>
      </c>
      <c r="M471" s="3" t="s">
        <v>710</v>
      </c>
      <c r="N471" s="3" t="s">
        <v>720</v>
      </c>
      <c r="O471" s="3" t="s">
        <v>1193</v>
      </c>
      <c r="P471" s="6">
        <v>663.61</v>
      </c>
      <c r="Q471" s="6">
        <v>1002.11</v>
      </c>
      <c r="R471" s="6" t="str">
        <f t="shared" si="102"/>
        <v>Medium</v>
      </c>
      <c r="S471" s="6">
        <v>4.5999999999999999E-2</v>
      </c>
      <c r="T471" s="6">
        <v>17</v>
      </c>
      <c r="U471">
        <f t="shared" si="103"/>
        <v>16252.219979999998</v>
      </c>
      <c r="V471">
        <f t="shared" si="108"/>
        <v>343749.90690999996</v>
      </c>
      <c r="W471">
        <f t="shared" si="104"/>
        <v>11281.37</v>
      </c>
      <c r="X471" s="6">
        <f t="shared" si="105"/>
        <v>4970.8499799999972</v>
      </c>
      <c r="Y471">
        <f t="shared" si="106"/>
        <v>0.30585667595670812</v>
      </c>
      <c r="Z471">
        <v>202503</v>
      </c>
      <c r="AA471" s="18">
        <v>202301</v>
      </c>
      <c r="AB471" t="str">
        <v>Mar-2023</v>
      </c>
      <c r="AC471">
        <f t="shared" si="107"/>
        <v>26</v>
      </c>
      <c r="AD471" t="str">
        <f t="shared" si="109"/>
        <v>Late</v>
      </c>
      <c r="AE471">
        <f t="shared" si="110"/>
        <v>0</v>
      </c>
      <c r="AF471">
        <f t="shared" si="111"/>
        <v>0</v>
      </c>
    </row>
    <row r="472" spans="1:32" x14ac:dyDescent="0.25">
      <c r="A472" s="3" t="s">
        <v>476</v>
      </c>
      <c r="B472" s="4">
        <v>45060</v>
      </c>
      <c r="C472" s="4" t="str">
        <f t="shared" si="98"/>
        <v>May-2023</v>
      </c>
      <c r="D472" s="4" t="str">
        <f t="shared" si="99"/>
        <v>Q2</v>
      </c>
      <c r="E472" s="4">
        <v>45068</v>
      </c>
      <c r="F472" s="10">
        <f t="shared" si="100"/>
        <v>8</v>
      </c>
      <c r="G472" s="3" t="s">
        <v>638</v>
      </c>
      <c r="H472" s="3" t="s">
        <v>642</v>
      </c>
      <c r="I472" s="3" t="s">
        <v>667</v>
      </c>
      <c r="J472" t="str">
        <f t="shared" si="101"/>
        <v>Africa &gt; Kenya &gt; Mombasa</v>
      </c>
      <c r="K472" s="3" t="s">
        <v>697</v>
      </c>
      <c r="L472" s="3" t="s">
        <v>702</v>
      </c>
      <c r="M472" s="3" t="s">
        <v>713</v>
      </c>
      <c r="N472" s="3" t="s">
        <v>720</v>
      </c>
      <c r="O472" s="3" t="s">
        <v>1194</v>
      </c>
      <c r="P472" s="6">
        <v>432.01</v>
      </c>
      <c r="Q472" s="6">
        <v>913.78</v>
      </c>
      <c r="R472" s="6" t="str">
        <f t="shared" si="102"/>
        <v>Low</v>
      </c>
      <c r="S472" s="6">
        <v>4.9000000000000002E-2</v>
      </c>
      <c r="T472" s="6">
        <v>12</v>
      </c>
      <c r="U472">
        <f t="shared" si="103"/>
        <v>10428.057360000001</v>
      </c>
      <c r="V472">
        <f t="shared" si="108"/>
        <v>343749.90690999996</v>
      </c>
      <c r="W472">
        <f t="shared" si="104"/>
        <v>5184.12</v>
      </c>
      <c r="X472" s="6">
        <f t="shared" si="105"/>
        <v>5243.9373600000008</v>
      </c>
      <c r="Y472">
        <f t="shared" si="106"/>
        <v>0.50286809699711899</v>
      </c>
      <c r="Z472">
        <v>202305</v>
      </c>
      <c r="AA472" s="18">
        <v>202301</v>
      </c>
      <c r="AB472" t="str">
        <v>May-2023</v>
      </c>
      <c r="AC472">
        <f t="shared" si="107"/>
        <v>4</v>
      </c>
      <c r="AD472" t="str">
        <f t="shared" si="109"/>
        <v>Late</v>
      </c>
      <c r="AE472">
        <f t="shared" si="110"/>
        <v>0</v>
      </c>
      <c r="AF472">
        <f t="shared" si="111"/>
        <v>0</v>
      </c>
    </row>
    <row r="473" spans="1:32" x14ac:dyDescent="0.25">
      <c r="A473" s="3" t="s">
        <v>477</v>
      </c>
      <c r="B473" s="4">
        <v>45167</v>
      </c>
      <c r="C473" s="4" t="str">
        <f t="shared" si="98"/>
        <v>Aug-2023</v>
      </c>
      <c r="D473" s="4" t="str">
        <f t="shared" si="99"/>
        <v>Q3</v>
      </c>
      <c r="E473" s="4">
        <v>45188</v>
      </c>
      <c r="F473" s="10">
        <f t="shared" si="100"/>
        <v>21</v>
      </c>
      <c r="G473" s="3" t="s">
        <v>641</v>
      </c>
      <c r="H473" s="3" t="s">
        <v>649</v>
      </c>
      <c r="I473" s="3" t="s">
        <v>671</v>
      </c>
      <c r="J473" t="str">
        <f t="shared" si="101"/>
        <v>Europe &gt; France &gt; Lyon</v>
      </c>
      <c r="K473" s="3" t="s">
        <v>697</v>
      </c>
      <c r="L473" s="3" t="s">
        <v>703</v>
      </c>
      <c r="M473" s="3" t="s">
        <v>709</v>
      </c>
      <c r="N473" s="3" t="s">
        <v>720</v>
      </c>
      <c r="O473" s="3" t="s">
        <v>1195</v>
      </c>
      <c r="P473" s="6">
        <v>784.46</v>
      </c>
      <c r="Q473" s="6">
        <v>1843.51</v>
      </c>
      <c r="R473" s="6" t="str">
        <f t="shared" si="102"/>
        <v>Medium</v>
      </c>
      <c r="S473" s="6">
        <v>0.13800000000000001</v>
      </c>
      <c r="T473" s="6">
        <v>23</v>
      </c>
      <c r="U473">
        <f t="shared" si="103"/>
        <v>36549.429260000004</v>
      </c>
      <c r="V473">
        <f t="shared" si="108"/>
        <v>343749.90690999996</v>
      </c>
      <c r="W473">
        <f t="shared" si="104"/>
        <v>18042.580000000002</v>
      </c>
      <c r="X473" s="6">
        <f t="shared" si="105"/>
        <v>18506.849260000003</v>
      </c>
      <c r="Y473">
        <f t="shared" si="106"/>
        <v>0.50635125184441798</v>
      </c>
      <c r="Z473">
        <v>202308</v>
      </c>
      <c r="AA473" s="18">
        <v>202301</v>
      </c>
      <c r="AB473" t="str">
        <v>Aug-2023</v>
      </c>
      <c r="AC473">
        <f t="shared" si="107"/>
        <v>7</v>
      </c>
      <c r="AD473" t="str">
        <f t="shared" si="109"/>
        <v>Late</v>
      </c>
      <c r="AE473">
        <f t="shared" si="110"/>
        <v>0</v>
      </c>
      <c r="AF473">
        <f t="shared" si="111"/>
        <v>0</v>
      </c>
    </row>
    <row r="474" spans="1:32" x14ac:dyDescent="0.25">
      <c r="A474" s="3" t="s">
        <v>478</v>
      </c>
      <c r="B474" s="4">
        <v>45841</v>
      </c>
      <c r="C474" s="4" t="str">
        <f t="shared" si="98"/>
        <v>Jul-2025</v>
      </c>
      <c r="D474" s="4" t="str">
        <f t="shared" si="99"/>
        <v>Q3</v>
      </c>
      <c r="E474" s="4">
        <v>45861</v>
      </c>
      <c r="F474" s="10">
        <f t="shared" si="100"/>
        <v>20</v>
      </c>
      <c r="G474" s="3" t="s">
        <v>639</v>
      </c>
      <c r="H474" s="3" t="s">
        <v>651</v>
      </c>
      <c r="I474" s="3" t="s">
        <v>691</v>
      </c>
      <c r="J474" t="str">
        <f t="shared" si="101"/>
        <v>Asia &gt; China &gt; Beijing</v>
      </c>
      <c r="K474" s="3" t="s">
        <v>697</v>
      </c>
      <c r="L474" s="3" t="s">
        <v>700</v>
      </c>
      <c r="M474" s="3" t="s">
        <v>716</v>
      </c>
      <c r="N474" s="3" t="s">
        <v>719</v>
      </c>
      <c r="O474" s="3" t="s">
        <v>1196</v>
      </c>
      <c r="P474" s="6">
        <v>647.36</v>
      </c>
      <c r="Q474" s="6">
        <v>1383.6</v>
      </c>
      <c r="R474" s="6" t="str">
        <f t="shared" si="102"/>
        <v>Medium</v>
      </c>
      <c r="S474" s="6">
        <v>7.3999999999999996E-2</v>
      </c>
      <c r="T474" s="6">
        <v>12</v>
      </c>
      <c r="U474">
        <f t="shared" si="103"/>
        <v>15374.563199999999</v>
      </c>
      <c r="V474">
        <f t="shared" si="108"/>
        <v>343749.90690999996</v>
      </c>
      <c r="W474">
        <f t="shared" si="104"/>
        <v>7768.32</v>
      </c>
      <c r="X474" s="6">
        <f t="shared" si="105"/>
        <v>7606.243199999999</v>
      </c>
      <c r="Y474">
        <f t="shared" si="106"/>
        <v>0.49472906000997802</v>
      </c>
      <c r="Z474">
        <v>202507</v>
      </c>
      <c r="AA474" s="18">
        <v>202301</v>
      </c>
      <c r="AB474" t="str">
        <v>Jul-2023</v>
      </c>
      <c r="AC474">
        <f t="shared" si="107"/>
        <v>30</v>
      </c>
      <c r="AD474" t="str">
        <f t="shared" si="109"/>
        <v>Late</v>
      </c>
      <c r="AE474">
        <f t="shared" si="110"/>
        <v>0</v>
      </c>
      <c r="AF474">
        <f t="shared" si="111"/>
        <v>0</v>
      </c>
    </row>
    <row r="475" spans="1:32" x14ac:dyDescent="0.25">
      <c r="A475" s="3" t="s">
        <v>479</v>
      </c>
      <c r="B475" s="4">
        <v>45328</v>
      </c>
      <c r="C475" s="4" t="str">
        <f t="shared" si="98"/>
        <v>Feb-2024</v>
      </c>
      <c r="D475" s="4" t="str">
        <f t="shared" si="99"/>
        <v>Q1</v>
      </c>
      <c r="E475" s="4">
        <v>45350</v>
      </c>
      <c r="F475" s="10">
        <f t="shared" si="100"/>
        <v>22</v>
      </c>
      <c r="G475" s="3" t="s">
        <v>638</v>
      </c>
      <c r="H475" s="3" t="s">
        <v>642</v>
      </c>
      <c r="I475" s="3" t="s">
        <v>654</v>
      </c>
      <c r="J475" t="str">
        <f t="shared" si="101"/>
        <v>Africa &gt; Kenya &gt; Kisumu</v>
      </c>
      <c r="K475" s="3" t="s">
        <v>695</v>
      </c>
      <c r="L475" s="3" t="s">
        <v>700</v>
      </c>
      <c r="M475" s="3" t="s">
        <v>715</v>
      </c>
      <c r="N475" s="3" t="s">
        <v>724</v>
      </c>
      <c r="O475" s="3" t="s">
        <v>1197</v>
      </c>
      <c r="P475" s="6">
        <v>834.93</v>
      </c>
      <c r="Q475" s="6">
        <v>1588.53</v>
      </c>
      <c r="R475" s="6" t="str">
        <f t="shared" si="102"/>
        <v>Medium</v>
      </c>
      <c r="S475" s="6">
        <v>0.126</v>
      </c>
      <c r="T475" s="6">
        <v>6</v>
      </c>
      <c r="U475">
        <f t="shared" si="103"/>
        <v>8330.2513199999994</v>
      </c>
      <c r="V475">
        <f t="shared" si="108"/>
        <v>328375.34370999999</v>
      </c>
      <c r="W475">
        <f t="shared" si="104"/>
        <v>5009.58</v>
      </c>
      <c r="X475" s="6">
        <f t="shared" si="105"/>
        <v>3320.6713199999995</v>
      </c>
      <c r="Y475">
        <f t="shared" si="106"/>
        <v>0.39862798761274343</v>
      </c>
      <c r="Z475">
        <v>202402</v>
      </c>
      <c r="AA475" s="18">
        <v>202301</v>
      </c>
      <c r="AB475" t="str">
        <v>Feb-2023</v>
      </c>
      <c r="AC475">
        <f t="shared" si="107"/>
        <v>13</v>
      </c>
      <c r="AD475" t="str">
        <f t="shared" si="109"/>
        <v>Late</v>
      </c>
      <c r="AE475">
        <f t="shared" si="110"/>
        <v>0</v>
      </c>
      <c r="AF475">
        <f t="shared" si="111"/>
        <v>0</v>
      </c>
    </row>
    <row r="476" spans="1:32" x14ac:dyDescent="0.25">
      <c r="A476" s="3" t="s">
        <v>480</v>
      </c>
      <c r="B476" s="4">
        <v>45882</v>
      </c>
      <c r="C476" s="4" t="str">
        <f t="shared" si="98"/>
        <v>Aug-2025</v>
      </c>
      <c r="D476" s="4" t="str">
        <f t="shared" si="99"/>
        <v>Q3</v>
      </c>
      <c r="E476" s="4">
        <v>45903</v>
      </c>
      <c r="F476" s="10">
        <f t="shared" si="100"/>
        <v>21</v>
      </c>
      <c r="G476" s="3" t="s">
        <v>641</v>
      </c>
      <c r="H476" s="3" t="s">
        <v>649</v>
      </c>
      <c r="I476" s="3" t="s">
        <v>682</v>
      </c>
      <c r="J476" t="str">
        <f t="shared" si="101"/>
        <v>Europe &gt; France &gt; Paris</v>
      </c>
      <c r="K476" s="3" t="s">
        <v>694</v>
      </c>
      <c r="L476" s="3" t="s">
        <v>699</v>
      </c>
      <c r="M476" s="3" t="s">
        <v>706</v>
      </c>
      <c r="N476" s="3" t="s">
        <v>722</v>
      </c>
      <c r="O476" s="3" t="s">
        <v>1198</v>
      </c>
      <c r="P476" s="6">
        <v>603.47</v>
      </c>
      <c r="Q476" s="6">
        <v>1344.05</v>
      </c>
      <c r="R476" s="6" t="str">
        <f t="shared" si="102"/>
        <v>Medium</v>
      </c>
      <c r="S476" s="6">
        <v>0.20499999999999999</v>
      </c>
      <c r="T476" s="6">
        <v>18</v>
      </c>
      <c r="U476">
        <f t="shared" si="103"/>
        <v>19233.355499999998</v>
      </c>
      <c r="V476">
        <f t="shared" si="108"/>
        <v>328375.34370999999</v>
      </c>
      <c r="W476">
        <f t="shared" si="104"/>
        <v>10862.460000000001</v>
      </c>
      <c r="X476" s="6">
        <f t="shared" si="105"/>
        <v>8370.8954999999969</v>
      </c>
      <c r="Y476">
        <f t="shared" si="106"/>
        <v>0.43522803392262976</v>
      </c>
      <c r="Z476">
        <v>202508</v>
      </c>
      <c r="AA476" s="18">
        <v>202301</v>
      </c>
      <c r="AB476" t="str">
        <v>Aug-2023</v>
      </c>
      <c r="AC476">
        <f t="shared" si="107"/>
        <v>31</v>
      </c>
      <c r="AD476" t="str">
        <f t="shared" si="109"/>
        <v>Late</v>
      </c>
      <c r="AE476">
        <f t="shared" si="110"/>
        <v>0</v>
      </c>
      <c r="AF476">
        <f t="shared" si="111"/>
        <v>1</v>
      </c>
    </row>
    <row r="477" spans="1:32" x14ac:dyDescent="0.25">
      <c r="A477" s="3" t="s">
        <v>481</v>
      </c>
      <c r="B477" s="4">
        <v>45069</v>
      </c>
      <c r="C477" s="4" t="str">
        <f t="shared" si="98"/>
        <v>May-2023</v>
      </c>
      <c r="D477" s="4" t="str">
        <f t="shared" si="99"/>
        <v>Q2</v>
      </c>
      <c r="E477" s="4">
        <v>45071</v>
      </c>
      <c r="F477" s="10">
        <f t="shared" si="100"/>
        <v>2</v>
      </c>
      <c r="G477" s="3" t="s">
        <v>640</v>
      </c>
      <c r="H477" s="3" t="s">
        <v>647</v>
      </c>
      <c r="I477" s="3" t="s">
        <v>684</v>
      </c>
      <c r="J477" t="str">
        <f t="shared" si="101"/>
        <v>Americas &gt; Brazil &gt; Rio de Janeiro</v>
      </c>
      <c r="K477" s="3" t="s">
        <v>698</v>
      </c>
      <c r="L477" s="3" t="s">
        <v>699</v>
      </c>
      <c r="M477" s="3" t="s">
        <v>716</v>
      </c>
      <c r="N477" s="3" t="s">
        <v>720</v>
      </c>
      <c r="O477" s="3" t="s">
        <v>1199</v>
      </c>
      <c r="P477" s="6">
        <v>690.49</v>
      </c>
      <c r="Q477" s="6">
        <v>1290.29</v>
      </c>
      <c r="R477" s="6" t="str">
        <f t="shared" si="102"/>
        <v>Medium</v>
      </c>
      <c r="S477" s="6">
        <v>4.2000000000000003E-2</v>
      </c>
      <c r="T477" s="6">
        <v>22</v>
      </c>
      <c r="U477">
        <f t="shared" si="103"/>
        <v>27194.152039999997</v>
      </c>
      <c r="V477">
        <f t="shared" si="108"/>
        <v>328375.34370999999</v>
      </c>
      <c r="W477">
        <f t="shared" si="104"/>
        <v>15190.78</v>
      </c>
      <c r="X477" s="6">
        <f t="shared" si="105"/>
        <v>12003.372039999997</v>
      </c>
      <c r="Y477">
        <f t="shared" si="106"/>
        <v>0.44139534199647718</v>
      </c>
      <c r="Z477">
        <v>202305</v>
      </c>
      <c r="AA477" s="18">
        <v>202301</v>
      </c>
      <c r="AB477" t="str">
        <v>May-2023</v>
      </c>
      <c r="AC477">
        <f t="shared" si="107"/>
        <v>4</v>
      </c>
      <c r="AD477" t="str">
        <f t="shared" si="109"/>
        <v>On Time</v>
      </c>
      <c r="AE477">
        <f t="shared" si="110"/>
        <v>1</v>
      </c>
      <c r="AF477">
        <f t="shared" si="111"/>
        <v>0</v>
      </c>
    </row>
    <row r="478" spans="1:32" x14ac:dyDescent="0.25">
      <c r="A478" s="3" t="s">
        <v>482</v>
      </c>
      <c r="B478" s="4">
        <v>45422</v>
      </c>
      <c r="C478" s="4" t="str">
        <f t="shared" si="98"/>
        <v>May-2024</v>
      </c>
      <c r="D478" s="4" t="str">
        <f t="shared" si="99"/>
        <v>Q2</v>
      </c>
      <c r="E478" s="4">
        <v>45428</v>
      </c>
      <c r="F478" s="10">
        <f t="shared" si="100"/>
        <v>6</v>
      </c>
      <c r="G478" s="3" t="s">
        <v>641</v>
      </c>
      <c r="H478" s="3" t="s">
        <v>650</v>
      </c>
      <c r="I478" s="3" t="s">
        <v>666</v>
      </c>
      <c r="J478" t="str">
        <f t="shared" si="101"/>
        <v>Europe &gt; United Kingdom &gt; Birmingham</v>
      </c>
      <c r="K478" s="3" t="s">
        <v>695</v>
      </c>
      <c r="L478" s="3" t="s">
        <v>703</v>
      </c>
      <c r="M478" s="3" t="s">
        <v>707</v>
      </c>
      <c r="N478" s="3" t="s">
        <v>723</v>
      </c>
      <c r="O478" s="3" t="s">
        <v>1200</v>
      </c>
      <c r="P478" s="6">
        <v>210.76</v>
      </c>
      <c r="Q478" s="6">
        <v>221.58</v>
      </c>
      <c r="R478" s="6" t="str">
        <f t="shared" si="102"/>
        <v>Low</v>
      </c>
      <c r="S478" s="6">
        <v>8.8999999999999996E-2</v>
      </c>
      <c r="T478" s="6">
        <v>5</v>
      </c>
      <c r="U478">
        <f t="shared" si="103"/>
        <v>1009.2969000000002</v>
      </c>
      <c r="V478">
        <f t="shared" si="108"/>
        <v>328375.34370999999</v>
      </c>
      <c r="W478">
        <f t="shared" si="104"/>
        <v>1053.8</v>
      </c>
      <c r="X478" s="6">
        <f t="shared" si="105"/>
        <v>-44.50309999999979</v>
      </c>
      <c r="Y478">
        <f t="shared" si="106"/>
        <v>-4.4093170205912434E-2</v>
      </c>
      <c r="Z478">
        <v>202405</v>
      </c>
      <c r="AA478" s="18">
        <v>202301</v>
      </c>
      <c r="AB478" t="str">
        <v>May-2023</v>
      </c>
      <c r="AC478">
        <f t="shared" si="107"/>
        <v>16</v>
      </c>
      <c r="AD478" t="str">
        <f t="shared" si="109"/>
        <v>On Time</v>
      </c>
      <c r="AE478">
        <f t="shared" si="110"/>
        <v>1</v>
      </c>
      <c r="AF478">
        <f t="shared" si="111"/>
        <v>0</v>
      </c>
    </row>
    <row r="479" spans="1:32" x14ac:dyDescent="0.25">
      <c r="A479" s="3" t="s">
        <v>483</v>
      </c>
      <c r="B479" s="4">
        <v>44999</v>
      </c>
      <c r="C479" s="4" t="str">
        <f t="shared" si="98"/>
        <v>Mar-2023</v>
      </c>
      <c r="D479" s="4" t="str">
        <f t="shared" si="99"/>
        <v>Q1</v>
      </c>
      <c r="E479" s="4">
        <v>45003</v>
      </c>
      <c r="F479" s="10">
        <f t="shared" si="100"/>
        <v>4</v>
      </c>
      <c r="G479" s="3" t="s">
        <v>641</v>
      </c>
      <c r="H479" s="3" t="s">
        <v>648</v>
      </c>
      <c r="I479" s="3" t="s">
        <v>690</v>
      </c>
      <c r="J479" t="str">
        <f t="shared" si="101"/>
        <v>Europe &gt; Germany &gt; Frankfurt</v>
      </c>
      <c r="K479" s="3" t="s">
        <v>698</v>
      </c>
      <c r="L479" s="3" t="s">
        <v>703</v>
      </c>
      <c r="M479" s="3" t="s">
        <v>712</v>
      </c>
      <c r="N479" s="3" t="s">
        <v>719</v>
      </c>
      <c r="O479" s="3" t="s">
        <v>1201</v>
      </c>
      <c r="P479" s="6">
        <v>472.33</v>
      </c>
      <c r="Q479" s="6">
        <v>360.34</v>
      </c>
      <c r="R479" s="6" t="str">
        <f t="shared" si="102"/>
        <v>Low</v>
      </c>
      <c r="S479" s="6">
        <v>0.16500000000000001</v>
      </c>
      <c r="T479" s="6">
        <v>14</v>
      </c>
      <c r="U479">
        <f t="shared" si="103"/>
        <v>4212.3745999999992</v>
      </c>
      <c r="V479">
        <f t="shared" si="108"/>
        <v>328375.34370999999</v>
      </c>
      <c r="W479">
        <f t="shared" si="104"/>
        <v>6612.62</v>
      </c>
      <c r="X479" s="6">
        <f t="shared" si="105"/>
        <v>-2400.2454000000007</v>
      </c>
      <c r="Y479">
        <f t="shared" si="106"/>
        <v>-0.56980815523861561</v>
      </c>
      <c r="Z479">
        <v>202303</v>
      </c>
      <c r="AA479" s="18">
        <v>202301</v>
      </c>
      <c r="AB479" t="str">
        <v>Mar-2023</v>
      </c>
      <c r="AC479">
        <f t="shared" si="107"/>
        <v>2</v>
      </c>
      <c r="AD479" t="str">
        <f t="shared" si="109"/>
        <v>On Time</v>
      </c>
      <c r="AE479">
        <f t="shared" si="110"/>
        <v>1</v>
      </c>
      <c r="AF479">
        <f t="shared" si="111"/>
        <v>0</v>
      </c>
    </row>
    <row r="480" spans="1:32" x14ac:dyDescent="0.25">
      <c r="A480" s="3" t="s">
        <v>484</v>
      </c>
      <c r="B480" s="4">
        <v>45123</v>
      </c>
      <c r="C480" s="4" t="str">
        <f t="shared" si="98"/>
        <v>Jul-2023</v>
      </c>
      <c r="D480" s="4" t="str">
        <f t="shared" si="99"/>
        <v>Q3</v>
      </c>
      <c r="E480" s="4">
        <v>45151</v>
      </c>
      <c r="F480" s="10">
        <f t="shared" si="100"/>
        <v>28</v>
      </c>
      <c r="G480" s="3" t="s">
        <v>641</v>
      </c>
      <c r="H480" s="3" t="s">
        <v>650</v>
      </c>
      <c r="I480" s="3" t="s">
        <v>685</v>
      </c>
      <c r="J480" t="str">
        <f t="shared" si="101"/>
        <v>Europe &gt; United Kingdom &gt; Manchester</v>
      </c>
      <c r="K480" s="3" t="s">
        <v>695</v>
      </c>
      <c r="L480" s="3" t="s">
        <v>700</v>
      </c>
      <c r="M480" s="3" t="s">
        <v>705</v>
      </c>
      <c r="N480" s="3" t="s">
        <v>723</v>
      </c>
      <c r="O480" s="3" t="s">
        <v>1202</v>
      </c>
      <c r="P480" s="6">
        <v>1039.03</v>
      </c>
      <c r="Q480" s="6">
        <v>2545.81</v>
      </c>
      <c r="R480" s="6" t="str">
        <f t="shared" si="102"/>
        <v>High</v>
      </c>
      <c r="S480" s="6">
        <v>0.216</v>
      </c>
      <c r="T480" s="6">
        <v>21</v>
      </c>
      <c r="U480">
        <f t="shared" si="103"/>
        <v>41914.215840000004</v>
      </c>
      <c r="V480">
        <f t="shared" si="108"/>
        <v>324162.96910999995</v>
      </c>
      <c r="W480">
        <f t="shared" si="104"/>
        <v>21819.63</v>
      </c>
      <c r="X480" s="6">
        <f t="shared" si="105"/>
        <v>20094.585840000003</v>
      </c>
      <c r="Y480">
        <f t="shared" si="106"/>
        <v>0.47942172929364774</v>
      </c>
      <c r="Z480">
        <v>202307</v>
      </c>
      <c r="AA480" s="18">
        <v>202301</v>
      </c>
      <c r="AB480" t="str">
        <v>Jul-2023</v>
      </c>
      <c r="AC480">
        <f t="shared" si="107"/>
        <v>6</v>
      </c>
      <c r="AD480" t="str">
        <f t="shared" si="109"/>
        <v>Late</v>
      </c>
      <c r="AE480">
        <f t="shared" si="110"/>
        <v>0</v>
      </c>
      <c r="AF480">
        <f t="shared" si="111"/>
        <v>1</v>
      </c>
    </row>
    <row r="481" spans="1:32" x14ac:dyDescent="0.25">
      <c r="A481" s="3" t="s">
        <v>485</v>
      </c>
      <c r="B481" s="4">
        <v>45032</v>
      </c>
      <c r="C481" s="4" t="str">
        <f t="shared" si="98"/>
        <v>Apr-2023</v>
      </c>
      <c r="D481" s="4" t="str">
        <f t="shared" si="99"/>
        <v>Q2</v>
      </c>
      <c r="E481" s="4">
        <v>45035</v>
      </c>
      <c r="F481" s="10">
        <f t="shared" si="100"/>
        <v>3</v>
      </c>
      <c r="G481" s="3" t="s">
        <v>641</v>
      </c>
      <c r="H481" s="3" t="s">
        <v>648</v>
      </c>
      <c r="I481" s="3" t="s">
        <v>676</v>
      </c>
      <c r="J481" t="str">
        <f t="shared" si="101"/>
        <v>Europe &gt; Germany &gt; Munich</v>
      </c>
      <c r="K481" s="3" t="s">
        <v>693</v>
      </c>
      <c r="L481" s="3" t="s">
        <v>703</v>
      </c>
      <c r="M481" s="3" t="s">
        <v>709</v>
      </c>
      <c r="N481" s="3" t="s">
        <v>725</v>
      </c>
      <c r="O481" s="3" t="s">
        <v>1203</v>
      </c>
      <c r="P481" s="6">
        <v>553.61</v>
      </c>
      <c r="Q481" s="6">
        <v>699.47</v>
      </c>
      <c r="R481" s="6" t="str">
        <f t="shared" si="102"/>
        <v>Medium</v>
      </c>
      <c r="S481" s="6">
        <v>0.02</v>
      </c>
      <c r="T481" s="6">
        <v>33</v>
      </c>
      <c r="U481">
        <f t="shared" si="103"/>
        <v>22620.859800000002</v>
      </c>
      <c r="V481">
        <f t="shared" si="108"/>
        <v>324162.96910999995</v>
      </c>
      <c r="W481">
        <f t="shared" si="104"/>
        <v>18269.13</v>
      </c>
      <c r="X481" s="6">
        <f t="shared" si="105"/>
        <v>4351.729800000001</v>
      </c>
      <c r="Y481">
        <f t="shared" si="106"/>
        <v>0.19237685209472014</v>
      </c>
      <c r="Z481">
        <v>202304</v>
      </c>
      <c r="AA481" s="18">
        <v>202301</v>
      </c>
      <c r="AB481" t="str">
        <v>Apr-2023</v>
      </c>
      <c r="AC481">
        <f t="shared" si="107"/>
        <v>3</v>
      </c>
      <c r="AD481" t="str">
        <f t="shared" si="109"/>
        <v>On Time</v>
      </c>
      <c r="AE481">
        <f t="shared" si="110"/>
        <v>1</v>
      </c>
      <c r="AF481">
        <f t="shared" si="111"/>
        <v>0</v>
      </c>
    </row>
    <row r="482" spans="1:32" x14ac:dyDescent="0.25">
      <c r="A482" s="3" t="s">
        <v>486</v>
      </c>
      <c r="B482" s="4">
        <v>45293</v>
      </c>
      <c r="C482" s="4" t="str">
        <f t="shared" si="98"/>
        <v>Jan-2024</v>
      </c>
      <c r="D482" s="4" t="str">
        <f t="shared" si="99"/>
        <v>Q1</v>
      </c>
      <c r="E482" s="4">
        <v>45306</v>
      </c>
      <c r="F482" s="10">
        <f t="shared" si="100"/>
        <v>13</v>
      </c>
      <c r="G482" s="3" t="s">
        <v>639</v>
      </c>
      <c r="H482" s="3" t="s">
        <v>644</v>
      </c>
      <c r="I482" s="3" t="s">
        <v>686</v>
      </c>
      <c r="J482" t="str">
        <f t="shared" si="101"/>
        <v>Asia &gt; Japan &gt; Nagoya</v>
      </c>
      <c r="K482" s="3" t="s">
        <v>697</v>
      </c>
      <c r="L482" s="3" t="s">
        <v>701</v>
      </c>
      <c r="M482" s="3" t="s">
        <v>707</v>
      </c>
      <c r="N482" s="3" t="s">
        <v>721</v>
      </c>
      <c r="O482" s="3" t="s">
        <v>1204</v>
      </c>
      <c r="P482" s="6">
        <v>1219.06</v>
      </c>
      <c r="Q482" s="6">
        <v>2738.69</v>
      </c>
      <c r="R482" s="6" t="str">
        <f t="shared" si="102"/>
        <v>High</v>
      </c>
      <c r="S482" s="6">
        <v>7.5999999999999998E-2</v>
      </c>
      <c r="T482" s="6">
        <v>16</v>
      </c>
      <c r="U482">
        <f t="shared" si="103"/>
        <v>40488.792960000006</v>
      </c>
      <c r="V482">
        <f t="shared" si="108"/>
        <v>324162.96910999995</v>
      </c>
      <c r="W482">
        <f t="shared" si="104"/>
        <v>19504.96</v>
      </c>
      <c r="X482" s="6">
        <f t="shared" si="105"/>
        <v>20983.832960000007</v>
      </c>
      <c r="Y482">
        <f t="shared" si="106"/>
        <v>0.51826274447673737</v>
      </c>
      <c r="Z482">
        <v>202401</v>
      </c>
      <c r="AA482" s="18">
        <v>202303</v>
      </c>
      <c r="AB482" t="str">
        <v>Jan-2023</v>
      </c>
      <c r="AC482">
        <f t="shared" si="107"/>
        <v>10</v>
      </c>
      <c r="AD482" t="str">
        <f t="shared" si="109"/>
        <v>Late</v>
      </c>
      <c r="AE482">
        <f t="shared" si="110"/>
        <v>0</v>
      </c>
      <c r="AF482">
        <f t="shared" si="111"/>
        <v>0</v>
      </c>
    </row>
    <row r="483" spans="1:32" x14ac:dyDescent="0.25">
      <c r="A483" s="3" t="s">
        <v>487</v>
      </c>
      <c r="B483" s="4">
        <v>45538</v>
      </c>
      <c r="C483" s="4" t="str">
        <f t="shared" si="98"/>
        <v>Sept-2024</v>
      </c>
      <c r="D483" s="4" t="str">
        <f t="shared" si="99"/>
        <v>Q3</v>
      </c>
      <c r="E483" s="4">
        <v>45542</v>
      </c>
      <c r="F483" s="10">
        <f t="shared" si="100"/>
        <v>4</v>
      </c>
      <c r="G483" s="3" t="s">
        <v>639</v>
      </c>
      <c r="H483" s="3" t="s">
        <v>644</v>
      </c>
      <c r="I483" s="3" t="s">
        <v>681</v>
      </c>
      <c r="J483" t="str">
        <f t="shared" si="101"/>
        <v>Asia &gt; Japan &gt; Tokyo</v>
      </c>
      <c r="K483" s="3" t="s">
        <v>697</v>
      </c>
      <c r="L483" s="3" t="s">
        <v>702</v>
      </c>
      <c r="M483" s="3" t="s">
        <v>717</v>
      </c>
      <c r="N483" s="3" t="s">
        <v>720</v>
      </c>
      <c r="O483" s="3" t="s">
        <v>1205</v>
      </c>
      <c r="P483" s="6">
        <v>43.23</v>
      </c>
      <c r="Q483" s="6">
        <v>94.78</v>
      </c>
      <c r="R483" s="6" t="str">
        <f t="shared" si="102"/>
        <v>Low</v>
      </c>
      <c r="S483" s="6">
        <v>9.0999999999999998E-2</v>
      </c>
      <c r="T483" s="6">
        <v>55</v>
      </c>
      <c r="U483">
        <f t="shared" si="103"/>
        <v>4738.5261</v>
      </c>
      <c r="V483">
        <f t="shared" si="108"/>
        <v>324162.96910999995</v>
      </c>
      <c r="W483">
        <f t="shared" si="104"/>
        <v>2377.6499999999996</v>
      </c>
      <c r="X483" s="6">
        <f t="shared" si="105"/>
        <v>2360.8761000000004</v>
      </c>
      <c r="Y483">
        <f t="shared" si="106"/>
        <v>0.49823005090127082</v>
      </c>
      <c r="Z483">
        <v>202409</v>
      </c>
      <c r="AA483" s="18">
        <v>202303</v>
      </c>
      <c r="AB483" t="str">
        <v>Sept-2023</v>
      </c>
      <c r="AC483">
        <f t="shared" si="107"/>
        <v>18</v>
      </c>
      <c r="AD483" t="str">
        <f t="shared" si="109"/>
        <v>On Time</v>
      </c>
      <c r="AE483">
        <f t="shared" si="110"/>
        <v>1</v>
      </c>
      <c r="AF483">
        <f t="shared" si="111"/>
        <v>0</v>
      </c>
    </row>
    <row r="484" spans="1:32" x14ac:dyDescent="0.25">
      <c r="A484" s="3" t="s">
        <v>488</v>
      </c>
      <c r="B484" s="4">
        <v>45899</v>
      </c>
      <c r="C484" s="4" t="str">
        <f t="shared" si="98"/>
        <v>Aug-2025</v>
      </c>
      <c r="D484" s="4" t="str">
        <f t="shared" si="99"/>
        <v>Q3</v>
      </c>
      <c r="E484" s="4">
        <v>45903</v>
      </c>
      <c r="F484" s="10">
        <f t="shared" si="100"/>
        <v>4</v>
      </c>
      <c r="G484" s="3" t="s">
        <v>641</v>
      </c>
      <c r="H484" s="3" t="s">
        <v>649</v>
      </c>
      <c r="I484" s="3" t="s">
        <v>665</v>
      </c>
      <c r="J484" t="str">
        <f t="shared" si="101"/>
        <v>Europe &gt; France &gt; Marseille</v>
      </c>
      <c r="K484" s="3" t="s">
        <v>697</v>
      </c>
      <c r="L484" s="3" t="s">
        <v>701</v>
      </c>
      <c r="M484" s="3" t="s">
        <v>705</v>
      </c>
      <c r="N484" s="3" t="s">
        <v>723</v>
      </c>
      <c r="O484" s="3" t="s">
        <v>1206</v>
      </c>
      <c r="P484" s="6">
        <v>1286.56</v>
      </c>
      <c r="Q484" s="6">
        <v>2777.35</v>
      </c>
      <c r="R484" s="6" t="str">
        <f t="shared" si="102"/>
        <v>High</v>
      </c>
      <c r="S484" s="6">
        <v>0.13200000000000001</v>
      </c>
      <c r="T484" s="6">
        <v>15</v>
      </c>
      <c r="U484">
        <f t="shared" si="103"/>
        <v>36161.097000000002</v>
      </c>
      <c r="V484">
        <f t="shared" si="108"/>
        <v>324162.96910999995</v>
      </c>
      <c r="W484">
        <f t="shared" si="104"/>
        <v>19298.399999999998</v>
      </c>
      <c r="X484" s="6">
        <f t="shared" si="105"/>
        <v>16862.697000000004</v>
      </c>
      <c r="Y484">
        <f t="shared" si="106"/>
        <v>0.46632150014696744</v>
      </c>
      <c r="Z484">
        <v>202508</v>
      </c>
      <c r="AA484" s="18">
        <v>202301</v>
      </c>
      <c r="AB484" t="str">
        <v>Aug-2023</v>
      </c>
      <c r="AC484">
        <f t="shared" si="107"/>
        <v>31</v>
      </c>
      <c r="AD484" t="str">
        <f t="shared" si="109"/>
        <v>On Time</v>
      </c>
      <c r="AE484">
        <f t="shared" si="110"/>
        <v>1</v>
      </c>
      <c r="AF484">
        <f t="shared" si="111"/>
        <v>0</v>
      </c>
    </row>
    <row r="485" spans="1:32" x14ac:dyDescent="0.25">
      <c r="A485" s="3" t="s">
        <v>489</v>
      </c>
      <c r="B485" s="4">
        <v>45775</v>
      </c>
      <c r="C485" s="4" t="str">
        <f t="shared" si="98"/>
        <v>Apr-2025</v>
      </c>
      <c r="D485" s="4" t="str">
        <f t="shared" si="99"/>
        <v>Q2</v>
      </c>
      <c r="E485" s="4">
        <v>45796</v>
      </c>
      <c r="F485" s="10">
        <f t="shared" si="100"/>
        <v>21</v>
      </c>
      <c r="G485" s="3" t="s">
        <v>641</v>
      </c>
      <c r="H485" s="3" t="s">
        <v>648</v>
      </c>
      <c r="I485" s="3" t="s">
        <v>663</v>
      </c>
      <c r="J485" t="str">
        <f t="shared" si="101"/>
        <v>Europe &gt; Germany &gt; Berlin</v>
      </c>
      <c r="K485" s="3" t="s">
        <v>693</v>
      </c>
      <c r="L485" s="3" t="s">
        <v>702</v>
      </c>
      <c r="M485" s="3" t="s">
        <v>709</v>
      </c>
      <c r="N485" s="3" t="s">
        <v>722</v>
      </c>
      <c r="O485" s="3" t="s">
        <v>1207</v>
      </c>
      <c r="P485" s="6">
        <v>350.76</v>
      </c>
      <c r="Q485" s="6">
        <v>492.18</v>
      </c>
      <c r="R485" s="6" t="str">
        <f t="shared" si="102"/>
        <v>Low</v>
      </c>
      <c r="S485" s="6">
        <v>5.2999999999999999E-2</v>
      </c>
      <c r="T485" s="6">
        <v>11</v>
      </c>
      <c r="U485">
        <f t="shared" si="103"/>
        <v>5127.0390600000001</v>
      </c>
      <c r="V485">
        <f t="shared" si="108"/>
        <v>324162.96910999995</v>
      </c>
      <c r="W485">
        <f t="shared" si="104"/>
        <v>3858.3599999999997</v>
      </c>
      <c r="X485" s="6">
        <f t="shared" si="105"/>
        <v>1268.6790600000004</v>
      </c>
      <c r="Y485">
        <f t="shared" si="106"/>
        <v>0.24744868239798437</v>
      </c>
      <c r="Z485">
        <v>202504</v>
      </c>
      <c r="AA485" s="18">
        <v>202301</v>
      </c>
      <c r="AB485" t="str">
        <v>Apr-2023</v>
      </c>
      <c r="AC485">
        <f t="shared" si="107"/>
        <v>27</v>
      </c>
      <c r="AD485" t="str">
        <f t="shared" si="109"/>
        <v>Late</v>
      </c>
      <c r="AE485">
        <f t="shared" si="110"/>
        <v>0</v>
      </c>
      <c r="AF485">
        <f t="shared" si="111"/>
        <v>0</v>
      </c>
    </row>
    <row r="486" spans="1:32" x14ac:dyDescent="0.25">
      <c r="A486" s="3" t="s">
        <v>490</v>
      </c>
      <c r="B486" s="4">
        <v>45148</v>
      </c>
      <c r="C486" s="4" t="str">
        <f t="shared" si="98"/>
        <v>Aug-2023</v>
      </c>
      <c r="D486" s="4" t="str">
        <f t="shared" si="99"/>
        <v>Q3</v>
      </c>
      <c r="E486" s="4">
        <v>45153</v>
      </c>
      <c r="F486" s="10">
        <f t="shared" si="100"/>
        <v>5</v>
      </c>
      <c r="G486" s="3" t="s">
        <v>640</v>
      </c>
      <c r="H486" s="3" t="s">
        <v>647</v>
      </c>
      <c r="I486" s="3" t="s">
        <v>662</v>
      </c>
      <c r="J486" t="str">
        <f t="shared" si="101"/>
        <v>Americas &gt; Brazil &gt; São Paulo</v>
      </c>
      <c r="K486" s="3" t="s">
        <v>694</v>
      </c>
      <c r="L486" s="3" t="s">
        <v>703</v>
      </c>
      <c r="M486" s="3" t="s">
        <v>707</v>
      </c>
      <c r="N486" s="3" t="s">
        <v>721</v>
      </c>
      <c r="O486" s="3" t="s">
        <v>1208</v>
      </c>
      <c r="P486" s="6">
        <v>1307.52</v>
      </c>
      <c r="Q486" s="6">
        <v>1921.65</v>
      </c>
      <c r="R486" s="6" t="str">
        <f t="shared" si="102"/>
        <v>High</v>
      </c>
      <c r="S486" s="6">
        <v>0.123</v>
      </c>
      <c r="T486" s="6">
        <v>13</v>
      </c>
      <c r="U486">
        <f t="shared" si="103"/>
        <v>21908.731650000002</v>
      </c>
      <c r="V486">
        <f t="shared" si="108"/>
        <v>324162.96910999995</v>
      </c>
      <c r="W486">
        <f t="shared" si="104"/>
        <v>16997.759999999998</v>
      </c>
      <c r="X486" s="6">
        <f t="shared" si="105"/>
        <v>4910.9716500000031</v>
      </c>
      <c r="Y486">
        <f t="shared" si="106"/>
        <v>0.22415590863289445</v>
      </c>
      <c r="Z486">
        <v>202308</v>
      </c>
      <c r="AA486" s="18">
        <v>202301</v>
      </c>
      <c r="AB486" t="str">
        <v>Aug-2023</v>
      </c>
      <c r="AC486">
        <f t="shared" si="107"/>
        <v>7</v>
      </c>
      <c r="AD486" t="str">
        <f t="shared" si="109"/>
        <v>On Time</v>
      </c>
      <c r="AE486">
        <f t="shared" si="110"/>
        <v>1</v>
      </c>
      <c r="AF486">
        <f t="shared" si="111"/>
        <v>0</v>
      </c>
    </row>
    <row r="487" spans="1:32" x14ac:dyDescent="0.25">
      <c r="A487" s="3" t="s">
        <v>491</v>
      </c>
      <c r="B487" s="4">
        <v>45634</v>
      </c>
      <c r="C487" s="4" t="str">
        <f t="shared" si="98"/>
        <v>Dec-2024</v>
      </c>
      <c r="D487" s="4" t="str">
        <f t="shared" si="99"/>
        <v>Q4</v>
      </c>
      <c r="E487" s="4">
        <v>45634</v>
      </c>
      <c r="F487" s="10">
        <f t="shared" si="100"/>
        <v>0</v>
      </c>
      <c r="G487" s="3" t="s">
        <v>641</v>
      </c>
      <c r="H487" s="3" t="s">
        <v>649</v>
      </c>
      <c r="I487" s="3" t="s">
        <v>671</v>
      </c>
      <c r="J487" t="str">
        <f t="shared" si="101"/>
        <v>Europe &gt; France &gt; Lyon</v>
      </c>
      <c r="K487" s="3" t="s">
        <v>698</v>
      </c>
      <c r="L487" s="3" t="s">
        <v>699</v>
      </c>
      <c r="M487" s="3" t="s">
        <v>714</v>
      </c>
      <c r="N487" s="3" t="s">
        <v>719</v>
      </c>
      <c r="O487" s="3" t="s">
        <v>1209</v>
      </c>
      <c r="P487" s="6">
        <v>257.44</v>
      </c>
      <c r="Q487" s="6">
        <v>290.33</v>
      </c>
      <c r="R487" s="6" t="str">
        <f t="shared" si="102"/>
        <v>Low</v>
      </c>
      <c r="S487" s="6">
        <v>9.1999999999999998E-2</v>
      </c>
      <c r="T487" s="6">
        <v>23</v>
      </c>
      <c r="U487">
        <f t="shared" si="103"/>
        <v>6063.2517199999993</v>
      </c>
      <c r="V487">
        <f t="shared" si="108"/>
        <v>324162.96910999995</v>
      </c>
      <c r="W487">
        <f t="shared" si="104"/>
        <v>5921.12</v>
      </c>
      <c r="X487" s="6">
        <f t="shared" si="105"/>
        <v>142.1317199999994</v>
      </c>
      <c r="Y487">
        <f t="shared" si="106"/>
        <v>2.3441500792581216E-2</v>
      </c>
      <c r="Z487">
        <v>202412</v>
      </c>
      <c r="AA487" s="18">
        <v>202301</v>
      </c>
      <c r="AB487" t="str">
        <v>Dec-2023</v>
      </c>
      <c r="AC487">
        <f t="shared" si="107"/>
        <v>23</v>
      </c>
      <c r="AD487" t="str">
        <f t="shared" si="109"/>
        <v>On Time</v>
      </c>
      <c r="AE487">
        <f t="shared" si="110"/>
        <v>1</v>
      </c>
      <c r="AF487">
        <f t="shared" si="111"/>
        <v>0</v>
      </c>
    </row>
    <row r="488" spans="1:32" x14ac:dyDescent="0.25">
      <c r="A488" s="3" t="s">
        <v>492</v>
      </c>
      <c r="B488" s="4">
        <v>45224</v>
      </c>
      <c r="C488" s="4" t="str">
        <f t="shared" si="98"/>
        <v>Oct-2023</v>
      </c>
      <c r="D488" s="4" t="str">
        <f t="shared" si="99"/>
        <v>Q4</v>
      </c>
      <c r="E488" s="4">
        <v>45254</v>
      </c>
      <c r="F488" s="10">
        <f t="shared" si="100"/>
        <v>30</v>
      </c>
      <c r="G488" s="3" t="s">
        <v>641</v>
      </c>
      <c r="H488" s="3" t="s">
        <v>649</v>
      </c>
      <c r="I488" s="3" t="s">
        <v>682</v>
      </c>
      <c r="J488" t="str">
        <f t="shared" si="101"/>
        <v>Europe &gt; France &gt; Paris</v>
      </c>
      <c r="K488" s="3" t="s">
        <v>698</v>
      </c>
      <c r="L488" s="3" t="s">
        <v>702</v>
      </c>
      <c r="M488" s="3" t="s">
        <v>704</v>
      </c>
      <c r="N488" s="3" t="s">
        <v>722</v>
      </c>
      <c r="O488" s="3" t="s">
        <v>1210</v>
      </c>
      <c r="P488" s="6">
        <v>287.85000000000002</v>
      </c>
      <c r="Q488" s="6">
        <v>602.91999999999996</v>
      </c>
      <c r="R488" s="6" t="str">
        <f t="shared" si="102"/>
        <v>Low</v>
      </c>
      <c r="S488" s="6">
        <v>0.222</v>
      </c>
      <c r="T488" s="6">
        <v>11</v>
      </c>
      <c r="U488">
        <f t="shared" si="103"/>
        <v>5159.7893599999998</v>
      </c>
      <c r="V488">
        <f t="shared" si="108"/>
        <v>318099.71739000001</v>
      </c>
      <c r="W488">
        <f t="shared" si="104"/>
        <v>3166.3500000000004</v>
      </c>
      <c r="X488" s="6">
        <f t="shared" si="105"/>
        <v>1993.4393599999994</v>
      </c>
      <c r="Y488">
        <f t="shared" si="106"/>
        <v>0.38634122847216373</v>
      </c>
      <c r="Z488">
        <v>202310</v>
      </c>
      <c r="AA488" s="18">
        <v>202301</v>
      </c>
      <c r="AB488" t="str">
        <v>Oct-2023</v>
      </c>
      <c r="AC488">
        <f t="shared" si="107"/>
        <v>9</v>
      </c>
      <c r="AD488" t="str">
        <f t="shared" si="109"/>
        <v>Late</v>
      </c>
      <c r="AE488">
        <f t="shared" si="110"/>
        <v>0</v>
      </c>
      <c r="AF488">
        <f t="shared" si="111"/>
        <v>1</v>
      </c>
    </row>
    <row r="489" spans="1:32" x14ac:dyDescent="0.25">
      <c r="A489" s="3" t="s">
        <v>493</v>
      </c>
      <c r="B489" s="4">
        <v>45613</v>
      </c>
      <c r="C489" s="4" t="str">
        <f t="shared" si="98"/>
        <v>Nov-2024</v>
      </c>
      <c r="D489" s="4" t="str">
        <f t="shared" si="99"/>
        <v>Q4</v>
      </c>
      <c r="E489" s="4">
        <v>45624</v>
      </c>
      <c r="F489" s="10">
        <f t="shared" si="100"/>
        <v>11</v>
      </c>
      <c r="G489" s="3" t="s">
        <v>640</v>
      </c>
      <c r="H489" s="3" t="s">
        <v>645</v>
      </c>
      <c r="I489" s="3" t="s">
        <v>1413</v>
      </c>
      <c r="J489" t="str">
        <f t="shared" si="101"/>
        <v>Americas &gt; Canada &gt; Not Provided</v>
      </c>
      <c r="K489" s="3" t="s">
        <v>696</v>
      </c>
      <c r="L489" s="3" t="s">
        <v>702</v>
      </c>
      <c r="M489" s="3" t="s">
        <v>712</v>
      </c>
      <c r="N489" s="3" t="s">
        <v>720</v>
      </c>
      <c r="O489" s="3" t="s">
        <v>1211</v>
      </c>
      <c r="P489" s="6">
        <v>1008.16</v>
      </c>
      <c r="Q489" s="6">
        <v>2077.5</v>
      </c>
      <c r="R489" s="6" t="str">
        <f t="shared" si="102"/>
        <v>High</v>
      </c>
      <c r="S489" s="6">
        <v>7.3999999999999996E-2</v>
      </c>
      <c r="T489" s="6">
        <v>15</v>
      </c>
      <c r="U489">
        <f t="shared" si="103"/>
        <v>28856.475000000002</v>
      </c>
      <c r="V489">
        <f t="shared" si="108"/>
        <v>318099.71739000001</v>
      </c>
      <c r="W489">
        <f t="shared" si="104"/>
        <v>15122.4</v>
      </c>
      <c r="X489" s="6">
        <f t="shared" si="105"/>
        <v>13734.075000000003</v>
      </c>
      <c r="Y489">
        <f t="shared" si="106"/>
        <v>0.47594430712691005</v>
      </c>
      <c r="Z489">
        <v>202411</v>
      </c>
      <c r="AA489" s="18">
        <v>202301</v>
      </c>
      <c r="AB489" t="str">
        <v>Nov-2023</v>
      </c>
      <c r="AC489">
        <f t="shared" si="107"/>
        <v>22</v>
      </c>
      <c r="AD489" t="str">
        <f t="shared" si="109"/>
        <v>Late</v>
      </c>
      <c r="AE489">
        <f t="shared" si="110"/>
        <v>0</v>
      </c>
      <c r="AF489">
        <f t="shared" si="111"/>
        <v>0</v>
      </c>
    </row>
    <row r="490" spans="1:32" x14ac:dyDescent="0.25">
      <c r="A490" s="3" t="s">
        <v>494</v>
      </c>
      <c r="B490" s="4">
        <v>45424</v>
      </c>
      <c r="C490" s="4" t="str">
        <f t="shared" si="98"/>
        <v>May-2024</v>
      </c>
      <c r="D490" s="4" t="str">
        <f t="shared" si="99"/>
        <v>Q2</v>
      </c>
      <c r="E490" s="4">
        <v>45436</v>
      </c>
      <c r="F490" s="10">
        <f t="shared" si="100"/>
        <v>12</v>
      </c>
      <c r="G490" s="3" t="s">
        <v>641</v>
      </c>
      <c r="H490" s="3" t="s">
        <v>650</v>
      </c>
      <c r="I490" s="3" t="s">
        <v>685</v>
      </c>
      <c r="J490" t="str">
        <f t="shared" si="101"/>
        <v>Europe &gt; United Kingdom &gt; Manchester</v>
      </c>
      <c r="K490" s="3" t="s">
        <v>694</v>
      </c>
      <c r="L490" s="3" t="s">
        <v>701</v>
      </c>
      <c r="M490" s="3" t="s">
        <v>715</v>
      </c>
      <c r="N490" s="3" t="s">
        <v>720</v>
      </c>
      <c r="O490" s="3" t="s">
        <v>1212</v>
      </c>
      <c r="P490" s="6">
        <v>111.02</v>
      </c>
      <c r="Q490" s="6">
        <v>172.88</v>
      </c>
      <c r="R490" s="6" t="str">
        <f t="shared" si="102"/>
        <v>Low</v>
      </c>
      <c r="S490" s="6">
        <v>0.19700000000000001</v>
      </c>
      <c r="T490" s="6">
        <v>29</v>
      </c>
      <c r="U490">
        <f t="shared" si="103"/>
        <v>4025.8565599999993</v>
      </c>
      <c r="V490">
        <f t="shared" si="108"/>
        <v>318099.71739000001</v>
      </c>
      <c r="W490">
        <f t="shared" si="104"/>
        <v>3219.58</v>
      </c>
      <c r="X490" s="6">
        <f t="shared" si="105"/>
        <v>806.27655999999934</v>
      </c>
      <c r="Y490">
        <f t="shared" si="106"/>
        <v>0.20027453735212053</v>
      </c>
      <c r="Z490">
        <v>202405</v>
      </c>
      <c r="AA490" s="18">
        <v>202301</v>
      </c>
      <c r="AB490" t="str">
        <v>May-2023</v>
      </c>
      <c r="AC490">
        <f t="shared" si="107"/>
        <v>16</v>
      </c>
      <c r="AD490" t="str">
        <f t="shared" si="109"/>
        <v>Late</v>
      </c>
      <c r="AE490">
        <f t="shared" si="110"/>
        <v>0</v>
      </c>
      <c r="AF490">
        <f t="shared" si="111"/>
        <v>0</v>
      </c>
    </row>
    <row r="491" spans="1:32" x14ac:dyDescent="0.25">
      <c r="A491" s="3" t="s">
        <v>495</v>
      </c>
      <c r="B491" s="4">
        <v>45792</v>
      </c>
      <c r="C491" s="4" t="str">
        <f t="shared" si="98"/>
        <v>May-2025</v>
      </c>
      <c r="D491" s="4" t="str">
        <f t="shared" si="99"/>
        <v>Q2</v>
      </c>
      <c r="E491" s="4">
        <v>45813</v>
      </c>
      <c r="F491" s="10">
        <f t="shared" si="100"/>
        <v>21</v>
      </c>
      <c r="G491" s="3" t="s">
        <v>639</v>
      </c>
      <c r="H491" s="3" t="s">
        <v>644</v>
      </c>
      <c r="I491" s="3" t="s">
        <v>658</v>
      </c>
      <c r="J491" t="str">
        <f t="shared" si="101"/>
        <v>Asia &gt; Japan &gt; Osaka</v>
      </c>
      <c r="K491" s="3" t="s">
        <v>698</v>
      </c>
      <c r="L491" s="3" t="s">
        <v>703</v>
      </c>
      <c r="M491" s="3" t="s">
        <v>714</v>
      </c>
      <c r="N491" s="3" t="s">
        <v>722</v>
      </c>
      <c r="O491" s="3" t="s">
        <v>1213</v>
      </c>
      <c r="P491" s="6">
        <v>1466.5</v>
      </c>
      <c r="Q491" s="6">
        <v>2778.74</v>
      </c>
      <c r="R491" s="6" t="str">
        <f t="shared" si="102"/>
        <v>High</v>
      </c>
      <c r="S491" s="6">
        <v>0.13500000000000001</v>
      </c>
      <c r="T491" s="6">
        <v>4</v>
      </c>
      <c r="U491">
        <f t="shared" si="103"/>
        <v>9614.4403999999995</v>
      </c>
      <c r="V491">
        <f t="shared" si="108"/>
        <v>318099.71739000001</v>
      </c>
      <c r="W491">
        <f t="shared" si="104"/>
        <v>5866</v>
      </c>
      <c r="X491" s="6">
        <f t="shared" si="105"/>
        <v>3748.4403999999995</v>
      </c>
      <c r="Y491">
        <f t="shared" si="106"/>
        <v>0.38987608680792279</v>
      </c>
      <c r="Z491">
        <v>202505</v>
      </c>
      <c r="AA491" s="18">
        <v>202303</v>
      </c>
      <c r="AB491" t="str">
        <v>May-2023</v>
      </c>
      <c r="AC491">
        <f t="shared" si="107"/>
        <v>26</v>
      </c>
      <c r="AD491" t="str">
        <f t="shared" si="109"/>
        <v>Late</v>
      </c>
      <c r="AE491">
        <f t="shared" si="110"/>
        <v>0</v>
      </c>
      <c r="AF491">
        <f t="shared" si="111"/>
        <v>0</v>
      </c>
    </row>
    <row r="492" spans="1:32" x14ac:dyDescent="0.25">
      <c r="A492" s="3" t="s">
        <v>496</v>
      </c>
      <c r="B492" s="4">
        <v>45403</v>
      </c>
      <c r="C492" s="4" t="str">
        <f t="shared" si="98"/>
        <v>Apr-2024</v>
      </c>
      <c r="D492" s="4" t="str">
        <f t="shared" si="99"/>
        <v>Q2</v>
      </c>
      <c r="E492" s="4">
        <v>45431</v>
      </c>
      <c r="F492" s="10">
        <f t="shared" si="100"/>
        <v>28</v>
      </c>
      <c r="G492" s="3" t="s">
        <v>638</v>
      </c>
      <c r="H492" s="3" t="s">
        <v>643</v>
      </c>
      <c r="I492" s="3" t="s">
        <v>657</v>
      </c>
      <c r="J492" t="str">
        <f t="shared" si="101"/>
        <v>Africa &gt; Nigeria &gt; Lagos</v>
      </c>
      <c r="K492" s="3" t="s">
        <v>693</v>
      </c>
      <c r="L492" s="3" t="s">
        <v>702</v>
      </c>
      <c r="M492" s="3" t="s">
        <v>712</v>
      </c>
      <c r="N492" s="3" t="s">
        <v>725</v>
      </c>
      <c r="O492" s="3" t="s">
        <v>1214</v>
      </c>
      <c r="P492" s="6">
        <v>187.22</v>
      </c>
      <c r="Q492" s="6">
        <v>309.47000000000003</v>
      </c>
      <c r="R492" s="6" t="str">
        <f t="shared" si="102"/>
        <v>Low</v>
      </c>
      <c r="S492" s="6">
        <v>0</v>
      </c>
      <c r="T492" s="6">
        <v>5</v>
      </c>
      <c r="U492">
        <f t="shared" si="103"/>
        <v>1547.3500000000001</v>
      </c>
      <c r="V492">
        <f t="shared" si="108"/>
        <v>318099.71739000001</v>
      </c>
      <c r="W492">
        <f t="shared" si="104"/>
        <v>936.1</v>
      </c>
      <c r="X492" s="6">
        <f t="shared" si="105"/>
        <v>611.25000000000011</v>
      </c>
      <c r="Y492">
        <f t="shared" si="106"/>
        <v>0.39503021294471197</v>
      </c>
      <c r="Z492">
        <v>202404</v>
      </c>
      <c r="AA492" s="18">
        <v>202301</v>
      </c>
      <c r="AB492" t="str">
        <v>Apr-2023</v>
      </c>
      <c r="AC492">
        <f t="shared" si="107"/>
        <v>15</v>
      </c>
      <c r="AD492" t="str">
        <f t="shared" si="109"/>
        <v>Late</v>
      </c>
      <c r="AE492">
        <f t="shared" si="110"/>
        <v>0</v>
      </c>
      <c r="AF492">
        <f t="shared" si="111"/>
        <v>0</v>
      </c>
    </row>
    <row r="493" spans="1:32" x14ac:dyDescent="0.25">
      <c r="A493" s="3" t="s">
        <v>497</v>
      </c>
      <c r="B493" s="4">
        <v>45523</v>
      </c>
      <c r="C493" s="4" t="str">
        <f t="shared" si="98"/>
        <v>Aug-2024</v>
      </c>
      <c r="D493" s="4" t="str">
        <f t="shared" si="99"/>
        <v>Q3</v>
      </c>
      <c r="E493" s="4">
        <v>45542</v>
      </c>
      <c r="F493" s="10">
        <f t="shared" si="100"/>
        <v>19</v>
      </c>
      <c r="G493" s="3" t="s">
        <v>641</v>
      </c>
      <c r="H493" s="3" t="s">
        <v>649</v>
      </c>
      <c r="I493" s="3" t="s">
        <v>671</v>
      </c>
      <c r="J493" t="str">
        <f t="shared" si="101"/>
        <v>Europe &gt; France &gt; Lyon</v>
      </c>
      <c r="K493" s="3" t="s">
        <v>693</v>
      </c>
      <c r="L493" s="3" t="s">
        <v>703</v>
      </c>
      <c r="M493" s="3" t="s">
        <v>705</v>
      </c>
      <c r="N493" s="3" t="s">
        <v>719</v>
      </c>
      <c r="O493" s="3" t="s">
        <v>1215</v>
      </c>
      <c r="P493" s="6">
        <v>297.58999999999997</v>
      </c>
      <c r="Q493" s="6">
        <v>666.41</v>
      </c>
      <c r="R493" s="6" t="str">
        <f t="shared" si="102"/>
        <v>Low</v>
      </c>
      <c r="S493" s="6">
        <v>0</v>
      </c>
      <c r="T493" s="6">
        <v>10</v>
      </c>
      <c r="U493">
        <f t="shared" si="103"/>
        <v>6664.0999999999995</v>
      </c>
      <c r="V493">
        <f t="shared" si="108"/>
        <v>318099.71739000001</v>
      </c>
      <c r="W493">
        <f t="shared" si="104"/>
        <v>2975.8999999999996</v>
      </c>
      <c r="X493" s="6">
        <f t="shared" si="105"/>
        <v>3688.2</v>
      </c>
      <c r="Y493">
        <f t="shared" si="106"/>
        <v>0.55344307558409989</v>
      </c>
      <c r="Z493">
        <v>202408</v>
      </c>
      <c r="AA493" s="18">
        <v>202301</v>
      </c>
      <c r="AB493" t="str">
        <v>Aug-2023</v>
      </c>
      <c r="AC493">
        <f t="shared" si="107"/>
        <v>19</v>
      </c>
      <c r="AD493" t="str">
        <f t="shared" si="109"/>
        <v>Late</v>
      </c>
      <c r="AE493">
        <f t="shared" si="110"/>
        <v>0</v>
      </c>
      <c r="AF493">
        <f t="shared" si="111"/>
        <v>0</v>
      </c>
    </row>
    <row r="494" spans="1:32" x14ac:dyDescent="0.25">
      <c r="A494" s="3" t="s">
        <v>498</v>
      </c>
      <c r="B494" s="4">
        <v>45861</v>
      </c>
      <c r="C494" s="4" t="str">
        <f t="shared" si="98"/>
        <v>Jul-2025</v>
      </c>
      <c r="D494" s="4" t="str">
        <f t="shared" si="99"/>
        <v>Q3</v>
      </c>
      <c r="E494" s="4">
        <v>45888</v>
      </c>
      <c r="F494" s="10">
        <f t="shared" si="100"/>
        <v>27</v>
      </c>
      <c r="G494" s="3" t="s">
        <v>639</v>
      </c>
      <c r="H494" s="3" t="s">
        <v>644</v>
      </c>
      <c r="I494" s="3" t="s">
        <v>686</v>
      </c>
      <c r="J494" t="str">
        <f t="shared" si="101"/>
        <v>Asia &gt; Japan &gt; Nagoya</v>
      </c>
      <c r="K494" s="3" t="s">
        <v>696</v>
      </c>
      <c r="L494" s="3" t="s">
        <v>701</v>
      </c>
      <c r="M494" s="3" t="s">
        <v>709</v>
      </c>
      <c r="N494" s="3" t="s">
        <v>725</v>
      </c>
      <c r="O494" s="3" t="s">
        <v>1216</v>
      </c>
      <c r="P494" s="6">
        <v>896.09</v>
      </c>
      <c r="Q494" s="6">
        <v>744.27</v>
      </c>
      <c r="R494" s="6" t="str">
        <f t="shared" si="102"/>
        <v>Medium</v>
      </c>
      <c r="S494" s="6">
        <v>8.3000000000000004E-2</v>
      </c>
      <c r="T494" s="6">
        <v>11</v>
      </c>
      <c r="U494">
        <f t="shared" si="103"/>
        <v>7507.4514899999995</v>
      </c>
      <c r="V494">
        <f t="shared" si="108"/>
        <v>311435.61738999997</v>
      </c>
      <c r="W494">
        <f t="shared" si="104"/>
        <v>9856.99</v>
      </c>
      <c r="X494" s="6">
        <f t="shared" si="105"/>
        <v>-2349.5385100000003</v>
      </c>
      <c r="Y494">
        <f t="shared" si="106"/>
        <v>-0.31296086469950679</v>
      </c>
      <c r="Z494">
        <v>202507</v>
      </c>
      <c r="AA494" s="18">
        <v>202303</v>
      </c>
      <c r="AB494" t="str">
        <v>Jul-2023</v>
      </c>
      <c r="AC494">
        <f t="shared" si="107"/>
        <v>28</v>
      </c>
      <c r="AD494" t="str">
        <f t="shared" si="109"/>
        <v>Late</v>
      </c>
      <c r="AE494">
        <f t="shared" si="110"/>
        <v>0</v>
      </c>
      <c r="AF494">
        <f t="shared" si="111"/>
        <v>0</v>
      </c>
    </row>
    <row r="495" spans="1:32" x14ac:dyDescent="0.25">
      <c r="A495" s="3" t="s">
        <v>499</v>
      </c>
      <c r="B495" s="4">
        <v>45352</v>
      </c>
      <c r="C495" s="4" t="str">
        <f t="shared" si="98"/>
        <v>Mar-2024</v>
      </c>
      <c r="D495" s="4" t="str">
        <f t="shared" si="99"/>
        <v>Q1</v>
      </c>
      <c r="E495" s="4">
        <v>45353</v>
      </c>
      <c r="F495" s="10">
        <f t="shared" si="100"/>
        <v>1</v>
      </c>
      <c r="G495" s="3" t="s">
        <v>640</v>
      </c>
      <c r="H495" s="3" t="s">
        <v>647</v>
      </c>
      <c r="I495" s="3" t="s">
        <v>662</v>
      </c>
      <c r="J495" t="str">
        <f t="shared" si="101"/>
        <v>Americas &gt; Brazil &gt; São Paulo</v>
      </c>
      <c r="K495" s="3" t="s">
        <v>695</v>
      </c>
      <c r="L495" s="3" t="s">
        <v>703</v>
      </c>
      <c r="M495" s="3" t="s">
        <v>706</v>
      </c>
      <c r="N495" s="3" t="s">
        <v>722</v>
      </c>
      <c r="O495" s="3" t="s">
        <v>1217</v>
      </c>
      <c r="P495" s="6">
        <v>5.34</v>
      </c>
      <c r="Q495" s="6">
        <v>12.69</v>
      </c>
      <c r="R495" s="6" t="str">
        <f t="shared" si="102"/>
        <v>Low</v>
      </c>
      <c r="S495" s="6">
        <v>0.13200000000000001</v>
      </c>
      <c r="T495" s="6">
        <v>10</v>
      </c>
      <c r="U495">
        <f t="shared" si="103"/>
        <v>110.14919999999999</v>
      </c>
      <c r="V495">
        <f t="shared" si="108"/>
        <v>311435.61738999997</v>
      </c>
      <c r="W495">
        <f t="shared" si="104"/>
        <v>53.4</v>
      </c>
      <c r="X495" s="6">
        <f t="shared" si="105"/>
        <v>56.749199999999995</v>
      </c>
      <c r="Y495">
        <f t="shared" si="106"/>
        <v>0.51520301554618642</v>
      </c>
      <c r="Z495">
        <v>202403</v>
      </c>
      <c r="AA495" s="18">
        <v>202301</v>
      </c>
      <c r="AB495" t="str">
        <v>Mar-2023</v>
      </c>
      <c r="AC495">
        <f t="shared" si="107"/>
        <v>14</v>
      </c>
      <c r="AD495" t="str">
        <f t="shared" si="109"/>
        <v>On Time</v>
      </c>
      <c r="AE495">
        <f t="shared" si="110"/>
        <v>1</v>
      </c>
      <c r="AF495">
        <f t="shared" si="111"/>
        <v>0</v>
      </c>
    </row>
    <row r="496" spans="1:32" x14ac:dyDescent="0.25">
      <c r="A496" s="3" t="s">
        <v>500</v>
      </c>
      <c r="B496" s="4">
        <v>45439</v>
      </c>
      <c r="C496" s="4" t="str">
        <f t="shared" si="98"/>
        <v>May-2024</v>
      </c>
      <c r="D496" s="4" t="str">
        <f t="shared" si="99"/>
        <v>Q2</v>
      </c>
      <c r="E496" s="4">
        <v>45460</v>
      </c>
      <c r="F496" s="10">
        <f t="shared" si="100"/>
        <v>21</v>
      </c>
      <c r="G496" s="3" t="s">
        <v>639</v>
      </c>
      <c r="H496" s="3" t="s">
        <v>646</v>
      </c>
      <c r="I496" s="3" t="s">
        <v>672</v>
      </c>
      <c r="J496" t="str">
        <f t="shared" si="101"/>
        <v>Asia &gt; India &gt; Delhi</v>
      </c>
      <c r="K496" s="3" t="s">
        <v>697</v>
      </c>
      <c r="L496" s="3" t="s">
        <v>700</v>
      </c>
      <c r="M496" s="3" t="s">
        <v>714</v>
      </c>
      <c r="N496" s="3" t="s">
        <v>725</v>
      </c>
      <c r="O496" s="3" t="s">
        <v>1218</v>
      </c>
      <c r="P496" s="6">
        <v>465.02</v>
      </c>
      <c r="Q496" s="6">
        <v>651.55999999999995</v>
      </c>
      <c r="R496" s="6" t="str">
        <f t="shared" si="102"/>
        <v>Low</v>
      </c>
      <c r="S496" s="6">
        <v>4.2000000000000003E-2</v>
      </c>
      <c r="T496" s="6">
        <v>19</v>
      </c>
      <c r="U496">
        <f t="shared" si="103"/>
        <v>11859.695119999998</v>
      </c>
      <c r="V496">
        <f t="shared" si="108"/>
        <v>311435.61738999997</v>
      </c>
      <c r="W496">
        <f t="shared" si="104"/>
        <v>8835.3799999999992</v>
      </c>
      <c r="X496" s="6">
        <f t="shared" si="105"/>
        <v>3024.3151199999993</v>
      </c>
      <c r="Y496">
        <f t="shared" si="106"/>
        <v>0.25500783025187918</v>
      </c>
      <c r="Z496">
        <v>202405</v>
      </c>
      <c r="AA496" s="18">
        <v>202301</v>
      </c>
      <c r="AB496" t="str">
        <v>May-2023</v>
      </c>
      <c r="AC496">
        <f t="shared" si="107"/>
        <v>16</v>
      </c>
      <c r="AD496" t="str">
        <f t="shared" si="109"/>
        <v>Late</v>
      </c>
      <c r="AE496">
        <f t="shared" si="110"/>
        <v>0</v>
      </c>
      <c r="AF496">
        <f t="shared" si="111"/>
        <v>0</v>
      </c>
    </row>
    <row r="497" spans="1:32" x14ac:dyDescent="0.25">
      <c r="A497" s="3" t="s">
        <v>501</v>
      </c>
      <c r="B497" s="4">
        <v>45508</v>
      </c>
      <c r="C497" s="4" t="str">
        <f t="shared" si="98"/>
        <v>Aug-2024</v>
      </c>
      <c r="D497" s="4" t="str">
        <f t="shared" si="99"/>
        <v>Q3</v>
      </c>
      <c r="E497" s="4">
        <v>45521</v>
      </c>
      <c r="F497" s="10">
        <f t="shared" si="100"/>
        <v>13</v>
      </c>
      <c r="G497" s="3" t="s">
        <v>640</v>
      </c>
      <c r="H497" s="3" t="s">
        <v>652</v>
      </c>
      <c r="I497" s="3" t="s">
        <v>689</v>
      </c>
      <c r="J497" t="str">
        <f t="shared" si="101"/>
        <v>Americas &gt; USA &gt; Austin</v>
      </c>
      <c r="K497" s="3" t="s">
        <v>696</v>
      </c>
      <c r="L497" s="3" t="s">
        <v>699</v>
      </c>
      <c r="M497" s="3" t="s">
        <v>718</v>
      </c>
      <c r="N497" s="3" t="s">
        <v>724</v>
      </c>
      <c r="O497" s="3" t="s">
        <v>1219</v>
      </c>
      <c r="P497" s="6">
        <v>352.79</v>
      </c>
      <c r="Q497" s="6">
        <v>754.22</v>
      </c>
      <c r="R497" s="6" t="str">
        <f t="shared" si="102"/>
        <v>Low</v>
      </c>
      <c r="S497" s="6">
        <v>0.113</v>
      </c>
      <c r="T497" s="6">
        <v>7</v>
      </c>
      <c r="U497">
        <f t="shared" si="103"/>
        <v>4682.9519799999998</v>
      </c>
      <c r="V497">
        <f t="shared" si="108"/>
        <v>311435.61738999997</v>
      </c>
      <c r="W497">
        <f t="shared" si="104"/>
        <v>2469.5300000000002</v>
      </c>
      <c r="X497" s="6">
        <f t="shared" si="105"/>
        <v>2213.4219799999996</v>
      </c>
      <c r="Y497">
        <f t="shared" si="106"/>
        <v>0.47265528014233443</v>
      </c>
      <c r="Z497">
        <v>202408</v>
      </c>
      <c r="AA497" s="18">
        <v>202301</v>
      </c>
      <c r="AB497" t="str">
        <v>Aug-2023</v>
      </c>
      <c r="AC497">
        <f t="shared" si="107"/>
        <v>19</v>
      </c>
      <c r="AD497" t="str">
        <f t="shared" si="109"/>
        <v>Late</v>
      </c>
      <c r="AE497">
        <f t="shared" si="110"/>
        <v>0</v>
      </c>
      <c r="AF497">
        <f t="shared" si="111"/>
        <v>0</v>
      </c>
    </row>
    <row r="498" spans="1:32" x14ac:dyDescent="0.25">
      <c r="A498" s="3" t="s">
        <v>502</v>
      </c>
      <c r="B498" s="4">
        <v>45097</v>
      </c>
      <c r="C498" s="4" t="str">
        <f t="shared" si="98"/>
        <v>Jun-2023</v>
      </c>
      <c r="D498" s="4" t="str">
        <f t="shared" si="99"/>
        <v>Q2</v>
      </c>
      <c r="E498" s="4">
        <v>45111</v>
      </c>
      <c r="F498" s="10">
        <f t="shared" si="100"/>
        <v>14</v>
      </c>
      <c r="G498" s="3" t="s">
        <v>640</v>
      </c>
      <c r="H498" s="3" t="s">
        <v>647</v>
      </c>
      <c r="I498" s="3" t="s">
        <v>664</v>
      </c>
      <c r="J498" t="str">
        <f t="shared" si="101"/>
        <v>Americas &gt; Brazil &gt; Brasília</v>
      </c>
      <c r="K498" s="3" t="s">
        <v>695</v>
      </c>
      <c r="L498" s="3" t="s">
        <v>703</v>
      </c>
      <c r="M498" s="3" t="s">
        <v>704</v>
      </c>
      <c r="N498" s="3" t="s">
        <v>721</v>
      </c>
      <c r="O498" s="3" t="s">
        <v>1220</v>
      </c>
      <c r="P498" s="6">
        <v>1292.8599999999999</v>
      </c>
      <c r="Q498" s="6">
        <v>2981.01</v>
      </c>
      <c r="R498" s="6" t="str">
        <f t="shared" si="102"/>
        <v>High</v>
      </c>
      <c r="S498" s="6">
        <v>0.14199999999999999</v>
      </c>
      <c r="T498" s="6">
        <v>12</v>
      </c>
      <c r="U498">
        <f t="shared" si="103"/>
        <v>30692.47896</v>
      </c>
      <c r="V498">
        <f t="shared" si="108"/>
        <v>311435.61738999997</v>
      </c>
      <c r="W498">
        <f t="shared" si="104"/>
        <v>15514.32</v>
      </c>
      <c r="X498" s="6">
        <f t="shared" si="105"/>
        <v>15178.158960000001</v>
      </c>
      <c r="Y498">
        <f t="shared" si="106"/>
        <v>0.49452372288927687</v>
      </c>
      <c r="Z498">
        <v>202306</v>
      </c>
      <c r="AA498" s="18">
        <v>202301</v>
      </c>
      <c r="AB498" t="str">
        <v>Jun-2023</v>
      </c>
      <c r="AC498">
        <f t="shared" si="107"/>
        <v>5</v>
      </c>
      <c r="AD498" t="str">
        <f t="shared" si="109"/>
        <v>Late</v>
      </c>
      <c r="AE498">
        <f t="shared" si="110"/>
        <v>0</v>
      </c>
      <c r="AF498">
        <f t="shared" si="111"/>
        <v>0</v>
      </c>
    </row>
    <row r="499" spans="1:32" x14ac:dyDescent="0.25">
      <c r="A499" s="3" t="s">
        <v>503</v>
      </c>
      <c r="B499" s="4">
        <v>45544</v>
      </c>
      <c r="C499" s="4" t="str">
        <f t="shared" si="98"/>
        <v>Sept-2024</v>
      </c>
      <c r="D499" s="4" t="str">
        <f t="shared" si="99"/>
        <v>Q3</v>
      </c>
      <c r="E499" s="4">
        <v>45548</v>
      </c>
      <c r="F499" s="10">
        <f t="shared" si="100"/>
        <v>4</v>
      </c>
      <c r="G499" s="3" t="s">
        <v>641</v>
      </c>
      <c r="H499" s="3" t="s">
        <v>650</v>
      </c>
      <c r="I499" s="3" t="s">
        <v>675</v>
      </c>
      <c r="J499" t="str">
        <f t="shared" si="101"/>
        <v>Europe &gt; United Kingdom &gt; London</v>
      </c>
      <c r="K499" s="3" t="s">
        <v>696</v>
      </c>
      <c r="L499" s="3" t="s">
        <v>701</v>
      </c>
      <c r="M499" s="3" t="s">
        <v>713</v>
      </c>
      <c r="N499" s="3" t="s">
        <v>721</v>
      </c>
      <c r="O499" s="3" t="s">
        <v>1221</v>
      </c>
      <c r="P499" s="6">
        <v>1133.08</v>
      </c>
      <c r="Q499" s="6">
        <v>976.17</v>
      </c>
      <c r="R499" s="6" t="str">
        <f t="shared" si="102"/>
        <v>High</v>
      </c>
      <c r="S499" s="6">
        <v>4.2000000000000003E-2</v>
      </c>
      <c r="T499" s="6">
        <v>27</v>
      </c>
      <c r="U499">
        <f t="shared" si="103"/>
        <v>25249.613219999999</v>
      </c>
      <c r="V499">
        <f t="shared" si="108"/>
        <v>311435.61738999997</v>
      </c>
      <c r="W499">
        <f t="shared" si="104"/>
        <v>30593.159999999996</v>
      </c>
      <c r="X499" s="6">
        <f t="shared" si="105"/>
        <v>-5343.5467799999969</v>
      </c>
      <c r="Y499">
        <f t="shared" si="106"/>
        <v>-0.21162885678452373</v>
      </c>
      <c r="Z499">
        <v>202409</v>
      </c>
      <c r="AA499" s="18">
        <v>202301</v>
      </c>
      <c r="AB499" t="str">
        <v>Sept-2023</v>
      </c>
      <c r="AC499">
        <f t="shared" si="107"/>
        <v>20</v>
      </c>
      <c r="AD499" t="str">
        <f t="shared" si="109"/>
        <v>On Time</v>
      </c>
      <c r="AE499">
        <f t="shared" si="110"/>
        <v>1</v>
      </c>
      <c r="AF499">
        <f t="shared" si="111"/>
        <v>0</v>
      </c>
    </row>
    <row r="500" spans="1:32" x14ac:dyDescent="0.25">
      <c r="A500" s="3" t="s">
        <v>504</v>
      </c>
      <c r="B500" s="4">
        <v>45224</v>
      </c>
      <c r="C500" s="4" t="str">
        <f t="shared" si="98"/>
        <v>Oct-2023</v>
      </c>
      <c r="D500" s="4" t="str">
        <f t="shared" si="99"/>
        <v>Q4</v>
      </c>
      <c r="E500" s="4">
        <v>45227</v>
      </c>
      <c r="F500" s="10">
        <f t="shared" si="100"/>
        <v>3</v>
      </c>
      <c r="G500" s="3" t="s">
        <v>640</v>
      </c>
      <c r="H500" s="3" t="s">
        <v>647</v>
      </c>
      <c r="I500" s="3" t="s">
        <v>664</v>
      </c>
      <c r="J500" t="str">
        <f t="shared" si="101"/>
        <v>Americas &gt; Brazil &gt; Brasília</v>
      </c>
      <c r="K500" s="3" t="s">
        <v>693</v>
      </c>
      <c r="L500" s="3" t="s">
        <v>702</v>
      </c>
      <c r="M500" s="3" t="s">
        <v>708</v>
      </c>
      <c r="N500" s="3" t="s">
        <v>725</v>
      </c>
      <c r="O500" s="3" t="s">
        <v>1222</v>
      </c>
      <c r="P500" s="6">
        <v>509.31</v>
      </c>
      <c r="Q500" s="6">
        <v>1145.9000000000001</v>
      </c>
      <c r="R500" s="6" t="str">
        <f t="shared" si="102"/>
        <v>Medium</v>
      </c>
      <c r="S500" s="6">
        <v>5.7000000000000002E-2</v>
      </c>
      <c r="T500" s="6">
        <v>8</v>
      </c>
      <c r="U500">
        <f t="shared" si="103"/>
        <v>8644.6696000000011</v>
      </c>
      <c r="V500">
        <f t="shared" si="108"/>
        <v>311435.61738999997</v>
      </c>
      <c r="W500">
        <f t="shared" si="104"/>
        <v>4074.48</v>
      </c>
      <c r="X500" s="6">
        <f t="shared" si="105"/>
        <v>4570.1896000000015</v>
      </c>
      <c r="Y500">
        <f t="shared" si="106"/>
        <v>0.52867140231709964</v>
      </c>
      <c r="Z500">
        <v>202310</v>
      </c>
      <c r="AA500" s="18">
        <v>202301</v>
      </c>
      <c r="AB500" t="str">
        <v>Oct-2023</v>
      </c>
      <c r="AC500">
        <f t="shared" si="107"/>
        <v>9</v>
      </c>
      <c r="AD500" t="str">
        <f t="shared" si="109"/>
        <v>On Time</v>
      </c>
      <c r="AE500">
        <f t="shared" si="110"/>
        <v>1</v>
      </c>
      <c r="AF500">
        <f t="shared" si="111"/>
        <v>0</v>
      </c>
    </row>
    <row r="501" spans="1:32" x14ac:dyDescent="0.25">
      <c r="A501" s="3" t="s">
        <v>505</v>
      </c>
      <c r="B501" s="4">
        <v>45908</v>
      </c>
      <c r="C501" s="4" t="str">
        <f t="shared" si="98"/>
        <v>Sept-2025</v>
      </c>
      <c r="D501" s="4" t="str">
        <f t="shared" si="99"/>
        <v>Q3</v>
      </c>
      <c r="E501" s="4">
        <v>45935</v>
      </c>
      <c r="F501" s="10">
        <f t="shared" si="100"/>
        <v>27</v>
      </c>
      <c r="G501" s="3" t="s">
        <v>640</v>
      </c>
      <c r="H501" s="3" t="s">
        <v>647</v>
      </c>
      <c r="I501" s="3" t="s">
        <v>684</v>
      </c>
      <c r="J501" t="str">
        <f t="shared" si="101"/>
        <v>Americas &gt; Brazil &gt; Rio de Janeiro</v>
      </c>
      <c r="K501" s="3" t="s">
        <v>694</v>
      </c>
      <c r="L501" s="3" t="s">
        <v>700</v>
      </c>
      <c r="M501" s="3" t="s">
        <v>704</v>
      </c>
      <c r="N501" s="3" t="s">
        <v>724</v>
      </c>
      <c r="O501" s="3" t="s">
        <v>1223</v>
      </c>
      <c r="P501" s="6">
        <v>660.78</v>
      </c>
      <c r="Q501" s="6">
        <v>1630.39</v>
      </c>
      <c r="R501" s="6" t="str">
        <f t="shared" si="102"/>
        <v>Medium</v>
      </c>
      <c r="S501" s="6">
        <v>0.218</v>
      </c>
      <c r="T501" s="6">
        <v>13</v>
      </c>
      <c r="U501">
        <f t="shared" si="103"/>
        <v>16574.544740000001</v>
      </c>
      <c r="V501">
        <f t="shared" si="108"/>
        <v>311435.61738999997</v>
      </c>
      <c r="W501">
        <f t="shared" si="104"/>
        <v>8590.14</v>
      </c>
      <c r="X501" s="6">
        <f t="shared" si="105"/>
        <v>7984.4047400000018</v>
      </c>
      <c r="Y501">
        <f t="shared" si="106"/>
        <v>0.48172694123724097</v>
      </c>
      <c r="Z501">
        <v>202509</v>
      </c>
      <c r="AA501" s="18">
        <v>202301</v>
      </c>
      <c r="AB501" t="str">
        <v>Sept-2023</v>
      </c>
      <c r="AC501">
        <f t="shared" si="107"/>
        <v>32</v>
      </c>
      <c r="AD501" t="str">
        <f t="shared" si="109"/>
        <v>Late</v>
      </c>
      <c r="AE501">
        <f t="shared" si="110"/>
        <v>0</v>
      </c>
      <c r="AF501">
        <f t="shared" si="111"/>
        <v>1</v>
      </c>
    </row>
    <row r="502" spans="1:32" x14ac:dyDescent="0.25">
      <c r="A502" s="3" t="s">
        <v>506</v>
      </c>
      <c r="B502" s="4">
        <v>45048</v>
      </c>
      <c r="C502" s="4" t="str">
        <f t="shared" si="98"/>
        <v>May-2023</v>
      </c>
      <c r="D502" s="4" t="str">
        <f t="shared" si="99"/>
        <v>Q2</v>
      </c>
      <c r="E502" s="4">
        <v>45062</v>
      </c>
      <c r="F502" s="10">
        <f t="shared" si="100"/>
        <v>14</v>
      </c>
      <c r="G502" s="3" t="s">
        <v>639</v>
      </c>
      <c r="H502" s="3" t="s">
        <v>646</v>
      </c>
      <c r="I502" s="3" t="s">
        <v>660</v>
      </c>
      <c r="J502" t="str">
        <f t="shared" si="101"/>
        <v>Asia &gt; India &gt; Bengaluru</v>
      </c>
      <c r="K502" s="3" t="s">
        <v>695</v>
      </c>
      <c r="L502" s="3" t="s">
        <v>699</v>
      </c>
      <c r="M502" s="3" t="s">
        <v>708</v>
      </c>
      <c r="N502" s="3" t="s">
        <v>724</v>
      </c>
      <c r="O502" s="3" t="s">
        <v>1224</v>
      </c>
      <c r="P502" s="6">
        <v>475.37</v>
      </c>
      <c r="Q502" s="6">
        <v>963.73</v>
      </c>
      <c r="R502" s="6" t="str">
        <f t="shared" si="102"/>
        <v>Low</v>
      </c>
      <c r="S502" s="6">
        <v>4.1000000000000002E-2</v>
      </c>
      <c r="T502" s="6">
        <v>22</v>
      </c>
      <c r="U502">
        <f t="shared" si="103"/>
        <v>20332.775539999999</v>
      </c>
      <c r="V502">
        <f t="shared" si="108"/>
        <v>311435.61738999997</v>
      </c>
      <c r="W502">
        <f t="shared" si="104"/>
        <v>10458.14</v>
      </c>
      <c r="X502" s="6">
        <f t="shared" si="105"/>
        <v>9874.6355399999993</v>
      </c>
      <c r="Y502">
        <f t="shared" si="106"/>
        <v>0.48565113604750881</v>
      </c>
      <c r="Z502">
        <v>202305</v>
      </c>
      <c r="AA502" s="18">
        <v>202301</v>
      </c>
      <c r="AB502" t="str">
        <v>May-2023</v>
      </c>
      <c r="AC502">
        <f t="shared" si="107"/>
        <v>4</v>
      </c>
      <c r="AD502" t="str">
        <f t="shared" si="109"/>
        <v>Late</v>
      </c>
      <c r="AE502">
        <f t="shared" si="110"/>
        <v>0</v>
      </c>
      <c r="AF502">
        <f t="shared" si="111"/>
        <v>0</v>
      </c>
    </row>
    <row r="503" spans="1:32" x14ac:dyDescent="0.25">
      <c r="A503" s="3" t="s">
        <v>507</v>
      </c>
      <c r="B503" s="4">
        <v>45408</v>
      </c>
      <c r="C503" s="4" t="str">
        <f t="shared" si="98"/>
        <v>Apr-2024</v>
      </c>
      <c r="D503" s="4" t="str">
        <f t="shared" si="99"/>
        <v>Q2</v>
      </c>
      <c r="E503" s="4">
        <v>45410</v>
      </c>
      <c r="F503" s="10">
        <f t="shared" si="100"/>
        <v>2</v>
      </c>
      <c r="G503" s="3" t="s">
        <v>641</v>
      </c>
      <c r="H503" s="3" t="s">
        <v>650</v>
      </c>
      <c r="I503" s="3" t="s">
        <v>675</v>
      </c>
      <c r="J503" t="str">
        <f t="shared" si="101"/>
        <v>Europe &gt; United Kingdom &gt; London</v>
      </c>
      <c r="K503" s="3" t="s">
        <v>695</v>
      </c>
      <c r="L503" s="3" t="s">
        <v>702</v>
      </c>
      <c r="M503" s="3" t="s">
        <v>717</v>
      </c>
      <c r="N503" s="3" t="s">
        <v>722</v>
      </c>
      <c r="O503" s="3" t="s">
        <v>1225</v>
      </c>
      <c r="P503" s="6">
        <v>1232.77</v>
      </c>
      <c r="Q503" s="6">
        <v>891.73</v>
      </c>
      <c r="R503" s="6" t="str">
        <f t="shared" si="102"/>
        <v>High</v>
      </c>
      <c r="S503" s="6">
        <v>0.16700000000000001</v>
      </c>
      <c r="T503" s="6">
        <v>10</v>
      </c>
      <c r="U503">
        <f t="shared" si="103"/>
        <v>7428.1108999999988</v>
      </c>
      <c r="V503">
        <f t="shared" si="108"/>
        <v>311435.61738999997</v>
      </c>
      <c r="W503">
        <f t="shared" si="104"/>
        <v>12327.7</v>
      </c>
      <c r="X503" s="6">
        <f t="shared" si="105"/>
        <v>-4899.589100000002</v>
      </c>
      <c r="Y503">
        <f t="shared" si="106"/>
        <v>-0.65960096260813805</v>
      </c>
      <c r="Z503">
        <v>202404</v>
      </c>
      <c r="AA503" s="18">
        <v>202301</v>
      </c>
      <c r="AB503" t="str">
        <v>Apr-2023</v>
      </c>
      <c r="AC503">
        <f t="shared" si="107"/>
        <v>15</v>
      </c>
      <c r="AD503" t="str">
        <f t="shared" si="109"/>
        <v>On Time</v>
      </c>
      <c r="AE503">
        <f t="shared" si="110"/>
        <v>1</v>
      </c>
      <c r="AF503">
        <f t="shared" si="111"/>
        <v>0</v>
      </c>
    </row>
    <row r="504" spans="1:32" x14ac:dyDescent="0.25">
      <c r="A504" s="3" t="s">
        <v>508</v>
      </c>
      <c r="B504" s="4">
        <v>44980</v>
      </c>
      <c r="C504" s="4" t="str">
        <f t="shared" si="98"/>
        <v>Feb-2023</v>
      </c>
      <c r="D504" s="4" t="str">
        <f t="shared" si="99"/>
        <v>Q1</v>
      </c>
      <c r="E504" s="4">
        <v>45003</v>
      </c>
      <c r="F504" s="10">
        <f t="shared" si="100"/>
        <v>23</v>
      </c>
      <c r="G504" s="3" t="s">
        <v>639</v>
      </c>
      <c r="H504" s="3" t="s">
        <v>651</v>
      </c>
      <c r="I504" s="3" t="s">
        <v>691</v>
      </c>
      <c r="J504" t="str">
        <f t="shared" si="101"/>
        <v>Asia &gt; China &gt; Beijing</v>
      </c>
      <c r="K504" s="3" t="s">
        <v>694</v>
      </c>
      <c r="L504" s="3" t="s">
        <v>702</v>
      </c>
      <c r="M504" s="3" t="s">
        <v>715</v>
      </c>
      <c r="N504" s="3" t="s">
        <v>720</v>
      </c>
      <c r="O504" s="3" t="s">
        <v>1226</v>
      </c>
      <c r="P504" s="6">
        <v>770.11</v>
      </c>
      <c r="Q504" s="6">
        <v>1667.82</v>
      </c>
      <c r="R504" s="6" t="str">
        <f t="shared" si="102"/>
        <v>Medium</v>
      </c>
      <c r="S504" s="6">
        <v>6.9000000000000006E-2</v>
      </c>
      <c r="T504" s="6">
        <v>7</v>
      </c>
      <c r="U504">
        <f t="shared" si="103"/>
        <v>10869.182940000001</v>
      </c>
      <c r="V504">
        <f t="shared" si="108"/>
        <v>311435.61738999997</v>
      </c>
      <c r="W504">
        <f t="shared" si="104"/>
        <v>5390.77</v>
      </c>
      <c r="X504" s="6">
        <f t="shared" si="105"/>
        <v>5478.4129400000002</v>
      </c>
      <c r="Y504">
        <f t="shared" si="106"/>
        <v>0.50403171703355287</v>
      </c>
      <c r="Z504">
        <v>202302</v>
      </c>
      <c r="AA504" s="18">
        <v>202301</v>
      </c>
      <c r="AB504" t="str">
        <v>Feb-2023</v>
      </c>
      <c r="AC504">
        <f t="shared" si="107"/>
        <v>1</v>
      </c>
      <c r="AD504" t="str">
        <f t="shared" si="109"/>
        <v>Late</v>
      </c>
      <c r="AE504">
        <f t="shared" si="110"/>
        <v>0</v>
      </c>
      <c r="AF504">
        <f t="shared" si="111"/>
        <v>0</v>
      </c>
    </row>
    <row r="505" spans="1:32" x14ac:dyDescent="0.25">
      <c r="A505" s="3" t="s">
        <v>509</v>
      </c>
      <c r="B505" s="4">
        <v>45740</v>
      </c>
      <c r="C505" s="4" t="str">
        <f t="shared" si="98"/>
        <v>Mar-2025</v>
      </c>
      <c r="D505" s="4" t="str">
        <f t="shared" si="99"/>
        <v>Q1</v>
      </c>
      <c r="E505" s="4">
        <v>45741</v>
      </c>
      <c r="F505" s="10">
        <f t="shared" si="100"/>
        <v>1</v>
      </c>
      <c r="G505" s="3" t="s">
        <v>639</v>
      </c>
      <c r="H505" s="3" t="s">
        <v>651</v>
      </c>
      <c r="I505" s="3" t="s">
        <v>691</v>
      </c>
      <c r="J505" t="str">
        <f t="shared" si="101"/>
        <v>Asia &gt; China &gt; Beijing</v>
      </c>
      <c r="K505" s="3" t="s">
        <v>695</v>
      </c>
      <c r="L505" s="3" t="s">
        <v>700</v>
      </c>
      <c r="M505" s="3" t="s">
        <v>707</v>
      </c>
      <c r="N505" s="3" t="s">
        <v>721</v>
      </c>
      <c r="O505" s="3" t="s">
        <v>1227</v>
      </c>
      <c r="P505" s="6">
        <v>1133.03</v>
      </c>
      <c r="Q505" s="6">
        <v>1921.51</v>
      </c>
      <c r="R505" s="6" t="str">
        <f t="shared" si="102"/>
        <v>High</v>
      </c>
      <c r="S505" s="6">
        <v>0.10100000000000001</v>
      </c>
      <c r="T505" s="6">
        <v>5</v>
      </c>
      <c r="U505">
        <f t="shared" si="103"/>
        <v>8637.1874499999994</v>
      </c>
      <c r="V505">
        <f t="shared" si="108"/>
        <v>311435.61738999997</v>
      </c>
      <c r="W505">
        <f t="shared" si="104"/>
        <v>5665.15</v>
      </c>
      <c r="X505" s="6">
        <f t="shared" si="105"/>
        <v>2972.0374499999998</v>
      </c>
      <c r="Y505">
        <f t="shared" si="106"/>
        <v>0.3440978289755654</v>
      </c>
      <c r="Z505">
        <v>202503</v>
      </c>
      <c r="AA505" s="18">
        <v>202301</v>
      </c>
      <c r="AB505" t="str">
        <v>Mar-2023</v>
      </c>
      <c r="AC505">
        <f t="shared" si="107"/>
        <v>26</v>
      </c>
      <c r="AD505" t="str">
        <f t="shared" si="109"/>
        <v>On Time</v>
      </c>
      <c r="AE505">
        <f t="shared" si="110"/>
        <v>1</v>
      </c>
      <c r="AF505">
        <f t="shared" si="111"/>
        <v>0</v>
      </c>
    </row>
    <row r="506" spans="1:32" x14ac:dyDescent="0.25">
      <c r="A506" s="3" t="s">
        <v>510</v>
      </c>
      <c r="B506" s="4">
        <v>45726</v>
      </c>
      <c r="C506" s="4" t="str">
        <f t="shared" si="98"/>
        <v>Mar-2025</v>
      </c>
      <c r="D506" s="4" t="str">
        <f t="shared" si="99"/>
        <v>Q1</v>
      </c>
      <c r="E506" s="4">
        <v>45743</v>
      </c>
      <c r="F506" s="10">
        <f t="shared" si="100"/>
        <v>17</v>
      </c>
      <c r="G506" s="3" t="s">
        <v>640</v>
      </c>
      <c r="H506" s="3" t="s">
        <v>647</v>
      </c>
      <c r="I506" s="3" t="s">
        <v>684</v>
      </c>
      <c r="J506" t="str">
        <f t="shared" si="101"/>
        <v>Americas &gt; Brazil &gt; Rio de Janeiro</v>
      </c>
      <c r="K506" s="3" t="s">
        <v>698</v>
      </c>
      <c r="L506" s="3" t="s">
        <v>703</v>
      </c>
      <c r="M506" s="3" t="s">
        <v>713</v>
      </c>
      <c r="N506" s="3" t="s">
        <v>721</v>
      </c>
      <c r="O506" s="3" t="s">
        <v>1228</v>
      </c>
      <c r="P506" s="6">
        <v>996.73</v>
      </c>
      <c r="Q506" s="6">
        <v>1217.43</v>
      </c>
      <c r="R506" s="6" t="str">
        <f t="shared" si="102"/>
        <v>Medium</v>
      </c>
      <c r="S506" s="6">
        <v>7.0000000000000007E-2</v>
      </c>
      <c r="T506" s="6">
        <v>9</v>
      </c>
      <c r="U506">
        <f t="shared" si="103"/>
        <v>10189.8891</v>
      </c>
      <c r="V506">
        <f t="shared" si="108"/>
        <v>311435.61738999997</v>
      </c>
      <c r="W506">
        <f t="shared" si="104"/>
        <v>8970.57</v>
      </c>
      <c r="X506" s="6">
        <f t="shared" si="105"/>
        <v>1219.3191000000006</v>
      </c>
      <c r="Y506">
        <f t="shared" si="106"/>
        <v>0.11965970267527255</v>
      </c>
      <c r="Z506">
        <v>202503</v>
      </c>
      <c r="AA506" s="18">
        <v>202301</v>
      </c>
      <c r="AB506" t="str">
        <v>Mar-2023</v>
      </c>
      <c r="AC506">
        <f t="shared" si="107"/>
        <v>26</v>
      </c>
      <c r="AD506" t="str">
        <f t="shared" si="109"/>
        <v>Late</v>
      </c>
      <c r="AE506">
        <f t="shared" si="110"/>
        <v>0</v>
      </c>
      <c r="AF506">
        <f t="shared" si="111"/>
        <v>0</v>
      </c>
    </row>
    <row r="507" spans="1:32" x14ac:dyDescent="0.25">
      <c r="A507" s="3" t="s">
        <v>511</v>
      </c>
      <c r="B507" s="4">
        <v>45387</v>
      </c>
      <c r="C507" s="4" t="str">
        <f t="shared" si="98"/>
        <v>Apr-2024</v>
      </c>
      <c r="D507" s="4" t="str">
        <f t="shared" si="99"/>
        <v>Q2</v>
      </c>
      <c r="E507" s="4">
        <v>45391</v>
      </c>
      <c r="F507" s="10">
        <f t="shared" si="100"/>
        <v>4</v>
      </c>
      <c r="G507" s="3" t="s">
        <v>638</v>
      </c>
      <c r="H507" s="3" t="s">
        <v>643</v>
      </c>
      <c r="I507" s="3" t="s">
        <v>657</v>
      </c>
      <c r="J507" t="str">
        <f t="shared" si="101"/>
        <v>Africa &gt; Nigeria &gt; Lagos</v>
      </c>
      <c r="K507" s="3" t="s">
        <v>695</v>
      </c>
      <c r="L507" s="3" t="s">
        <v>703</v>
      </c>
      <c r="M507" s="3" t="s">
        <v>715</v>
      </c>
      <c r="N507" s="3" t="s">
        <v>719</v>
      </c>
      <c r="O507" s="3" t="s">
        <v>1229</v>
      </c>
      <c r="P507" s="6">
        <v>395.07</v>
      </c>
      <c r="Q507" s="6">
        <v>970.27</v>
      </c>
      <c r="R507" s="6" t="str">
        <f t="shared" si="102"/>
        <v>Low</v>
      </c>
      <c r="S507" s="6">
        <v>0.123</v>
      </c>
      <c r="T507" s="6">
        <v>38</v>
      </c>
      <c r="U507">
        <f t="shared" si="103"/>
        <v>32335.21802</v>
      </c>
      <c r="V507">
        <f t="shared" si="108"/>
        <v>311435.61738999997</v>
      </c>
      <c r="W507">
        <f t="shared" si="104"/>
        <v>15012.66</v>
      </c>
      <c r="X507" s="6">
        <f t="shared" si="105"/>
        <v>17322.55802</v>
      </c>
      <c r="Y507">
        <f t="shared" si="106"/>
        <v>0.53571799049833657</v>
      </c>
      <c r="Z507">
        <v>202404</v>
      </c>
      <c r="AA507" s="18">
        <v>202301</v>
      </c>
      <c r="AB507" t="str">
        <v>Apr-2023</v>
      </c>
      <c r="AC507">
        <f t="shared" si="107"/>
        <v>15</v>
      </c>
      <c r="AD507" t="str">
        <f t="shared" si="109"/>
        <v>On Time</v>
      </c>
      <c r="AE507">
        <f t="shared" si="110"/>
        <v>1</v>
      </c>
      <c r="AF507">
        <f t="shared" si="111"/>
        <v>0</v>
      </c>
    </row>
    <row r="508" spans="1:32" x14ac:dyDescent="0.25">
      <c r="A508" s="3" t="s">
        <v>512</v>
      </c>
      <c r="B508" s="4">
        <v>45774</v>
      </c>
      <c r="C508" s="4" t="str">
        <f t="shared" si="98"/>
        <v>Apr-2025</v>
      </c>
      <c r="D508" s="4" t="str">
        <f t="shared" si="99"/>
        <v>Q2</v>
      </c>
      <c r="E508" s="4">
        <v>45794</v>
      </c>
      <c r="F508" s="10">
        <f t="shared" si="100"/>
        <v>20</v>
      </c>
      <c r="G508" s="3" t="s">
        <v>640</v>
      </c>
      <c r="H508" s="3" t="s">
        <v>652</v>
      </c>
      <c r="I508" s="3" t="s">
        <v>689</v>
      </c>
      <c r="J508" t="str">
        <f t="shared" si="101"/>
        <v>Americas &gt; USA &gt; Austin</v>
      </c>
      <c r="K508" s="3" t="s">
        <v>693</v>
      </c>
      <c r="L508" s="3" t="s">
        <v>703</v>
      </c>
      <c r="M508" s="3" t="s">
        <v>717</v>
      </c>
      <c r="N508" s="3" t="s">
        <v>722</v>
      </c>
      <c r="O508" s="3" t="s">
        <v>1230</v>
      </c>
      <c r="P508" s="6">
        <v>932.26</v>
      </c>
      <c r="Q508" s="6">
        <v>1624.67</v>
      </c>
      <c r="R508" s="6" t="str">
        <f t="shared" si="102"/>
        <v>Medium</v>
      </c>
      <c r="S508" s="6">
        <v>0.23499999999999999</v>
      </c>
      <c r="T508" s="6">
        <v>28</v>
      </c>
      <c r="U508">
        <f t="shared" si="103"/>
        <v>34800.431400000001</v>
      </c>
      <c r="V508">
        <f t="shared" si="108"/>
        <v>279100.39937</v>
      </c>
      <c r="W508">
        <f t="shared" si="104"/>
        <v>26103.279999999999</v>
      </c>
      <c r="X508" s="6">
        <f t="shared" si="105"/>
        <v>8697.1514000000025</v>
      </c>
      <c r="Y508">
        <f t="shared" si="106"/>
        <v>0.24991504559337163</v>
      </c>
      <c r="Z508">
        <v>202504</v>
      </c>
      <c r="AA508" s="18">
        <v>202301</v>
      </c>
      <c r="AB508" t="str">
        <v>Apr-2023</v>
      </c>
      <c r="AC508">
        <f t="shared" si="107"/>
        <v>27</v>
      </c>
      <c r="AD508" t="str">
        <f t="shared" si="109"/>
        <v>Late</v>
      </c>
      <c r="AE508">
        <f t="shared" si="110"/>
        <v>0</v>
      </c>
      <c r="AF508">
        <f t="shared" si="111"/>
        <v>1</v>
      </c>
    </row>
    <row r="509" spans="1:32" x14ac:dyDescent="0.25">
      <c r="A509" s="3" t="s">
        <v>513</v>
      </c>
      <c r="B509" s="4">
        <v>45589</v>
      </c>
      <c r="C509" s="4" t="str">
        <f t="shared" si="98"/>
        <v>Oct-2024</v>
      </c>
      <c r="D509" s="4" t="str">
        <f t="shared" si="99"/>
        <v>Q4</v>
      </c>
      <c r="E509" s="4">
        <v>45593</v>
      </c>
      <c r="F509" s="10">
        <f t="shared" si="100"/>
        <v>4</v>
      </c>
      <c r="G509" s="3" t="s">
        <v>639</v>
      </c>
      <c r="H509" s="3" t="s">
        <v>651</v>
      </c>
      <c r="I509" s="3" t="s">
        <v>677</v>
      </c>
      <c r="J509" t="str">
        <f t="shared" si="101"/>
        <v>Asia &gt; China &gt; Shanghai</v>
      </c>
      <c r="K509" s="3" t="s">
        <v>697</v>
      </c>
      <c r="L509" s="3" t="s">
        <v>702</v>
      </c>
      <c r="M509" s="3" t="s">
        <v>706</v>
      </c>
      <c r="N509" s="3" t="s">
        <v>721</v>
      </c>
      <c r="O509" s="3" t="s">
        <v>1231</v>
      </c>
      <c r="P509" s="6">
        <v>1331.77</v>
      </c>
      <c r="Q509" s="6">
        <v>2606.11</v>
      </c>
      <c r="R509" s="6" t="str">
        <f t="shared" si="102"/>
        <v>High</v>
      </c>
      <c r="S509" s="6">
        <v>0.02</v>
      </c>
      <c r="T509" s="6">
        <v>6</v>
      </c>
      <c r="U509">
        <f t="shared" si="103"/>
        <v>15323.926799999999</v>
      </c>
      <c r="V509">
        <f t="shared" si="108"/>
        <v>279100.39937</v>
      </c>
      <c r="W509">
        <f t="shared" si="104"/>
        <v>7990.62</v>
      </c>
      <c r="X509" s="6">
        <f t="shared" si="105"/>
        <v>7333.3067999999994</v>
      </c>
      <c r="Y509">
        <f t="shared" si="106"/>
        <v>0.47855271665745619</v>
      </c>
      <c r="Z509">
        <v>202410</v>
      </c>
      <c r="AA509" s="18">
        <v>202301</v>
      </c>
      <c r="AB509" t="str">
        <v>Oct-2023</v>
      </c>
      <c r="AC509">
        <f t="shared" si="107"/>
        <v>21</v>
      </c>
      <c r="AD509" t="str">
        <f t="shared" si="109"/>
        <v>On Time</v>
      </c>
      <c r="AE509">
        <f t="shared" si="110"/>
        <v>1</v>
      </c>
      <c r="AF509">
        <f t="shared" si="111"/>
        <v>0</v>
      </c>
    </row>
    <row r="510" spans="1:32" x14ac:dyDescent="0.25">
      <c r="A510" s="3" t="s">
        <v>514</v>
      </c>
      <c r="B510" s="4">
        <v>45029</v>
      </c>
      <c r="C510" s="4" t="str">
        <f t="shared" si="98"/>
        <v>Apr-2023</v>
      </c>
      <c r="D510" s="4" t="str">
        <f t="shared" si="99"/>
        <v>Q2</v>
      </c>
      <c r="E510" s="4">
        <v>45036</v>
      </c>
      <c r="F510" s="10">
        <f t="shared" si="100"/>
        <v>7</v>
      </c>
      <c r="G510" s="3" t="s">
        <v>641</v>
      </c>
      <c r="H510" s="3" t="s">
        <v>649</v>
      </c>
      <c r="I510" s="3" t="s">
        <v>671</v>
      </c>
      <c r="J510" t="str">
        <f t="shared" si="101"/>
        <v>Europe &gt; France &gt; Lyon</v>
      </c>
      <c r="K510" s="3" t="s">
        <v>697</v>
      </c>
      <c r="L510" s="3" t="s">
        <v>700</v>
      </c>
      <c r="M510" s="3" t="s">
        <v>712</v>
      </c>
      <c r="N510" s="3" t="s">
        <v>723</v>
      </c>
      <c r="O510" s="3" t="s">
        <v>1232</v>
      </c>
      <c r="P510" s="6">
        <v>227.02</v>
      </c>
      <c r="Q510" s="6">
        <v>434.72</v>
      </c>
      <c r="R510" s="6" t="str">
        <f t="shared" si="102"/>
        <v>Low</v>
      </c>
      <c r="S510" s="6">
        <v>9.8000000000000004E-2</v>
      </c>
      <c r="T510" s="6">
        <v>10</v>
      </c>
      <c r="U510">
        <f t="shared" si="103"/>
        <v>3921.1744000000008</v>
      </c>
      <c r="V510">
        <f t="shared" si="108"/>
        <v>279100.39937</v>
      </c>
      <c r="W510">
        <f t="shared" si="104"/>
        <v>2270.2000000000003</v>
      </c>
      <c r="X510" s="6">
        <f t="shared" si="105"/>
        <v>1650.9744000000005</v>
      </c>
      <c r="Y510">
        <f t="shared" si="106"/>
        <v>0.42104079838938052</v>
      </c>
      <c r="Z510">
        <v>202304</v>
      </c>
      <c r="AA510" s="18">
        <v>202301</v>
      </c>
      <c r="AB510" t="str">
        <v>Apr-2023</v>
      </c>
      <c r="AC510">
        <f t="shared" si="107"/>
        <v>3</v>
      </c>
      <c r="AD510" t="str">
        <f t="shared" si="109"/>
        <v>On Time</v>
      </c>
      <c r="AE510">
        <f t="shared" si="110"/>
        <v>1</v>
      </c>
      <c r="AF510">
        <f t="shared" si="111"/>
        <v>0</v>
      </c>
    </row>
    <row r="511" spans="1:32" x14ac:dyDescent="0.25">
      <c r="A511" s="3" t="s">
        <v>515</v>
      </c>
      <c r="B511" s="4">
        <v>45608</v>
      </c>
      <c r="C511" s="4" t="str">
        <f t="shared" si="98"/>
        <v>Nov-2024</v>
      </c>
      <c r="D511" s="4" t="str">
        <f t="shared" si="99"/>
        <v>Q4</v>
      </c>
      <c r="E511" s="4">
        <v>45617</v>
      </c>
      <c r="F511" s="10">
        <f t="shared" si="100"/>
        <v>9</v>
      </c>
      <c r="G511" s="3" t="s">
        <v>639</v>
      </c>
      <c r="H511" s="3" t="s">
        <v>646</v>
      </c>
      <c r="I511" s="3" t="s">
        <v>683</v>
      </c>
      <c r="J511" t="str">
        <f t="shared" si="101"/>
        <v>Asia &gt; India &gt; Mumbai</v>
      </c>
      <c r="K511" s="3" t="s">
        <v>693</v>
      </c>
      <c r="L511" s="3" t="s">
        <v>703</v>
      </c>
      <c r="M511" s="3" t="s">
        <v>714</v>
      </c>
      <c r="N511" s="3" t="s">
        <v>723</v>
      </c>
      <c r="O511" s="3" t="s">
        <v>1233</v>
      </c>
      <c r="P511" s="6">
        <v>903.41</v>
      </c>
      <c r="Q511" s="6">
        <v>1860.41</v>
      </c>
      <c r="R511" s="6" t="str">
        <f t="shared" si="102"/>
        <v>Medium</v>
      </c>
      <c r="S511" s="6">
        <v>0.108</v>
      </c>
      <c r="T511" s="6">
        <v>5</v>
      </c>
      <c r="U511">
        <f t="shared" si="103"/>
        <v>8297.4286000000011</v>
      </c>
      <c r="V511">
        <f t="shared" si="108"/>
        <v>279100.39937</v>
      </c>
      <c r="W511">
        <f t="shared" si="104"/>
        <v>4517.05</v>
      </c>
      <c r="X511" s="6">
        <f t="shared" si="105"/>
        <v>3780.3786000000009</v>
      </c>
      <c r="Y511">
        <f t="shared" si="106"/>
        <v>0.455608451996803</v>
      </c>
      <c r="Z511">
        <v>202411</v>
      </c>
      <c r="AA511" s="18">
        <v>202301</v>
      </c>
      <c r="AB511" t="str">
        <v>Nov-2023</v>
      </c>
      <c r="AC511">
        <f t="shared" si="107"/>
        <v>22</v>
      </c>
      <c r="AD511" t="str">
        <f t="shared" si="109"/>
        <v>Late</v>
      </c>
      <c r="AE511">
        <f t="shared" si="110"/>
        <v>0</v>
      </c>
      <c r="AF511">
        <f t="shared" si="111"/>
        <v>0</v>
      </c>
    </row>
    <row r="512" spans="1:32" x14ac:dyDescent="0.25">
      <c r="A512" s="3" t="s">
        <v>516</v>
      </c>
      <c r="B512" s="4">
        <v>45056</v>
      </c>
      <c r="C512" s="4" t="str">
        <f t="shared" si="98"/>
        <v>May-2023</v>
      </c>
      <c r="D512" s="4" t="str">
        <f t="shared" si="99"/>
        <v>Q2</v>
      </c>
      <c r="E512" s="4">
        <v>45060</v>
      </c>
      <c r="F512" s="10">
        <f t="shared" si="100"/>
        <v>4</v>
      </c>
      <c r="G512" s="3" t="s">
        <v>639</v>
      </c>
      <c r="H512" s="3" t="s">
        <v>646</v>
      </c>
      <c r="I512" s="3" t="s">
        <v>672</v>
      </c>
      <c r="J512" t="str">
        <f t="shared" si="101"/>
        <v>Asia &gt; India &gt; Delhi</v>
      </c>
      <c r="K512" s="3" t="s">
        <v>695</v>
      </c>
      <c r="L512" s="3" t="s">
        <v>702</v>
      </c>
      <c r="M512" s="3" t="s">
        <v>704</v>
      </c>
      <c r="N512" s="3" t="s">
        <v>724</v>
      </c>
      <c r="O512" s="3" t="s">
        <v>1234</v>
      </c>
      <c r="P512" s="6">
        <v>622.6</v>
      </c>
      <c r="Q512" s="6">
        <v>833.69</v>
      </c>
      <c r="R512" s="6" t="str">
        <f t="shared" si="102"/>
        <v>Medium</v>
      </c>
      <c r="S512" s="6">
        <v>0.20899999999999999</v>
      </c>
      <c r="T512" s="6">
        <v>14</v>
      </c>
      <c r="U512">
        <f t="shared" si="103"/>
        <v>9232.2830599999998</v>
      </c>
      <c r="V512">
        <f t="shared" si="108"/>
        <v>279100.39937</v>
      </c>
      <c r="W512">
        <f t="shared" si="104"/>
        <v>8716.4</v>
      </c>
      <c r="X512" s="6">
        <f t="shared" si="105"/>
        <v>515.88306000000011</v>
      </c>
      <c r="Y512">
        <f t="shared" si="106"/>
        <v>5.5878167582959715E-2</v>
      </c>
      <c r="Z512">
        <v>202305</v>
      </c>
      <c r="AA512" s="18">
        <v>202301</v>
      </c>
      <c r="AB512" t="str">
        <v>May-2023</v>
      </c>
      <c r="AC512">
        <f t="shared" si="107"/>
        <v>4</v>
      </c>
      <c r="AD512" t="str">
        <f t="shared" si="109"/>
        <v>On Time</v>
      </c>
      <c r="AE512">
        <f t="shared" si="110"/>
        <v>1</v>
      </c>
      <c r="AF512">
        <f t="shared" si="111"/>
        <v>1</v>
      </c>
    </row>
    <row r="513" spans="1:32" x14ac:dyDescent="0.25">
      <c r="A513" s="3" t="s">
        <v>517</v>
      </c>
      <c r="B513" s="4">
        <v>45353</v>
      </c>
      <c r="C513" s="4" t="str">
        <f t="shared" si="98"/>
        <v>Mar-2024</v>
      </c>
      <c r="D513" s="4" t="str">
        <f t="shared" si="99"/>
        <v>Q1</v>
      </c>
      <c r="E513" s="4">
        <v>45374</v>
      </c>
      <c r="F513" s="10">
        <f t="shared" si="100"/>
        <v>21</v>
      </c>
      <c r="G513" s="3" t="s">
        <v>640</v>
      </c>
      <c r="H513" s="3" t="s">
        <v>652</v>
      </c>
      <c r="I513" s="3" t="s">
        <v>669</v>
      </c>
      <c r="J513" t="str">
        <f t="shared" si="101"/>
        <v>Americas &gt; USA &gt; Chicago</v>
      </c>
      <c r="K513" s="3" t="s">
        <v>697</v>
      </c>
      <c r="L513" s="3" t="s">
        <v>700</v>
      </c>
      <c r="M513" s="3" t="s">
        <v>713</v>
      </c>
      <c r="N513" s="3" t="s">
        <v>719</v>
      </c>
      <c r="O513" s="3" t="s">
        <v>1235</v>
      </c>
      <c r="P513" s="6">
        <v>225.01</v>
      </c>
      <c r="Q513" s="6">
        <v>333.48</v>
      </c>
      <c r="R513" s="6" t="str">
        <f t="shared" si="102"/>
        <v>Low</v>
      </c>
      <c r="S513" s="6">
        <v>0.11899999999999999</v>
      </c>
      <c r="T513" s="6">
        <v>12</v>
      </c>
      <c r="U513">
        <f t="shared" si="103"/>
        <v>3525.5505600000001</v>
      </c>
      <c r="V513">
        <f t="shared" si="108"/>
        <v>279100.39937</v>
      </c>
      <c r="W513">
        <f t="shared" si="104"/>
        <v>2700.12</v>
      </c>
      <c r="X513" s="6">
        <f t="shared" si="105"/>
        <v>825.43056000000024</v>
      </c>
      <c r="Y513">
        <f t="shared" si="106"/>
        <v>0.23412813004729685</v>
      </c>
      <c r="Z513">
        <v>202403</v>
      </c>
      <c r="AA513" s="18">
        <v>202301</v>
      </c>
      <c r="AB513" t="str">
        <v>Mar-2023</v>
      </c>
      <c r="AC513">
        <f t="shared" si="107"/>
        <v>14</v>
      </c>
      <c r="AD513" t="str">
        <f t="shared" si="109"/>
        <v>Late</v>
      </c>
      <c r="AE513">
        <f t="shared" si="110"/>
        <v>0</v>
      </c>
      <c r="AF513">
        <f t="shared" si="111"/>
        <v>0</v>
      </c>
    </row>
    <row r="514" spans="1:32" x14ac:dyDescent="0.25">
      <c r="A514" s="3" t="s">
        <v>518</v>
      </c>
      <c r="B514" s="4">
        <v>45575</v>
      </c>
      <c r="C514" s="4" t="str">
        <f t="shared" ref="C514:C577" si="112">TEXT(B514,"MMM-YYYY")</f>
        <v>Oct-2024</v>
      </c>
      <c r="D514" s="4" t="str">
        <f t="shared" ref="D514:D577" si="113">IF(MONTH(B514)&lt;=3,"Q1",IF(MONTH(B514)&lt;=6,"Q2",IF(MONTH(B514)&lt;=9,"Q3","Q4")))</f>
        <v>Q4</v>
      </c>
      <c r="E514" s="4">
        <v>45576</v>
      </c>
      <c r="F514" s="10">
        <f t="shared" ref="F514:F577" si="114">ABS(E514-B514)</f>
        <v>1</v>
      </c>
      <c r="G514" s="3" t="s">
        <v>641</v>
      </c>
      <c r="H514" s="3" t="s">
        <v>650</v>
      </c>
      <c r="I514" s="3" t="s">
        <v>685</v>
      </c>
      <c r="J514" t="str">
        <f t="shared" ref="J514:J577" si="115">G514 &amp; " &gt; " &amp; H514 &amp; " &gt; " &amp; I514</f>
        <v>Europe &gt; United Kingdom &gt; Manchester</v>
      </c>
      <c r="K514" s="3" t="s">
        <v>695</v>
      </c>
      <c r="L514" s="3" t="s">
        <v>702</v>
      </c>
      <c r="M514" s="3" t="s">
        <v>708</v>
      </c>
      <c r="N514" s="3" t="s">
        <v>719</v>
      </c>
      <c r="O514" s="3" t="s">
        <v>1236</v>
      </c>
      <c r="P514" s="6">
        <v>1389.46</v>
      </c>
      <c r="Q514" s="6">
        <v>1784.7</v>
      </c>
      <c r="R514" s="6" t="str">
        <f t="shared" ref="R514:R577" si="116">IF(P514&lt;=500,"Low",IF(P514&lt;=1000,"Medium","High"))</f>
        <v>High</v>
      </c>
      <c r="S514" s="6">
        <v>0.14599999999999999</v>
      </c>
      <c r="T514" s="6">
        <v>33</v>
      </c>
      <c r="U514">
        <f t="shared" ref="U514:U577" si="117">(Q514*T514*(1-S514))</f>
        <v>50296.415399999998</v>
      </c>
      <c r="V514">
        <f t="shared" si="108"/>
        <v>275574.84881</v>
      </c>
      <c r="W514">
        <f t="shared" ref="W514:W577" si="118">(P514*T514)</f>
        <v>45852.18</v>
      </c>
      <c r="X514" s="6">
        <f t="shared" ref="X514:X577" si="119">(U514-W514)</f>
        <v>4444.2353999999978</v>
      </c>
      <c r="Y514">
        <f t="shared" ref="Y514:Y577" si="120">IF(U514=0,0,X514/U514)</f>
        <v>8.8360877503011831E-2</v>
      </c>
      <c r="Z514">
        <v>202410</v>
      </c>
      <c r="AA514" s="18">
        <v>202301</v>
      </c>
      <c r="AB514" t="str">
        <v>Oct-2023</v>
      </c>
      <c r="AC514">
        <f t="shared" ref="AC514:AC577" si="121">DATEDIF(DATE(LEFT(AA514,4),RIGHT(AA514,2),1),B514,"M")</f>
        <v>21</v>
      </c>
      <c r="AD514" t="str">
        <f t="shared" si="109"/>
        <v>On Time</v>
      </c>
      <c r="AE514">
        <f t="shared" si="110"/>
        <v>1</v>
      </c>
      <c r="AF514">
        <f t="shared" si="111"/>
        <v>0</v>
      </c>
    </row>
    <row r="515" spans="1:32" x14ac:dyDescent="0.25">
      <c r="A515" s="3" t="s">
        <v>519</v>
      </c>
      <c r="B515" s="4">
        <v>45078</v>
      </c>
      <c r="C515" s="4" t="str">
        <f t="shared" si="112"/>
        <v>Jun-2023</v>
      </c>
      <c r="D515" s="4" t="str">
        <f t="shared" si="113"/>
        <v>Q2</v>
      </c>
      <c r="E515" s="4">
        <v>45085</v>
      </c>
      <c r="F515" s="10">
        <f t="shared" si="114"/>
        <v>7</v>
      </c>
      <c r="G515" s="3" t="s">
        <v>641</v>
      </c>
      <c r="H515" s="3" t="s">
        <v>648</v>
      </c>
      <c r="I515" s="3" t="s">
        <v>690</v>
      </c>
      <c r="J515" t="str">
        <f t="shared" si="115"/>
        <v>Europe &gt; Germany &gt; Frankfurt</v>
      </c>
      <c r="K515" s="3" t="s">
        <v>696</v>
      </c>
      <c r="L515" s="3" t="s">
        <v>700</v>
      </c>
      <c r="M515" s="3" t="s">
        <v>712</v>
      </c>
      <c r="N515" s="3" t="s">
        <v>722</v>
      </c>
      <c r="O515" s="3" t="s">
        <v>1237</v>
      </c>
      <c r="P515" s="6">
        <v>804.17</v>
      </c>
      <c r="Q515" s="6">
        <v>1072.29</v>
      </c>
      <c r="R515" s="6" t="str">
        <f t="shared" si="116"/>
        <v>Medium</v>
      </c>
      <c r="S515" s="6">
        <v>3.2000000000000001E-2</v>
      </c>
      <c r="T515" s="6">
        <v>5</v>
      </c>
      <c r="U515">
        <f t="shared" si="117"/>
        <v>5189.8836000000001</v>
      </c>
      <c r="V515">
        <f t="shared" ref="V515:V578" si="122">SUMIFS(U515:U1146,N515:N1146,"Components")</f>
        <v>225278.43341</v>
      </c>
      <c r="W515">
        <f t="shared" si="118"/>
        <v>4020.85</v>
      </c>
      <c r="X515" s="6">
        <f t="shared" si="119"/>
        <v>1169.0336000000002</v>
      </c>
      <c r="Y515">
        <f t="shared" si="120"/>
        <v>0.2252523736755869</v>
      </c>
      <c r="Z515">
        <v>202306</v>
      </c>
      <c r="AA515" s="18">
        <v>202301</v>
      </c>
      <c r="AB515" t="str">
        <v>Jun-2023</v>
      </c>
      <c r="AC515">
        <f t="shared" si="121"/>
        <v>5</v>
      </c>
      <c r="AD515" t="str">
        <f t="shared" ref="AD515:AD578" si="123">IF(F515&lt;=7,"On Time","Late")</f>
        <v>On Time</v>
      </c>
      <c r="AE515">
        <f t="shared" ref="AE515:AE578" si="124">IF(F515&lt;=7,1,0)</f>
        <v>1</v>
      </c>
      <c r="AF515">
        <f t="shared" ref="AF515:AF578" si="125">IF(S515&gt;0.2,1,0)</f>
        <v>0</v>
      </c>
    </row>
    <row r="516" spans="1:32" x14ac:dyDescent="0.25">
      <c r="A516" s="3" t="s">
        <v>520</v>
      </c>
      <c r="B516" s="4">
        <v>45661</v>
      </c>
      <c r="C516" s="4" t="str">
        <f t="shared" si="112"/>
        <v>Jan-2025</v>
      </c>
      <c r="D516" s="4" t="str">
        <f t="shared" si="113"/>
        <v>Q1</v>
      </c>
      <c r="E516" s="4">
        <v>45662</v>
      </c>
      <c r="F516" s="10">
        <f t="shared" si="114"/>
        <v>1</v>
      </c>
      <c r="G516" s="3" t="s">
        <v>639</v>
      </c>
      <c r="H516" s="3" t="s">
        <v>646</v>
      </c>
      <c r="I516" s="3" t="s">
        <v>672</v>
      </c>
      <c r="J516" t="str">
        <f t="shared" si="115"/>
        <v>Asia &gt; India &gt; Delhi</v>
      </c>
      <c r="K516" s="3" t="s">
        <v>694</v>
      </c>
      <c r="L516" s="3" t="s">
        <v>699</v>
      </c>
      <c r="M516" s="3" t="s">
        <v>706</v>
      </c>
      <c r="N516" s="3" t="s">
        <v>719</v>
      </c>
      <c r="O516" s="3" t="s">
        <v>1238</v>
      </c>
      <c r="P516" s="6">
        <v>1428.33</v>
      </c>
      <c r="Q516" s="6">
        <v>3028.05</v>
      </c>
      <c r="R516" s="6" t="str">
        <f t="shared" si="116"/>
        <v>High</v>
      </c>
      <c r="S516" s="6">
        <v>0</v>
      </c>
      <c r="T516" s="6">
        <v>11</v>
      </c>
      <c r="U516">
        <f t="shared" si="117"/>
        <v>33308.550000000003</v>
      </c>
      <c r="V516">
        <f t="shared" si="122"/>
        <v>225278.43341</v>
      </c>
      <c r="W516">
        <f t="shared" si="118"/>
        <v>15711.63</v>
      </c>
      <c r="X516" s="6">
        <f t="shared" si="119"/>
        <v>17596.920000000006</v>
      </c>
      <c r="Y516">
        <f t="shared" si="120"/>
        <v>0.52830039134096207</v>
      </c>
      <c r="Z516">
        <v>202501</v>
      </c>
      <c r="AA516" s="18">
        <v>202301</v>
      </c>
      <c r="AB516" t="str">
        <v>Jan-2023</v>
      </c>
      <c r="AC516">
        <f t="shared" si="121"/>
        <v>24</v>
      </c>
      <c r="AD516" t="str">
        <f t="shared" si="123"/>
        <v>On Time</v>
      </c>
      <c r="AE516">
        <f t="shared" si="124"/>
        <v>1</v>
      </c>
      <c r="AF516">
        <f t="shared" si="125"/>
        <v>0</v>
      </c>
    </row>
    <row r="517" spans="1:32" x14ac:dyDescent="0.25">
      <c r="A517" s="3" t="s">
        <v>521</v>
      </c>
      <c r="B517" s="4">
        <v>45874</v>
      </c>
      <c r="C517" s="4" t="str">
        <f t="shared" si="112"/>
        <v>Aug-2025</v>
      </c>
      <c r="D517" s="4" t="str">
        <f t="shared" si="113"/>
        <v>Q3</v>
      </c>
      <c r="E517" s="4">
        <v>45897</v>
      </c>
      <c r="F517" s="10">
        <f t="shared" si="114"/>
        <v>23</v>
      </c>
      <c r="G517" s="3" t="s">
        <v>639</v>
      </c>
      <c r="H517" s="3" t="s">
        <v>646</v>
      </c>
      <c r="I517" s="3" t="s">
        <v>683</v>
      </c>
      <c r="J517" t="str">
        <f t="shared" si="115"/>
        <v>Asia &gt; India &gt; Mumbai</v>
      </c>
      <c r="K517" s="3" t="s">
        <v>695</v>
      </c>
      <c r="L517" s="3" t="s">
        <v>702</v>
      </c>
      <c r="M517" s="3" t="s">
        <v>717</v>
      </c>
      <c r="N517" s="3" t="s">
        <v>723</v>
      </c>
      <c r="O517" s="3" t="s">
        <v>1239</v>
      </c>
      <c r="P517" s="6">
        <v>638.54</v>
      </c>
      <c r="Q517" s="6">
        <v>987.24</v>
      </c>
      <c r="R517" s="6" t="str">
        <f t="shared" si="116"/>
        <v>Medium</v>
      </c>
      <c r="S517" s="6">
        <v>0</v>
      </c>
      <c r="T517" s="6">
        <v>11</v>
      </c>
      <c r="U517">
        <f t="shared" si="117"/>
        <v>10859.64</v>
      </c>
      <c r="V517">
        <f t="shared" si="122"/>
        <v>191969.88341000001</v>
      </c>
      <c r="W517">
        <f t="shared" si="118"/>
        <v>7023.94</v>
      </c>
      <c r="X517" s="6">
        <f t="shared" si="119"/>
        <v>3835.7</v>
      </c>
      <c r="Y517">
        <f t="shared" si="120"/>
        <v>0.35320692030306716</v>
      </c>
      <c r="Z517">
        <v>202508</v>
      </c>
      <c r="AA517" s="18">
        <v>202301</v>
      </c>
      <c r="AB517" t="str">
        <v>Aug-2023</v>
      </c>
      <c r="AC517">
        <f t="shared" si="121"/>
        <v>31</v>
      </c>
      <c r="AD517" t="str">
        <f t="shared" si="123"/>
        <v>Late</v>
      </c>
      <c r="AE517">
        <f t="shared" si="124"/>
        <v>0</v>
      </c>
      <c r="AF517">
        <f t="shared" si="125"/>
        <v>0</v>
      </c>
    </row>
    <row r="518" spans="1:32" x14ac:dyDescent="0.25">
      <c r="A518" s="3" t="s">
        <v>522</v>
      </c>
      <c r="B518" s="4">
        <v>45199</v>
      </c>
      <c r="C518" s="4" t="str">
        <f t="shared" si="112"/>
        <v>Sept-2023</v>
      </c>
      <c r="D518" s="4" t="str">
        <f t="shared" si="113"/>
        <v>Q3</v>
      </c>
      <c r="E518" s="4">
        <v>45229</v>
      </c>
      <c r="F518" s="10">
        <f t="shared" si="114"/>
        <v>30</v>
      </c>
      <c r="G518" s="3" t="s">
        <v>639</v>
      </c>
      <c r="H518" s="3" t="s">
        <v>644</v>
      </c>
      <c r="I518" s="3" t="s">
        <v>681</v>
      </c>
      <c r="J518" t="str">
        <f t="shared" si="115"/>
        <v>Asia &gt; Japan &gt; Tokyo</v>
      </c>
      <c r="K518" s="3" t="s">
        <v>698</v>
      </c>
      <c r="L518" s="3" t="s">
        <v>700</v>
      </c>
      <c r="M518" s="3" t="s">
        <v>718</v>
      </c>
      <c r="N518" s="3" t="s">
        <v>720</v>
      </c>
      <c r="O518" s="3" t="s">
        <v>1240</v>
      </c>
      <c r="P518" s="6">
        <v>649.13</v>
      </c>
      <c r="Q518" s="6">
        <v>975.43</v>
      </c>
      <c r="R518" s="6" t="str">
        <f t="shared" si="116"/>
        <v>Medium</v>
      </c>
      <c r="S518" s="6">
        <v>0.157</v>
      </c>
      <c r="T518" s="6">
        <v>27</v>
      </c>
      <c r="U518">
        <f t="shared" si="117"/>
        <v>22201.762229999997</v>
      </c>
      <c r="V518">
        <f t="shared" si="122"/>
        <v>191969.88341000001</v>
      </c>
      <c r="W518">
        <f t="shared" si="118"/>
        <v>17526.509999999998</v>
      </c>
      <c r="X518" s="6">
        <f t="shared" si="119"/>
        <v>4675.2522299999982</v>
      </c>
      <c r="Y518">
        <f t="shared" si="120"/>
        <v>0.21058023149543473</v>
      </c>
      <c r="Z518">
        <v>202309</v>
      </c>
      <c r="AA518" s="18">
        <v>202303</v>
      </c>
      <c r="AB518" t="str">
        <v>Sept-2023</v>
      </c>
      <c r="AC518">
        <f t="shared" si="121"/>
        <v>6</v>
      </c>
      <c r="AD518" t="str">
        <f t="shared" si="123"/>
        <v>Late</v>
      </c>
      <c r="AE518">
        <f t="shared" si="124"/>
        <v>0</v>
      </c>
      <c r="AF518">
        <f t="shared" si="125"/>
        <v>0</v>
      </c>
    </row>
    <row r="519" spans="1:32" x14ac:dyDescent="0.25">
      <c r="A519" s="3" t="s">
        <v>523</v>
      </c>
      <c r="B519" s="4">
        <v>45794</v>
      </c>
      <c r="C519" s="4" t="str">
        <f t="shared" si="112"/>
        <v>May-2025</v>
      </c>
      <c r="D519" s="4" t="str">
        <f t="shared" si="113"/>
        <v>Q2</v>
      </c>
      <c r="E519" s="4">
        <v>45807</v>
      </c>
      <c r="F519" s="10">
        <f t="shared" si="114"/>
        <v>13</v>
      </c>
      <c r="G519" s="3" t="s">
        <v>638</v>
      </c>
      <c r="H519" s="3" t="s">
        <v>643</v>
      </c>
      <c r="I519" s="3" t="s">
        <v>657</v>
      </c>
      <c r="J519" t="str">
        <f t="shared" si="115"/>
        <v>Africa &gt; Nigeria &gt; Lagos</v>
      </c>
      <c r="K519" s="3" t="s">
        <v>696</v>
      </c>
      <c r="L519" s="3" t="s">
        <v>702</v>
      </c>
      <c r="M519" s="3" t="s">
        <v>713</v>
      </c>
      <c r="N519" s="3" t="s">
        <v>725</v>
      </c>
      <c r="O519" s="3" t="s">
        <v>1241</v>
      </c>
      <c r="P519" s="6">
        <v>66.400000000000006</v>
      </c>
      <c r="Q519" s="6">
        <v>141.43</v>
      </c>
      <c r="R519" s="6" t="str">
        <f t="shared" si="116"/>
        <v>Low</v>
      </c>
      <c r="S519" s="6">
        <v>0.107</v>
      </c>
      <c r="T519" s="6">
        <v>8</v>
      </c>
      <c r="U519">
        <f t="shared" si="117"/>
        <v>1010.3759200000001</v>
      </c>
      <c r="V519">
        <f t="shared" si="122"/>
        <v>191969.88341000001</v>
      </c>
      <c r="W519">
        <f t="shared" si="118"/>
        <v>531.20000000000005</v>
      </c>
      <c r="X519" s="6">
        <f t="shared" si="119"/>
        <v>479.17592000000002</v>
      </c>
      <c r="Y519">
        <f t="shared" si="120"/>
        <v>0.47425508715607551</v>
      </c>
      <c r="Z519">
        <v>202505</v>
      </c>
      <c r="AA519" s="18">
        <v>202301</v>
      </c>
      <c r="AB519" t="str">
        <v>May-2023</v>
      </c>
      <c r="AC519">
        <f t="shared" si="121"/>
        <v>28</v>
      </c>
      <c r="AD519" t="str">
        <f t="shared" si="123"/>
        <v>Late</v>
      </c>
      <c r="AE519">
        <f t="shared" si="124"/>
        <v>0</v>
      </c>
      <c r="AF519">
        <f t="shared" si="125"/>
        <v>0</v>
      </c>
    </row>
    <row r="520" spans="1:32" x14ac:dyDescent="0.25">
      <c r="A520" s="3" t="s">
        <v>524</v>
      </c>
      <c r="B520" s="4">
        <v>45413</v>
      </c>
      <c r="C520" s="4" t="str">
        <f t="shared" si="112"/>
        <v>May-2024</v>
      </c>
      <c r="D520" s="4" t="str">
        <f t="shared" si="113"/>
        <v>Q2</v>
      </c>
      <c r="E520" s="4">
        <v>45438</v>
      </c>
      <c r="F520" s="10">
        <f t="shared" si="114"/>
        <v>25</v>
      </c>
      <c r="G520" s="3" t="s">
        <v>641</v>
      </c>
      <c r="H520" s="3" t="s">
        <v>648</v>
      </c>
      <c r="I520" s="3" t="s">
        <v>663</v>
      </c>
      <c r="J520" t="str">
        <f t="shared" si="115"/>
        <v>Europe &gt; Germany &gt; Berlin</v>
      </c>
      <c r="K520" s="3" t="s">
        <v>695</v>
      </c>
      <c r="L520" s="3" t="s">
        <v>699</v>
      </c>
      <c r="M520" s="3" t="s">
        <v>709</v>
      </c>
      <c r="N520" s="3" t="s">
        <v>721</v>
      </c>
      <c r="O520" s="3" t="s">
        <v>1242</v>
      </c>
      <c r="P520" s="6">
        <v>930.71</v>
      </c>
      <c r="Q520" s="6">
        <v>1625.42</v>
      </c>
      <c r="R520" s="6" t="str">
        <f t="shared" si="116"/>
        <v>Medium</v>
      </c>
      <c r="S520" s="6">
        <v>0.13800000000000001</v>
      </c>
      <c r="T520" s="6">
        <v>7</v>
      </c>
      <c r="U520">
        <f t="shared" si="117"/>
        <v>9807.7842799999999</v>
      </c>
      <c r="V520">
        <f t="shared" si="122"/>
        <v>191969.88341000001</v>
      </c>
      <c r="W520">
        <f t="shared" si="118"/>
        <v>6514.97</v>
      </c>
      <c r="X520" s="6">
        <f t="shared" si="119"/>
        <v>3292.8142799999996</v>
      </c>
      <c r="Y520">
        <f t="shared" si="120"/>
        <v>0.33573477821231196</v>
      </c>
      <c r="Z520">
        <v>202405</v>
      </c>
      <c r="AA520" s="18">
        <v>202301</v>
      </c>
      <c r="AB520" t="str">
        <v>May-2023</v>
      </c>
      <c r="AC520">
        <f t="shared" si="121"/>
        <v>16</v>
      </c>
      <c r="AD520" t="str">
        <f t="shared" si="123"/>
        <v>Late</v>
      </c>
      <c r="AE520">
        <f t="shared" si="124"/>
        <v>0</v>
      </c>
      <c r="AF520">
        <f t="shared" si="125"/>
        <v>0</v>
      </c>
    </row>
    <row r="521" spans="1:32" x14ac:dyDescent="0.25">
      <c r="A521" s="3" t="s">
        <v>525</v>
      </c>
      <c r="B521" s="4">
        <v>45047</v>
      </c>
      <c r="C521" s="4" t="str">
        <f t="shared" si="112"/>
        <v>May-2023</v>
      </c>
      <c r="D521" s="4" t="str">
        <f t="shared" si="113"/>
        <v>Q2</v>
      </c>
      <c r="E521" s="4">
        <v>45064</v>
      </c>
      <c r="F521" s="10">
        <f t="shared" si="114"/>
        <v>17</v>
      </c>
      <c r="G521" s="3" t="s">
        <v>638</v>
      </c>
      <c r="H521" s="3" t="s">
        <v>643</v>
      </c>
      <c r="I521" s="3" t="s">
        <v>655</v>
      </c>
      <c r="J521" t="str">
        <f t="shared" si="115"/>
        <v>Africa &gt; Nigeria &gt; Port Harcourt</v>
      </c>
      <c r="K521" s="3" t="s">
        <v>693</v>
      </c>
      <c r="L521" s="3" t="s">
        <v>703</v>
      </c>
      <c r="M521" s="3" t="s">
        <v>713</v>
      </c>
      <c r="N521" s="3" t="s">
        <v>719</v>
      </c>
      <c r="O521" s="3" t="s">
        <v>1243</v>
      </c>
      <c r="P521" s="6">
        <v>327.97</v>
      </c>
      <c r="Q521" s="6">
        <v>299.94</v>
      </c>
      <c r="R521" s="6" t="str">
        <f t="shared" si="116"/>
        <v>Low</v>
      </c>
      <c r="S521" s="6">
        <v>4.9000000000000002E-2</v>
      </c>
      <c r="T521" s="6">
        <v>3</v>
      </c>
      <c r="U521">
        <f t="shared" si="117"/>
        <v>855.72881999999993</v>
      </c>
      <c r="V521">
        <f t="shared" si="122"/>
        <v>191969.88341000001</v>
      </c>
      <c r="W521">
        <f t="shared" si="118"/>
        <v>983.91000000000008</v>
      </c>
      <c r="X521" s="6">
        <f t="shared" si="119"/>
        <v>-128.18118000000015</v>
      </c>
      <c r="Y521">
        <f t="shared" si="120"/>
        <v>-0.14979182306843442</v>
      </c>
      <c r="Z521">
        <v>202305</v>
      </c>
      <c r="AA521" s="18">
        <v>202301</v>
      </c>
      <c r="AB521" t="str">
        <v>May-2023</v>
      </c>
      <c r="AC521">
        <f t="shared" si="121"/>
        <v>4</v>
      </c>
      <c r="AD521" t="str">
        <f t="shared" si="123"/>
        <v>Late</v>
      </c>
      <c r="AE521">
        <f t="shared" si="124"/>
        <v>0</v>
      </c>
      <c r="AF521">
        <f t="shared" si="125"/>
        <v>0</v>
      </c>
    </row>
    <row r="522" spans="1:32" x14ac:dyDescent="0.25">
      <c r="A522" s="3" t="s">
        <v>526</v>
      </c>
      <c r="B522" s="4">
        <v>45482</v>
      </c>
      <c r="C522" s="4" t="str">
        <f t="shared" si="112"/>
        <v>Jul-2024</v>
      </c>
      <c r="D522" s="4" t="str">
        <f t="shared" si="113"/>
        <v>Q3</v>
      </c>
      <c r="E522" s="4">
        <v>45512</v>
      </c>
      <c r="F522" s="10">
        <f t="shared" si="114"/>
        <v>30</v>
      </c>
      <c r="G522" s="3" t="s">
        <v>641</v>
      </c>
      <c r="H522" s="3" t="s">
        <v>649</v>
      </c>
      <c r="I522" s="3" t="s">
        <v>665</v>
      </c>
      <c r="J522" t="str">
        <f t="shared" si="115"/>
        <v>Europe &gt; France &gt; Marseille</v>
      </c>
      <c r="K522" s="3" t="s">
        <v>693</v>
      </c>
      <c r="L522" s="3" t="s">
        <v>703</v>
      </c>
      <c r="M522" s="3" t="s">
        <v>705</v>
      </c>
      <c r="N522" s="3" t="s">
        <v>719</v>
      </c>
      <c r="O522" s="3" t="s">
        <v>1244</v>
      </c>
      <c r="P522" s="6">
        <v>1062.3800000000001</v>
      </c>
      <c r="Q522" s="6">
        <v>1503.96</v>
      </c>
      <c r="R522" s="6" t="str">
        <f t="shared" si="116"/>
        <v>High</v>
      </c>
      <c r="S522" s="6">
        <v>0.18</v>
      </c>
      <c r="T522" s="6">
        <v>6</v>
      </c>
      <c r="U522">
        <f t="shared" si="117"/>
        <v>7399.4832000000006</v>
      </c>
      <c r="V522">
        <f t="shared" si="122"/>
        <v>191114.15458999999</v>
      </c>
      <c r="W522">
        <f t="shared" si="118"/>
        <v>6374.2800000000007</v>
      </c>
      <c r="X522" s="6">
        <f t="shared" si="119"/>
        <v>1025.2031999999999</v>
      </c>
      <c r="Y522">
        <f t="shared" si="120"/>
        <v>0.13855064905073369</v>
      </c>
      <c r="Z522">
        <v>202407</v>
      </c>
      <c r="AA522" s="18">
        <v>202301</v>
      </c>
      <c r="AB522" t="str">
        <v>Jul-2023</v>
      </c>
      <c r="AC522">
        <f t="shared" si="121"/>
        <v>18</v>
      </c>
      <c r="AD522" t="str">
        <f t="shared" si="123"/>
        <v>Late</v>
      </c>
      <c r="AE522">
        <f t="shared" si="124"/>
        <v>0</v>
      </c>
      <c r="AF522">
        <f t="shared" si="125"/>
        <v>0</v>
      </c>
    </row>
    <row r="523" spans="1:32" x14ac:dyDescent="0.25">
      <c r="A523" s="3" t="s">
        <v>527</v>
      </c>
      <c r="B523" s="4">
        <v>45056</v>
      </c>
      <c r="C523" s="4" t="str">
        <f t="shared" si="112"/>
        <v>May-2023</v>
      </c>
      <c r="D523" s="4" t="str">
        <f t="shared" si="113"/>
        <v>Q2</v>
      </c>
      <c r="E523" s="4">
        <v>45073</v>
      </c>
      <c r="F523" s="10">
        <f t="shared" si="114"/>
        <v>17</v>
      </c>
      <c r="G523" s="3" t="s">
        <v>639</v>
      </c>
      <c r="H523" s="3" t="s">
        <v>646</v>
      </c>
      <c r="I523" s="3" t="s">
        <v>683</v>
      </c>
      <c r="J523" t="str">
        <f t="shared" si="115"/>
        <v>Asia &gt; India &gt; Mumbai</v>
      </c>
      <c r="K523" s="3" t="s">
        <v>696</v>
      </c>
      <c r="L523" s="3" t="s">
        <v>699</v>
      </c>
      <c r="M523" s="3" t="s">
        <v>716</v>
      </c>
      <c r="N523" s="3" t="s">
        <v>723</v>
      </c>
      <c r="O523" s="3" t="s">
        <v>1245</v>
      </c>
      <c r="P523" s="6">
        <v>1286.1600000000001</v>
      </c>
      <c r="Q523" s="6">
        <v>3101.11</v>
      </c>
      <c r="R523" s="6" t="str">
        <f t="shared" si="116"/>
        <v>High</v>
      </c>
      <c r="S523" s="6">
        <v>0.1</v>
      </c>
      <c r="T523" s="6">
        <v>23</v>
      </c>
      <c r="U523">
        <f t="shared" si="117"/>
        <v>64192.976999999999</v>
      </c>
      <c r="V523">
        <f t="shared" si="122"/>
        <v>183714.67138999997</v>
      </c>
      <c r="W523">
        <f t="shared" si="118"/>
        <v>29581.68</v>
      </c>
      <c r="X523" s="6">
        <f t="shared" si="119"/>
        <v>34611.296999999999</v>
      </c>
      <c r="Y523">
        <f t="shared" si="120"/>
        <v>0.53917575749758417</v>
      </c>
      <c r="Z523">
        <v>202305</v>
      </c>
      <c r="AA523" s="18">
        <v>202301</v>
      </c>
      <c r="AB523" t="str">
        <v>May-2023</v>
      </c>
      <c r="AC523">
        <f t="shared" si="121"/>
        <v>4</v>
      </c>
      <c r="AD523" t="str">
        <f t="shared" si="123"/>
        <v>Late</v>
      </c>
      <c r="AE523">
        <f t="shared" si="124"/>
        <v>0</v>
      </c>
      <c r="AF523">
        <f t="shared" si="125"/>
        <v>0</v>
      </c>
    </row>
    <row r="524" spans="1:32" x14ac:dyDescent="0.25">
      <c r="A524" s="3" t="s">
        <v>528</v>
      </c>
      <c r="B524" s="4">
        <v>45482</v>
      </c>
      <c r="C524" s="4" t="str">
        <f t="shared" si="112"/>
        <v>Jul-2024</v>
      </c>
      <c r="D524" s="4" t="str">
        <f t="shared" si="113"/>
        <v>Q3</v>
      </c>
      <c r="E524" s="4">
        <v>45485</v>
      </c>
      <c r="F524" s="10">
        <f t="shared" si="114"/>
        <v>3</v>
      </c>
      <c r="G524" s="3" t="s">
        <v>639</v>
      </c>
      <c r="H524" s="3" t="s">
        <v>651</v>
      </c>
      <c r="I524" s="3" t="s">
        <v>677</v>
      </c>
      <c r="J524" t="str">
        <f t="shared" si="115"/>
        <v>Asia &gt; China &gt; Shanghai</v>
      </c>
      <c r="K524" s="3" t="s">
        <v>697</v>
      </c>
      <c r="L524" s="3" t="s">
        <v>699</v>
      </c>
      <c r="M524" s="3" t="s">
        <v>718</v>
      </c>
      <c r="N524" s="3" t="s">
        <v>725</v>
      </c>
      <c r="O524" s="3" t="s">
        <v>1246</v>
      </c>
      <c r="P524" s="6">
        <v>748.39</v>
      </c>
      <c r="Q524" s="6">
        <v>979.42</v>
      </c>
      <c r="R524" s="6" t="str">
        <f t="shared" si="116"/>
        <v>Medium</v>
      </c>
      <c r="S524" s="6">
        <v>0</v>
      </c>
      <c r="T524" s="6">
        <v>23</v>
      </c>
      <c r="U524">
        <f t="shared" si="117"/>
        <v>22526.66</v>
      </c>
      <c r="V524">
        <f t="shared" si="122"/>
        <v>183714.67138999997</v>
      </c>
      <c r="W524">
        <f t="shared" si="118"/>
        <v>17212.97</v>
      </c>
      <c r="X524" s="6">
        <f t="shared" si="119"/>
        <v>5313.6899999999987</v>
      </c>
      <c r="Y524">
        <f t="shared" si="120"/>
        <v>0.23588450307324738</v>
      </c>
      <c r="Z524">
        <v>202407</v>
      </c>
      <c r="AA524" s="18">
        <v>202301</v>
      </c>
      <c r="AB524" t="str">
        <v>Jul-2023</v>
      </c>
      <c r="AC524">
        <f t="shared" si="121"/>
        <v>18</v>
      </c>
      <c r="AD524" t="str">
        <f t="shared" si="123"/>
        <v>On Time</v>
      </c>
      <c r="AE524">
        <f t="shared" si="124"/>
        <v>1</v>
      </c>
      <c r="AF524">
        <f t="shared" si="125"/>
        <v>0</v>
      </c>
    </row>
    <row r="525" spans="1:32" x14ac:dyDescent="0.25">
      <c r="A525" s="3" t="s">
        <v>529</v>
      </c>
      <c r="B525" s="4">
        <v>45406</v>
      </c>
      <c r="C525" s="4" t="str">
        <f t="shared" si="112"/>
        <v>Apr-2024</v>
      </c>
      <c r="D525" s="4" t="str">
        <f t="shared" si="113"/>
        <v>Q2</v>
      </c>
      <c r="E525" s="4">
        <v>45422</v>
      </c>
      <c r="F525" s="10">
        <f t="shared" si="114"/>
        <v>16</v>
      </c>
      <c r="G525" s="3" t="s">
        <v>638</v>
      </c>
      <c r="H525" s="3" t="s">
        <v>642</v>
      </c>
      <c r="I525" s="3" t="s">
        <v>654</v>
      </c>
      <c r="J525" t="str">
        <f t="shared" si="115"/>
        <v>Africa &gt; Kenya &gt; Kisumu</v>
      </c>
      <c r="K525" s="3" t="s">
        <v>695</v>
      </c>
      <c r="L525" s="3" t="s">
        <v>700</v>
      </c>
      <c r="M525" s="3" t="s">
        <v>717</v>
      </c>
      <c r="N525" s="3" t="s">
        <v>724</v>
      </c>
      <c r="O525" s="3" t="s">
        <v>1247</v>
      </c>
      <c r="P525" s="6">
        <v>513.30999999999995</v>
      </c>
      <c r="Q525" s="6">
        <v>1186.26</v>
      </c>
      <c r="R525" s="6" t="str">
        <f t="shared" si="116"/>
        <v>Medium</v>
      </c>
      <c r="S525" s="6">
        <v>9.4E-2</v>
      </c>
      <c r="T525" s="6">
        <v>15</v>
      </c>
      <c r="U525">
        <f t="shared" si="117"/>
        <v>16121.273400000002</v>
      </c>
      <c r="V525">
        <f t="shared" si="122"/>
        <v>183714.67138999997</v>
      </c>
      <c r="W525">
        <f t="shared" si="118"/>
        <v>7699.65</v>
      </c>
      <c r="X525" s="6">
        <f t="shared" si="119"/>
        <v>8421.6234000000022</v>
      </c>
      <c r="Y525">
        <f t="shared" si="120"/>
        <v>0.52239194702820446</v>
      </c>
      <c r="Z525">
        <v>202404</v>
      </c>
      <c r="AA525" s="18">
        <v>202301</v>
      </c>
      <c r="AB525" t="str">
        <v>Apr-2023</v>
      </c>
      <c r="AC525">
        <f t="shared" si="121"/>
        <v>15</v>
      </c>
      <c r="AD525" t="str">
        <f t="shared" si="123"/>
        <v>Late</v>
      </c>
      <c r="AE525">
        <f t="shared" si="124"/>
        <v>0</v>
      </c>
      <c r="AF525">
        <f t="shared" si="125"/>
        <v>0</v>
      </c>
    </row>
    <row r="526" spans="1:32" x14ac:dyDescent="0.25">
      <c r="A526" s="3" t="s">
        <v>530</v>
      </c>
      <c r="B526" s="4">
        <v>45304</v>
      </c>
      <c r="C526" s="4" t="str">
        <f t="shared" si="112"/>
        <v>Jan-2024</v>
      </c>
      <c r="D526" s="4" t="str">
        <f t="shared" si="113"/>
        <v>Q1</v>
      </c>
      <c r="E526" s="4">
        <v>45306</v>
      </c>
      <c r="F526" s="10">
        <f t="shared" si="114"/>
        <v>2</v>
      </c>
      <c r="G526" s="3" t="s">
        <v>640</v>
      </c>
      <c r="H526" s="3" t="s">
        <v>652</v>
      </c>
      <c r="I526" s="3" t="s">
        <v>678</v>
      </c>
      <c r="J526" t="str">
        <f t="shared" si="115"/>
        <v>Americas &gt; USA &gt; San Francisco</v>
      </c>
      <c r="K526" s="3" t="s">
        <v>695</v>
      </c>
      <c r="L526" s="3" t="s">
        <v>703</v>
      </c>
      <c r="M526" s="3" t="s">
        <v>710</v>
      </c>
      <c r="N526" s="3" t="s">
        <v>719</v>
      </c>
      <c r="O526" s="3" t="s">
        <v>1248</v>
      </c>
      <c r="P526" s="6">
        <v>1061.3699999999999</v>
      </c>
      <c r="Q526" s="6">
        <v>1938.33</v>
      </c>
      <c r="R526" s="6" t="str">
        <f t="shared" si="116"/>
        <v>High</v>
      </c>
      <c r="S526" s="6">
        <v>0.17</v>
      </c>
      <c r="T526" s="6">
        <v>4</v>
      </c>
      <c r="U526">
        <f t="shared" si="117"/>
        <v>6435.2555999999995</v>
      </c>
      <c r="V526">
        <f t="shared" si="122"/>
        <v>183714.67138999997</v>
      </c>
      <c r="W526">
        <f t="shared" si="118"/>
        <v>4245.4799999999996</v>
      </c>
      <c r="X526" s="6">
        <f t="shared" si="119"/>
        <v>2189.7755999999999</v>
      </c>
      <c r="Y526">
        <f t="shared" si="120"/>
        <v>0.34027795259600879</v>
      </c>
      <c r="Z526">
        <v>202401</v>
      </c>
      <c r="AA526" s="18">
        <v>202301</v>
      </c>
      <c r="AB526" t="str">
        <v>Jan-2023</v>
      </c>
      <c r="AC526">
        <f t="shared" si="121"/>
        <v>12</v>
      </c>
      <c r="AD526" t="str">
        <f t="shared" si="123"/>
        <v>On Time</v>
      </c>
      <c r="AE526">
        <f t="shared" si="124"/>
        <v>1</v>
      </c>
      <c r="AF526">
        <f t="shared" si="125"/>
        <v>0</v>
      </c>
    </row>
    <row r="527" spans="1:32" x14ac:dyDescent="0.25">
      <c r="A527" s="3" t="s">
        <v>531</v>
      </c>
      <c r="B527" s="4">
        <v>45398</v>
      </c>
      <c r="C527" s="4" t="str">
        <f t="shared" si="112"/>
        <v>Apr-2024</v>
      </c>
      <c r="D527" s="4" t="str">
        <f t="shared" si="113"/>
        <v>Q2</v>
      </c>
      <c r="E527" s="4">
        <v>45409</v>
      </c>
      <c r="F527" s="10">
        <f t="shared" si="114"/>
        <v>11</v>
      </c>
      <c r="G527" s="3" t="s">
        <v>638</v>
      </c>
      <c r="H527" s="3" t="s">
        <v>642</v>
      </c>
      <c r="I527" s="3" t="s">
        <v>670</v>
      </c>
      <c r="J527" t="str">
        <f t="shared" si="115"/>
        <v>Africa &gt; Kenya &gt; Nakuru</v>
      </c>
      <c r="K527" s="3" t="s">
        <v>698</v>
      </c>
      <c r="L527" s="3" t="s">
        <v>700</v>
      </c>
      <c r="M527" s="3" t="s">
        <v>718</v>
      </c>
      <c r="N527" s="3" t="s">
        <v>720</v>
      </c>
      <c r="O527" s="3" t="s">
        <v>1249</v>
      </c>
      <c r="P527" s="6">
        <v>401.3</v>
      </c>
      <c r="Q527" s="6">
        <v>826.47</v>
      </c>
      <c r="R527" s="6" t="str">
        <f t="shared" si="116"/>
        <v>Low</v>
      </c>
      <c r="S527" s="6">
        <v>0.22500000000000001</v>
      </c>
      <c r="T527" s="6">
        <v>13</v>
      </c>
      <c r="U527">
        <f t="shared" si="117"/>
        <v>8326.6852500000005</v>
      </c>
      <c r="V527">
        <f t="shared" si="122"/>
        <v>177279.41579</v>
      </c>
      <c r="W527">
        <f t="shared" si="118"/>
        <v>5216.9000000000005</v>
      </c>
      <c r="X527" s="6">
        <f t="shared" si="119"/>
        <v>3109.7852499999999</v>
      </c>
      <c r="Y527">
        <f t="shared" si="120"/>
        <v>0.37347217489696755</v>
      </c>
      <c r="Z527">
        <v>202404</v>
      </c>
      <c r="AA527" s="18">
        <v>202301</v>
      </c>
      <c r="AB527" t="str">
        <v>Apr-2023</v>
      </c>
      <c r="AC527">
        <f t="shared" si="121"/>
        <v>15</v>
      </c>
      <c r="AD527" t="str">
        <f t="shared" si="123"/>
        <v>Late</v>
      </c>
      <c r="AE527">
        <f t="shared" si="124"/>
        <v>0</v>
      </c>
      <c r="AF527">
        <f t="shared" si="125"/>
        <v>1</v>
      </c>
    </row>
    <row r="528" spans="1:32" x14ac:dyDescent="0.25">
      <c r="A528" s="3" t="s">
        <v>532</v>
      </c>
      <c r="B528" s="4">
        <v>45695</v>
      </c>
      <c r="C528" s="4" t="str">
        <f t="shared" si="112"/>
        <v>Feb-2025</v>
      </c>
      <c r="D528" s="4" t="str">
        <f t="shared" si="113"/>
        <v>Q1</v>
      </c>
      <c r="E528" s="4">
        <v>45704</v>
      </c>
      <c r="F528" s="10">
        <f t="shared" si="114"/>
        <v>9</v>
      </c>
      <c r="G528" s="3" t="s">
        <v>638</v>
      </c>
      <c r="H528" s="3" t="s">
        <v>643</v>
      </c>
      <c r="I528" s="3" t="s">
        <v>657</v>
      </c>
      <c r="J528" t="str">
        <f t="shared" si="115"/>
        <v>Africa &gt; Nigeria &gt; Lagos</v>
      </c>
      <c r="K528" s="3" t="s">
        <v>697</v>
      </c>
      <c r="L528" s="3" t="s">
        <v>702</v>
      </c>
      <c r="M528" s="3" t="s">
        <v>704</v>
      </c>
      <c r="N528" s="3" t="s">
        <v>720</v>
      </c>
      <c r="O528" s="3" t="s">
        <v>1250</v>
      </c>
      <c r="P528" s="6">
        <v>90.68</v>
      </c>
      <c r="Q528" s="6">
        <v>118.17</v>
      </c>
      <c r="R528" s="6" t="str">
        <f t="shared" si="116"/>
        <v>Low</v>
      </c>
      <c r="S528" s="6">
        <v>0.13500000000000001</v>
      </c>
      <c r="T528" s="6">
        <v>21</v>
      </c>
      <c r="U528">
        <f t="shared" si="117"/>
        <v>2146.5580500000001</v>
      </c>
      <c r="V528">
        <f t="shared" si="122"/>
        <v>177279.41579</v>
      </c>
      <c r="W528">
        <f t="shared" si="118"/>
        <v>1904.2800000000002</v>
      </c>
      <c r="X528" s="6">
        <f t="shared" si="119"/>
        <v>242.27804999999989</v>
      </c>
      <c r="Y528">
        <f t="shared" si="120"/>
        <v>0.11286815653552899</v>
      </c>
      <c r="Z528">
        <v>202502</v>
      </c>
      <c r="AA528" s="18">
        <v>202301</v>
      </c>
      <c r="AB528" t="str">
        <v>Feb-2023</v>
      </c>
      <c r="AC528">
        <f t="shared" si="121"/>
        <v>25</v>
      </c>
      <c r="AD528" t="str">
        <f t="shared" si="123"/>
        <v>Late</v>
      </c>
      <c r="AE528">
        <f t="shared" si="124"/>
        <v>0</v>
      </c>
      <c r="AF528">
        <f t="shared" si="125"/>
        <v>0</v>
      </c>
    </row>
    <row r="529" spans="1:32" x14ac:dyDescent="0.25">
      <c r="A529" s="3" t="s">
        <v>533</v>
      </c>
      <c r="B529" s="4">
        <v>44938</v>
      </c>
      <c r="C529" s="4" t="str">
        <f t="shared" si="112"/>
        <v>Jan-2023</v>
      </c>
      <c r="D529" s="4" t="str">
        <f t="shared" si="113"/>
        <v>Q1</v>
      </c>
      <c r="E529" s="4">
        <v>44952</v>
      </c>
      <c r="F529" s="10">
        <f t="shared" si="114"/>
        <v>14</v>
      </c>
      <c r="G529" s="3" t="s">
        <v>639</v>
      </c>
      <c r="H529" s="3" t="s">
        <v>651</v>
      </c>
      <c r="I529" s="3" t="s">
        <v>668</v>
      </c>
      <c r="J529" t="str">
        <f t="shared" si="115"/>
        <v>Asia &gt; China &gt; Shenzhen</v>
      </c>
      <c r="K529" s="3" t="s">
        <v>695</v>
      </c>
      <c r="L529" s="3" t="s">
        <v>699</v>
      </c>
      <c r="M529" s="3" t="s">
        <v>716</v>
      </c>
      <c r="N529" s="3" t="s">
        <v>720</v>
      </c>
      <c r="O529" s="3" t="s">
        <v>1251</v>
      </c>
      <c r="P529" s="6">
        <v>1083.0899999999999</v>
      </c>
      <c r="Q529" s="6">
        <v>1425.87</v>
      </c>
      <c r="R529" s="6" t="str">
        <f t="shared" si="116"/>
        <v>High</v>
      </c>
      <c r="S529" s="6">
        <v>0</v>
      </c>
      <c r="T529" s="6">
        <v>8</v>
      </c>
      <c r="U529">
        <f t="shared" si="117"/>
        <v>11406.96</v>
      </c>
      <c r="V529">
        <f t="shared" si="122"/>
        <v>177279.41579</v>
      </c>
      <c r="W529">
        <f t="shared" si="118"/>
        <v>8664.7199999999993</v>
      </c>
      <c r="X529" s="6">
        <f t="shared" si="119"/>
        <v>2742.24</v>
      </c>
      <c r="Y529">
        <f t="shared" si="120"/>
        <v>0.24040059752992909</v>
      </c>
      <c r="Z529">
        <v>202301</v>
      </c>
      <c r="AA529" s="18">
        <v>202301</v>
      </c>
      <c r="AB529" t="str">
        <v>Jan-2023</v>
      </c>
      <c r="AC529">
        <f t="shared" si="121"/>
        <v>0</v>
      </c>
      <c r="AD529" t="str">
        <f t="shared" si="123"/>
        <v>Late</v>
      </c>
      <c r="AE529">
        <f t="shared" si="124"/>
        <v>0</v>
      </c>
      <c r="AF529">
        <f t="shared" si="125"/>
        <v>0</v>
      </c>
    </row>
    <row r="530" spans="1:32" x14ac:dyDescent="0.25">
      <c r="A530" s="3" t="s">
        <v>534</v>
      </c>
      <c r="B530" s="4">
        <v>45448</v>
      </c>
      <c r="C530" s="4" t="str">
        <f t="shared" si="112"/>
        <v>Jun-2024</v>
      </c>
      <c r="D530" s="4" t="str">
        <f t="shared" si="113"/>
        <v>Q2</v>
      </c>
      <c r="E530" s="4">
        <v>45466</v>
      </c>
      <c r="F530" s="10">
        <f t="shared" si="114"/>
        <v>18</v>
      </c>
      <c r="G530" s="3" t="s">
        <v>638</v>
      </c>
      <c r="H530" s="3" t="s">
        <v>642</v>
      </c>
      <c r="I530" s="3" t="s">
        <v>656</v>
      </c>
      <c r="J530" t="str">
        <f t="shared" si="115"/>
        <v>Africa &gt; Kenya &gt; Nairobi</v>
      </c>
      <c r="K530" s="3" t="s">
        <v>696</v>
      </c>
      <c r="L530" s="3" t="s">
        <v>702</v>
      </c>
      <c r="M530" s="3" t="s">
        <v>718</v>
      </c>
      <c r="N530" s="3" t="s">
        <v>723</v>
      </c>
      <c r="O530" s="3" t="s">
        <v>1252</v>
      </c>
      <c r="P530" s="6">
        <v>1208.74</v>
      </c>
      <c r="Q530" s="6">
        <v>1594.78</v>
      </c>
      <c r="R530" s="6" t="str">
        <f t="shared" si="116"/>
        <v>High</v>
      </c>
      <c r="S530" s="6">
        <v>5.8999999999999997E-2</v>
      </c>
      <c r="T530" s="6">
        <v>39</v>
      </c>
      <c r="U530">
        <f t="shared" si="117"/>
        <v>58526.83122</v>
      </c>
      <c r="V530">
        <f t="shared" si="122"/>
        <v>177279.41579</v>
      </c>
      <c r="W530">
        <f t="shared" si="118"/>
        <v>47140.86</v>
      </c>
      <c r="X530" s="6">
        <f t="shared" si="119"/>
        <v>11385.971219999999</v>
      </c>
      <c r="Y530">
        <f t="shared" si="120"/>
        <v>0.1945427589817838</v>
      </c>
      <c r="Z530">
        <v>202406</v>
      </c>
      <c r="AA530" s="18">
        <v>202301</v>
      </c>
      <c r="AB530" t="str">
        <v>Jun-2023</v>
      </c>
      <c r="AC530">
        <f t="shared" si="121"/>
        <v>17</v>
      </c>
      <c r="AD530" t="str">
        <f t="shared" si="123"/>
        <v>Late</v>
      </c>
      <c r="AE530">
        <f t="shared" si="124"/>
        <v>0</v>
      </c>
      <c r="AF530">
        <f t="shared" si="125"/>
        <v>0</v>
      </c>
    </row>
    <row r="531" spans="1:32" x14ac:dyDescent="0.25">
      <c r="A531" s="3" t="s">
        <v>535</v>
      </c>
      <c r="B531" s="4">
        <v>45162</v>
      </c>
      <c r="C531" s="4" t="str">
        <f t="shared" si="112"/>
        <v>Aug-2023</v>
      </c>
      <c r="D531" s="4" t="str">
        <f t="shared" si="113"/>
        <v>Q3</v>
      </c>
      <c r="E531" s="4">
        <v>45189</v>
      </c>
      <c r="F531" s="10">
        <f t="shared" si="114"/>
        <v>27</v>
      </c>
      <c r="G531" s="3" t="s">
        <v>638</v>
      </c>
      <c r="H531" s="3" t="s">
        <v>653</v>
      </c>
      <c r="I531" s="3" t="s">
        <v>679</v>
      </c>
      <c r="J531" t="str">
        <f t="shared" si="115"/>
        <v>Africa &gt; South Africa &gt; Durban</v>
      </c>
      <c r="K531" s="3" t="s">
        <v>697</v>
      </c>
      <c r="L531" s="3" t="s">
        <v>701</v>
      </c>
      <c r="M531" s="3" t="s">
        <v>716</v>
      </c>
      <c r="N531" s="3" t="s">
        <v>720</v>
      </c>
      <c r="O531" s="3" t="s">
        <v>1253</v>
      </c>
      <c r="P531" s="6">
        <v>1399.64</v>
      </c>
      <c r="Q531" s="6">
        <v>3342.11</v>
      </c>
      <c r="R531" s="6" t="str">
        <f t="shared" si="116"/>
        <v>High</v>
      </c>
      <c r="S531" s="6">
        <v>0</v>
      </c>
      <c r="T531" s="6">
        <v>10</v>
      </c>
      <c r="U531">
        <f t="shared" si="117"/>
        <v>33421.1</v>
      </c>
      <c r="V531">
        <f t="shared" si="122"/>
        <v>177279.41579</v>
      </c>
      <c r="W531">
        <f t="shared" si="118"/>
        <v>13996.400000000001</v>
      </c>
      <c r="X531" s="6">
        <f t="shared" si="119"/>
        <v>19424.699999999997</v>
      </c>
      <c r="Y531">
        <f t="shared" si="120"/>
        <v>0.58121067229983447</v>
      </c>
      <c r="Z531">
        <v>202308</v>
      </c>
      <c r="AA531" s="18">
        <v>202301</v>
      </c>
      <c r="AB531" t="str">
        <v>Aug-2023</v>
      </c>
      <c r="AC531">
        <f t="shared" si="121"/>
        <v>7</v>
      </c>
      <c r="AD531" t="str">
        <f t="shared" si="123"/>
        <v>Late</v>
      </c>
      <c r="AE531">
        <f t="shared" si="124"/>
        <v>0</v>
      </c>
      <c r="AF531">
        <f t="shared" si="125"/>
        <v>0</v>
      </c>
    </row>
    <row r="532" spans="1:32" x14ac:dyDescent="0.25">
      <c r="A532" s="3" t="s">
        <v>536</v>
      </c>
      <c r="B532" s="4">
        <v>45316</v>
      </c>
      <c r="C532" s="4" t="str">
        <f t="shared" si="112"/>
        <v>Jan-2024</v>
      </c>
      <c r="D532" s="4" t="str">
        <f t="shared" si="113"/>
        <v>Q1</v>
      </c>
      <c r="E532" s="4">
        <v>45330</v>
      </c>
      <c r="F532" s="10">
        <f t="shared" si="114"/>
        <v>14</v>
      </c>
      <c r="G532" s="3" t="s">
        <v>639</v>
      </c>
      <c r="H532" s="3" t="s">
        <v>644</v>
      </c>
      <c r="I532" s="3" t="s">
        <v>658</v>
      </c>
      <c r="J532" t="str">
        <f t="shared" si="115"/>
        <v>Asia &gt; Japan &gt; Osaka</v>
      </c>
      <c r="K532" s="3" t="s">
        <v>696</v>
      </c>
      <c r="L532" s="3" t="s">
        <v>701</v>
      </c>
      <c r="M532" s="3" t="s">
        <v>706</v>
      </c>
      <c r="N532" s="3" t="s">
        <v>721</v>
      </c>
      <c r="O532" s="3" t="s">
        <v>1254</v>
      </c>
      <c r="P532" s="6">
        <v>937.16</v>
      </c>
      <c r="Q532" s="6">
        <v>1069.77</v>
      </c>
      <c r="R532" s="6" t="str">
        <f t="shared" si="116"/>
        <v>Medium</v>
      </c>
      <c r="S532" s="6">
        <v>3.7999999999999999E-2</v>
      </c>
      <c r="T532" s="6">
        <v>9</v>
      </c>
      <c r="U532">
        <f t="shared" si="117"/>
        <v>9262.0686600000008</v>
      </c>
      <c r="V532">
        <f t="shared" si="122"/>
        <v>177279.41579</v>
      </c>
      <c r="W532">
        <f t="shared" si="118"/>
        <v>8434.44</v>
      </c>
      <c r="X532" s="6">
        <f t="shared" si="119"/>
        <v>827.62866000000031</v>
      </c>
      <c r="Y532">
        <f t="shared" si="120"/>
        <v>8.9356783066645962E-2</v>
      </c>
      <c r="Z532">
        <v>202401</v>
      </c>
      <c r="AA532" s="18">
        <v>202303</v>
      </c>
      <c r="AB532" t="str">
        <v>Jan-2023</v>
      </c>
      <c r="AC532">
        <f t="shared" si="121"/>
        <v>10</v>
      </c>
      <c r="AD532" t="str">
        <f t="shared" si="123"/>
        <v>Late</v>
      </c>
      <c r="AE532">
        <f t="shared" si="124"/>
        <v>0</v>
      </c>
      <c r="AF532">
        <f t="shared" si="125"/>
        <v>0</v>
      </c>
    </row>
    <row r="533" spans="1:32" x14ac:dyDescent="0.25">
      <c r="A533" s="3" t="s">
        <v>537</v>
      </c>
      <c r="B533" s="4">
        <v>45727</v>
      </c>
      <c r="C533" s="4" t="str">
        <f t="shared" si="112"/>
        <v>Mar-2025</v>
      </c>
      <c r="D533" s="4" t="str">
        <f t="shared" si="113"/>
        <v>Q1</v>
      </c>
      <c r="E533" s="4">
        <v>45742</v>
      </c>
      <c r="F533" s="10">
        <f t="shared" si="114"/>
        <v>15</v>
      </c>
      <c r="G533" s="3" t="s">
        <v>641</v>
      </c>
      <c r="H533" s="3" t="s">
        <v>648</v>
      </c>
      <c r="I533" s="3" t="s">
        <v>663</v>
      </c>
      <c r="J533" t="str">
        <f t="shared" si="115"/>
        <v>Europe &gt; Germany &gt; Berlin</v>
      </c>
      <c r="K533" s="3" t="s">
        <v>697</v>
      </c>
      <c r="L533" s="3" t="s">
        <v>700</v>
      </c>
      <c r="M533" s="3" t="s">
        <v>706</v>
      </c>
      <c r="N533" s="3" t="s">
        <v>722</v>
      </c>
      <c r="O533" s="3" t="s">
        <v>1255</v>
      </c>
      <c r="P533" s="6">
        <v>116.97</v>
      </c>
      <c r="Q533" s="6">
        <v>140.82</v>
      </c>
      <c r="R533" s="6" t="str">
        <f t="shared" si="116"/>
        <v>Low</v>
      </c>
      <c r="S533" s="6">
        <v>0.122</v>
      </c>
      <c r="T533" s="6">
        <v>5</v>
      </c>
      <c r="U533">
        <f t="shared" si="117"/>
        <v>618.19979999999987</v>
      </c>
      <c r="V533">
        <f t="shared" si="122"/>
        <v>177279.41579</v>
      </c>
      <c r="W533">
        <f t="shared" si="118"/>
        <v>584.85</v>
      </c>
      <c r="X533" s="6">
        <f t="shared" si="119"/>
        <v>33.349799999999846</v>
      </c>
      <c r="Y533">
        <f t="shared" si="120"/>
        <v>5.3946636669891926E-2</v>
      </c>
      <c r="Z533">
        <v>202503</v>
      </c>
      <c r="AA533" s="18">
        <v>202301</v>
      </c>
      <c r="AB533" t="str">
        <v>Mar-2023</v>
      </c>
      <c r="AC533">
        <f t="shared" si="121"/>
        <v>26</v>
      </c>
      <c r="AD533" t="str">
        <f t="shared" si="123"/>
        <v>Late</v>
      </c>
      <c r="AE533">
        <f t="shared" si="124"/>
        <v>0</v>
      </c>
      <c r="AF533">
        <f t="shared" si="125"/>
        <v>0</v>
      </c>
    </row>
    <row r="534" spans="1:32" x14ac:dyDescent="0.25">
      <c r="A534" s="3" t="s">
        <v>538</v>
      </c>
      <c r="B534" s="4">
        <v>45769</v>
      </c>
      <c r="C534" s="4" t="str">
        <f t="shared" si="112"/>
        <v>Apr-2025</v>
      </c>
      <c r="D534" s="4" t="str">
        <f t="shared" si="113"/>
        <v>Q2</v>
      </c>
      <c r="E534" s="4">
        <v>45789</v>
      </c>
      <c r="F534" s="10">
        <f t="shared" si="114"/>
        <v>20</v>
      </c>
      <c r="G534" s="3" t="s">
        <v>641</v>
      </c>
      <c r="H534" s="3" t="s">
        <v>649</v>
      </c>
      <c r="I534" s="3" t="s">
        <v>671</v>
      </c>
      <c r="J534" t="str">
        <f t="shared" si="115"/>
        <v>Europe &gt; France &gt; Lyon</v>
      </c>
      <c r="K534" s="3" t="s">
        <v>698</v>
      </c>
      <c r="L534" s="3" t="s">
        <v>701</v>
      </c>
      <c r="M534" s="3" t="s">
        <v>715</v>
      </c>
      <c r="N534" s="3" t="s">
        <v>724</v>
      </c>
      <c r="O534" s="3" t="s">
        <v>1256</v>
      </c>
      <c r="P534" s="6">
        <v>59.51</v>
      </c>
      <c r="Q534" s="6">
        <v>67.040000000000006</v>
      </c>
      <c r="R534" s="6" t="str">
        <f t="shared" si="116"/>
        <v>Low</v>
      </c>
      <c r="S534" s="6">
        <v>0.114</v>
      </c>
      <c r="T534" s="6">
        <v>9</v>
      </c>
      <c r="U534">
        <f t="shared" si="117"/>
        <v>534.57695999999999</v>
      </c>
      <c r="V534">
        <f t="shared" si="122"/>
        <v>177279.41579</v>
      </c>
      <c r="W534">
        <f t="shared" si="118"/>
        <v>535.59</v>
      </c>
      <c r="X534" s="6">
        <f t="shared" si="119"/>
        <v>-1.0130400000000463</v>
      </c>
      <c r="Y534">
        <f t="shared" si="120"/>
        <v>-1.8950311663264469E-3</v>
      </c>
      <c r="Z534">
        <v>202504</v>
      </c>
      <c r="AA534" s="18">
        <v>202301</v>
      </c>
      <c r="AB534" t="str">
        <v>Apr-2023</v>
      </c>
      <c r="AC534">
        <f t="shared" si="121"/>
        <v>27</v>
      </c>
      <c r="AD534" t="str">
        <f t="shared" si="123"/>
        <v>Late</v>
      </c>
      <c r="AE534">
        <f t="shared" si="124"/>
        <v>0</v>
      </c>
      <c r="AF534">
        <f t="shared" si="125"/>
        <v>0</v>
      </c>
    </row>
    <row r="535" spans="1:32" x14ac:dyDescent="0.25">
      <c r="A535" s="3" t="s">
        <v>539</v>
      </c>
      <c r="B535" s="4">
        <v>45155</v>
      </c>
      <c r="C535" s="4" t="str">
        <f t="shared" si="112"/>
        <v>Aug-2023</v>
      </c>
      <c r="D535" s="4" t="str">
        <f t="shared" si="113"/>
        <v>Q3</v>
      </c>
      <c r="E535" s="4">
        <v>45172</v>
      </c>
      <c r="F535" s="10">
        <f t="shared" si="114"/>
        <v>17</v>
      </c>
      <c r="G535" s="3" t="s">
        <v>638</v>
      </c>
      <c r="H535" s="3" t="s">
        <v>653</v>
      </c>
      <c r="I535" s="3" t="s">
        <v>679</v>
      </c>
      <c r="J535" t="str">
        <f t="shared" si="115"/>
        <v>Africa &gt; South Africa &gt; Durban</v>
      </c>
      <c r="K535" s="3" t="s">
        <v>698</v>
      </c>
      <c r="L535" s="3" t="s">
        <v>699</v>
      </c>
      <c r="M535" s="3" t="s">
        <v>712</v>
      </c>
      <c r="N535" s="3" t="s">
        <v>722</v>
      </c>
      <c r="O535" s="3" t="s">
        <v>1257</v>
      </c>
      <c r="P535" s="6">
        <v>676.37</v>
      </c>
      <c r="Q535" s="6">
        <v>1276.67</v>
      </c>
      <c r="R535" s="6" t="str">
        <f t="shared" si="116"/>
        <v>Medium</v>
      </c>
      <c r="S535" s="6">
        <v>6.6000000000000003E-2</v>
      </c>
      <c r="T535" s="6">
        <v>10</v>
      </c>
      <c r="U535">
        <f t="shared" si="117"/>
        <v>11924.0978</v>
      </c>
      <c r="V535">
        <f t="shared" si="122"/>
        <v>177279.41579</v>
      </c>
      <c r="W535">
        <f t="shared" si="118"/>
        <v>6763.7</v>
      </c>
      <c r="X535" s="6">
        <f t="shared" si="119"/>
        <v>5160.3977999999997</v>
      </c>
      <c r="Y535">
        <f t="shared" si="120"/>
        <v>0.4327705027712872</v>
      </c>
      <c r="Z535">
        <v>202308</v>
      </c>
      <c r="AA535" s="18">
        <v>202301</v>
      </c>
      <c r="AB535" t="str">
        <v>Aug-2023</v>
      </c>
      <c r="AC535">
        <f t="shared" si="121"/>
        <v>7</v>
      </c>
      <c r="AD535" t="str">
        <f t="shared" si="123"/>
        <v>Late</v>
      </c>
      <c r="AE535">
        <f t="shared" si="124"/>
        <v>0</v>
      </c>
      <c r="AF535">
        <f t="shared" si="125"/>
        <v>0</v>
      </c>
    </row>
    <row r="536" spans="1:32" x14ac:dyDescent="0.25">
      <c r="A536" s="3" t="s">
        <v>540</v>
      </c>
      <c r="B536" s="4">
        <v>45832</v>
      </c>
      <c r="C536" s="4" t="str">
        <f t="shared" si="112"/>
        <v>Jun-2025</v>
      </c>
      <c r="D536" s="4" t="str">
        <f t="shared" si="113"/>
        <v>Q2</v>
      </c>
      <c r="E536" s="4">
        <v>45852</v>
      </c>
      <c r="F536" s="10">
        <f t="shared" si="114"/>
        <v>20</v>
      </c>
      <c r="G536" s="3" t="s">
        <v>638</v>
      </c>
      <c r="H536" s="3" t="s">
        <v>653</v>
      </c>
      <c r="I536" s="3" t="s">
        <v>674</v>
      </c>
      <c r="J536" t="str">
        <f t="shared" si="115"/>
        <v>Africa &gt; South Africa &gt; Johannesburg</v>
      </c>
      <c r="K536" s="3" t="s">
        <v>698</v>
      </c>
      <c r="L536" s="3" t="s">
        <v>701</v>
      </c>
      <c r="M536" s="3" t="s">
        <v>705</v>
      </c>
      <c r="N536" s="3" t="s">
        <v>723</v>
      </c>
      <c r="O536" s="3" t="s">
        <v>1258</v>
      </c>
      <c r="P536" s="6">
        <v>1151.06</v>
      </c>
      <c r="Q536" s="6">
        <v>2821.36</v>
      </c>
      <c r="R536" s="6" t="str">
        <f t="shared" si="116"/>
        <v>High</v>
      </c>
      <c r="S536" s="6">
        <v>0.248</v>
      </c>
      <c r="T536" s="6">
        <v>20</v>
      </c>
      <c r="U536">
        <f t="shared" si="117"/>
        <v>42433.254400000005</v>
      </c>
      <c r="V536">
        <f t="shared" si="122"/>
        <v>177279.41579</v>
      </c>
      <c r="W536">
        <f t="shared" si="118"/>
        <v>23021.199999999997</v>
      </c>
      <c r="X536" s="6">
        <f t="shared" si="119"/>
        <v>19412.054400000008</v>
      </c>
      <c r="Y536">
        <f t="shared" si="120"/>
        <v>0.45747267501594235</v>
      </c>
      <c r="Z536">
        <v>202506</v>
      </c>
      <c r="AA536" s="18">
        <v>202301</v>
      </c>
      <c r="AB536" t="str">
        <v>Jun-2023</v>
      </c>
      <c r="AC536">
        <f t="shared" si="121"/>
        <v>29</v>
      </c>
      <c r="AD536" t="str">
        <f t="shared" si="123"/>
        <v>Late</v>
      </c>
      <c r="AE536">
        <f t="shared" si="124"/>
        <v>0</v>
      </c>
      <c r="AF536">
        <f t="shared" si="125"/>
        <v>1</v>
      </c>
    </row>
    <row r="537" spans="1:32" x14ac:dyDescent="0.25">
      <c r="A537" s="3" t="s">
        <v>541</v>
      </c>
      <c r="B537" s="4">
        <v>45667</v>
      </c>
      <c r="C537" s="4" t="str">
        <f t="shared" si="112"/>
        <v>Jan-2025</v>
      </c>
      <c r="D537" s="4" t="str">
        <f t="shared" si="113"/>
        <v>Q1</v>
      </c>
      <c r="E537" s="4">
        <v>45694</v>
      </c>
      <c r="F537" s="10">
        <f t="shared" si="114"/>
        <v>27</v>
      </c>
      <c r="G537" s="3" t="s">
        <v>640</v>
      </c>
      <c r="H537" s="3" t="s">
        <v>647</v>
      </c>
      <c r="I537" s="3" t="s">
        <v>664</v>
      </c>
      <c r="J537" t="str">
        <f t="shared" si="115"/>
        <v>Americas &gt; Brazil &gt; Brasília</v>
      </c>
      <c r="K537" s="3" t="s">
        <v>695</v>
      </c>
      <c r="L537" s="3" t="s">
        <v>699</v>
      </c>
      <c r="M537" s="3" t="s">
        <v>709</v>
      </c>
      <c r="N537" s="3" t="s">
        <v>723</v>
      </c>
      <c r="O537" s="3" t="s">
        <v>1259</v>
      </c>
      <c r="P537" s="6">
        <v>725.62</v>
      </c>
      <c r="Q537" s="6">
        <v>1559.19</v>
      </c>
      <c r="R537" s="6" t="str">
        <f t="shared" si="116"/>
        <v>Medium</v>
      </c>
      <c r="S537" s="6">
        <v>0.19</v>
      </c>
      <c r="T537" s="6">
        <v>12</v>
      </c>
      <c r="U537">
        <f t="shared" si="117"/>
        <v>15155.326800000001</v>
      </c>
      <c r="V537">
        <f t="shared" si="122"/>
        <v>177279.41579</v>
      </c>
      <c r="W537">
        <f t="shared" si="118"/>
        <v>8707.44</v>
      </c>
      <c r="X537" s="6">
        <f t="shared" si="119"/>
        <v>6447.8868000000002</v>
      </c>
      <c r="Y537">
        <f t="shared" si="120"/>
        <v>0.42545349797405885</v>
      </c>
      <c r="Z537">
        <v>202501</v>
      </c>
      <c r="AA537" s="18">
        <v>202301</v>
      </c>
      <c r="AB537" t="str">
        <v>Jan-2023</v>
      </c>
      <c r="AC537">
        <f t="shared" si="121"/>
        <v>24</v>
      </c>
      <c r="AD537" t="str">
        <f t="shared" si="123"/>
        <v>Late</v>
      </c>
      <c r="AE537">
        <f t="shared" si="124"/>
        <v>0</v>
      </c>
      <c r="AF537">
        <f t="shared" si="125"/>
        <v>0</v>
      </c>
    </row>
    <row r="538" spans="1:32" x14ac:dyDescent="0.25">
      <c r="A538" s="3" t="s">
        <v>542</v>
      </c>
      <c r="B538" s="4">
        <v>45108</v>
      </c>
      <c r="C538" s="4" t="str">
        <f t="shared" si="112"/>
        <v>Jul-2023</v>
      </c>
      <c r="D538" s="4" t="str">
        <f t="shared" si="113"/>
        <v>Q3</v>
      </c>
      <c r="E538" s="4">
        <v>45118</v>
      </c>
      <c r="F538" s="10">
        <f t="shared" si="114"/>
        <v>10</v>
      </c>
      <c r="G538" s="3" t="s">
        <v>641</v>
      </c>
      <c r="H538" s="3" t="s">
        <v>649</v>
      </c>
      <c r="I538" s="3" t="s">
        <v>682</v>
      </c>
      <c r="J538" t="str">
        <f t="shared" si="115"/>
        <v>Europe &gt; France &gt; Paris</v>
      </c>
      <c r="K538" s="3" t="s">
        <v>693</v>
      </c>
      <c r="L538" s="3" t="s">
        <v>703</v>
      </c>
      <c r="M538" s="3" t="s">
        <v>713</v>
      </c>
      <c r="N538" s="3" t="s">
        <v>721</v>
      </c>
      <c r="O538" s="3" t="s">
        <v>1260</v>
      </c>
      <c r="P538" s="6">
        <v>479.5</v>
      </c>
      <c r="Q538" s="6">
        <v>656.66</v>
      </c>
      <c r="R538" s="6" t="str">
        <f t="shared" si="116"/>
        <v>Low</v>
      </c>
      <c r="S538" s="6">
        <v>0.14899999999999999</v>
      </c>
      <c r="T538" s="6">
        <v>14</v>
      </c>
      <c r="U538">
        <f t="shared" si="117"/>
        <v>7823.4472399999995</v>
      </c>
      <c r="V538">
        <f t="shared" si="122"/>
        <v>177279.41579</v>
      </c>
      <c r="W538">
        <f t="shared" si="118"/>
        <v>6713</v>
      </c>
      <c r="X538" s="6">
        <f t="shared" si="119"/>
        <v>1110.4472399999995</v>
      </c>
      <c r="Y538">
        <f t="shared" si="120"/>
        <v>0.14193835606412289</v>
      </c>
      <c r="Z538">
        <v>202307</v>
      </c>
      <c r="AA538" s="18">
        <v>202301</v>
      </c>
      <c r="AB538" t="str">
        <v>Jul-2023</v>
      </c>
      <c r="AC538">
        <f t="shared" si="121"/>
        <v>6</v>
      </c>
      <c r="AD538" t="str">
        <f t="shared" si="123"/>
        <v>Late</v>
      </c>
      <c r="AE538">
        <f t="shared" si="124"/>
        <v>0</v>
      </c>
      <c r="AF538">
        <f t="shared" si="125"/>
        <v>0</v>
      </c>
    </row>
    <row r="539" spans="1:32" x14ac:dyDescent="0.25">
      <c r="A539" s="3" t="s">
        <v>543</v>
      </c>
      <c r="B539" s="4">
        <v>45520</v>
      </c>
      <c r="C539" s="4" t="str">
        <f t="shared" si="112"/>
        <v>Aug-2024</v>
      </c>
      <c r="D539" s="4" t="str">
        <f t="shared" si="113"/>
        <v>Q3</v>
      </c>
      <c r="E539" s="4">
        <v>45530</v>
      </c>
      <c r="F539" s="10">
        <f t="shared" si="114"/>
        <v>10</v>
      </c>
      <c r="G539" s="3" t="s">
        <v>640</v>
      </c>
      <c r="H539" s="3" t="s">
        <v>652</v>
      </c>
      <c r="I539" s="3" t="s">
        <v>669</v>
      </c>
      <c r="J539" t="str">
        <f t="shared" si="115"/>
        <v>Americas &gt; USA &gt; Chicago</v>
      </c>
      <c r="K539" s="3" t="s">
        <v>693</v>
      </c>
      <c r="L539" s="3" t="s">
        <v>702</v>
      </c>
      <c r="M539" s="3" t="s">
        <v>708</v>
      </c>
      <c r="N539" s="3" t="s">
        <v>723</v>
      </c>
      <c r="O539" s="3" t="s">
        <v>1112</v>
      </c>
      <c r="P539" s="6">
        <v>1291.7</v>
      </c>
      <c r="Q539" s="6">
        <v>2657.84</v>
      </c>
      <c r="R539" s="6" t="str">
        <f t="shared" si="116"/>
        <v>High</v>
      </c>
      <c r="S539" s="6">
        <v>8.6999999999999994E-2</v>
      </c>
      <c r="T539" s="6">
        <v>21</v>
      </c>
      <c r="U539">
        <f t="shared" si="117"/>
        <v>50958.766320000002</v>
      </c>
      <c r="V539">
        <f t="shared" si="122"/>
        <v>177279.41579</v>
      </c>
      <c r="W539">
        <f t="shared" si="118"/>
        <v>27125.7</v>
      </c>
      <c r="X539" s="6">
        <f t="shared" si="119"/>
        <v>23833.066320000002</v>
      </c>
      <c r="Y539">
        <f t="shared" si="120"/>
        <v>0.46769315745083367</v>
      </c>
      <c r="Z539">
        <v>202408</v>
      </c>
      <c r="AA539" s="18">
        <v>202301</v>
      </c>
      <c r="AB539" t="str">
        <v>Aug-2023</v>
      </c>
      <c r="AC539">
        <f t="shared" si="121"/>
        <v>19</v>
      </c>
      <c r="AD539" t="str">
        <f t="shared" si="123"/>
        <v>Late</v>
      </c>
      <c r="AE539">
        <f t="shared" si="124"/>
        <v>0</v>
      </c>
      <c r="AF539">
        <f t="shared" si="125"/>
        <v>0</v>
      </c>
    </row>
    <row r="540" spans="1:32" x14ac:dyDescent="0.25">
      <c r="A540" s="3" t="s">
        <v>544</v>
      </c>
      <c r="B540" s="4">
        <v>45114</v>
      </c>
      <c r="C540" s="4" t="str">
        <f t="shared" si="112"/>
        <v>Jul-2023</v>
      </c>
      <c r="D540" s="4" t="str">
        <f t="shared" si="113"/>
        <v>Q3</v>
      </c>
      <c r="E540" s="4">
        <v>45120</v>
      </c>
      <c r="F540" s="10">
        <f t="shared" si="114"/>
        <v>6</v>
      </c>
      <c r="G540" s="3" t="s">
        <v>638</v>
      </c>
      <c r="H540" s="3" t="s">
        <v>653</v>
      </c>
      <c r="I540" s="3" t="s">
        <v>687</v>
      </c>
      <c r="J540" t="str">
        <f t="shared" si="115"/>
        <v>Africa &gt; South Africa &gt; Cape Town</v>
      </c>
      <c r="K540" s="3" t="s">
        <v>697</v>
      </c>
      <c r="L540" s="3" t="s">
        <v>701</v>
      </c>
      <c r="M540" s="3" t="s">
        <v>709</v>
      </c>
      <c r="N540" s="3" t="s">
        <v>725</v>
      </c>
      <c r="O540" s="3" t="s">
        <v>1261</v>
      </c>
      <c r="P540" s="6">
        <v>612.59</v>
      </c>
      <c r="Q540" s="6">
        <v>1424.74</v>
      </c>
      <c r="R540" s="6" t="str">
        <f t="shared" si="116"/>
        <v>Medium</v>
      </c>
      <c r="S540" s="6">
        <v>4.3999999999999997E-2</v>
      </c>
      <c r="T540" s="6">
        <v>15</v>
      </c>
      <c r="U540">
        <f t="shared" si="117"/>
        <v>20430.771599999996</v>
      </c>
      <c r="V540">
        <f t="shared" si="122"/>
        <v>177279.41579</v>
      </c>
      <c r="W540">
        <f t="shared" si="118"/>
        <v>9188.85</v>
      </c>
      <c r="X540" s="6">
        <f t="shared" si="119"/>
        <v>11241.921599999996</v>
      </c>
      <c r="Y540">
        <f t="shared" si="120"/>
        <v>0.55024459281802152</v>
      </c>
      <c r="Z540">
        <v>202307</v>
      </c>
      <c r="AA540" s="18">
        <v>202301</v>
      </c>
      <c r="AB540" t="str">
        <v>Jul-2023</v>
      </c>
      <c r="AC540">
        <f t="shared" si="121"/>
        <v>6</v>
      </c>
      <c r="AD540" t="str">
        <f t="shared" si="123"/>
        <v>On Time</v>
      </c>
      <c r="AE540">
        <f t="shared" si="124"/>
        <v>1</v>
      </c>
      <c r="AF540">
        <f t="shared" si="125"/>
        <v>0</v>
      </c>
    </row>
    <row r="541" spans="1:32" x14ac:dyDescent="0.25">
      <c r="A541" s="3" t="s">
        <v>545</v>
      </c>
      <c r="B541" s="4">
        <v>45288</v>
      </c>
      <c r="C541" s="4" t="str">
        <f t="shared" si="112"/>
        <v>Dec-2023</v>
      </c>
      <c r="D541" s="4" t="str">
        <f t="shared" si="113"/>
        <v>Q4</v>
      </c>
      <c r="E541" s="4">
        <v>45292</v>
      </c>
      <c r="F541" s="10">
        <f t="shared" si="114"/>
        <v>4</v>
      </c>
      <c r="G541" s="3" t="s">
        <v>638</v>
      </c>
      <c r="H541" s="3" t="s">
        <v>653</v>
      </c>
      <c r="I541" s="3" t="s">
        <v>687</v>
      </c>
      <c r="J541" t="str">
        <f t="shared" si="115"/>
        <v>Africa &gt; South Africa &gt; Cape Town</v>
      </c>
      <c r="K541" s="3" t="s">
        <v>694</v>
      </c>
      <c r="L541" s="3" t="s">
        <v>702</v>
      </c>
      <c r="M541" s="3" t="s">
        <v>712</v>
      </c>
      <c r="N541" s="3" t="s">
        <v>720</v>
      </c>
      <c r="O541" s="3" t="s">
        <v>1262</v>
      </c>
      <c r="P541" s="6">
        <v>1141.8</v>
      </c>
      <c r="Q541" s="6">
        <v>2318.7399999999998</v>
      </c>
      <c r="R541" s="6" t="str">
        <f t="shared" si="116"/>
        <v>High</v>
      </c>
      <c r="S541" s="6">
        <v>0.107</v>
      </c>
      <c r="T541" s="6">
        <v>32</v>
      </c>
      <c r="U541">
        <f t="shared" si="117"/>
        <v>66260.314239999992</v>
      </c>
      <c r="V541">
        <f t="shared" si="122"/>
        <v>177279.41579</v>
      </c>
      <c r="W541">
        <f t="shared" si="118"/>
        <v>36537.599999999999</v>
      </c>
      <c r="X541" s="6">
        <f t="shared" si="119"/>
        <v>29722.714239999994</v>
      </c>
      <c r="Y541">
        <f t="shared" si="120"/>
        <v>0.44857490612468304</v>
      </c>
      <c r="Z541">
        <v>202312</v>
      </c>
      <c r="AA541" s="18">
        <v>202301</v>
      </c>
      <c r="AB541" t="str">
        <v>Dec-2023</v>
      </c>
      <c r="AC541">
        <f t="shared" si="121"/>
        <v>11</v>
      </c>
      <c r="AD541" t="str">
        <f t="shared" si="123"/>
        <v>On Time</v>
      </c>
      <c r="AE541">
        <f t="shared" si="124"/>
        <v>1</v>
      </c>
      <c r="AF541">
        <f t="shared" si="125"/>
        <v>0</v>
      </c>
    </row>
    <row r="542" spans="1:32" x14ac:dyDescent="0.25">
      <c r="A542" s="3" t="s">
        <v>546</v>
      </c>
      <c r="B542" s="4">
        <v>44952</v>
      </c>
      <c r="C542" s="4" t="str">
        <f t="shared" si="112"/>
        <v>Jan-2023</v>
      </c>
      <c r="D542" s="4" t="str">
        <f t="shared" si="113"/>
        <v>Q1</v>
      </c>
      <c r="E542" s="4">
        <v>44972</v>
      </c>
      <c r="F542" s="10">
        <f t="shared" si="114"/>
        <v>20</v>
      </c>
      <c r="G542" s="3" t="s">
        <v>641</v>
      </c>
      <c r="H542" s="3" t="s">
        <v>648</v>
      </c>
      <c r="I542" s="3" t="s">
        <v>663</v>
      </c>
      <c r="J542" t="str">
        <f t="shared" si="115"/>
        <v>Europe &gt; Germany &gt; Berlin</v>
      </c>
      <c r="K542" s="3" t="s">
        <v>697</v>
      </c>
      <c r="L542" s="3" t="s">
        <v>700</v>
      </c>
      <c r="M542" s="3" t="s">
        <v>711</v>
      </c>
      <c r="N542" s="3" t="s">
        <v>721</v>
      </c>
      <c r="O542" s="3" t="s">
        <v>1263</v>
      </c>
      <c r="P542" s="6">
        <v>492.62</v>
      </c>
      <c r="Q542" s="6">
        <v>366.7</v>
      </c>
      <c r="R542" s="6" t="str">
        <f t="shared" si="116"/>
        <v>Low</v>
      </c>
      <c r="S542" s="6">
        <v>8.8999999999999996E-2</v>
      </c>
      <c r="T542" s="6">
        <v>10</v>
      </c>
      <c r="U542">
        <f t="shared" si="117"/>
        <v>3340.6370000000002</v>
      </c>
      <c r="V542">
        <f t="shared" si="122"/>
        <v>177279.41579</v>
      </c>
      <c r="W542">
        <f t="shared" si="118"/>
        <v>4926.2</v>
      </c>
      <c r="X542" s="6">
        <f t="shared" si="119"/>
        <v>-1585.5629999999996</v>
      </c>
      <c r="Y542">
        <f t="shared" si="120"/>
        <v>-0.47462894052840809</v>
      </c>
      <c r="Z542">
        <v>202301</v>
      </c>
      <c r="AA542" s="18">
        <v>202301</v>
      </c>
      <c r="AB542" t="str">
        <v>Jan-2023</v>
      </c>
      <c r="AC542">
        <f t="shared" si="121"/>
        <v>0</v>
      </c>
      <c r="AD542" t="str">
        <f t="shared" si="123"/>
        <v>Late</v>
      </c>
      <c r="AE542">
        <f t="shared" si="124"/>
        <v>0</v>
      </c>
      <c r="AF542">
        <f t="shared" si="125"/>
        <v>0</v>
      </c>
    </row>
    <row r="543" spans="1:32" x14ac:dyDescent="0.25">
      <c r="A543" s="3" t="s">
        <v>547</v>
      </c>
      <c r="B543" s="4">
        <v>45115</v>
      </c>
      <c r="C543" s="4" t="str">
        <f t="shared" si="112"/>
        <v>Jul-2023</v>
      </c>
      <c r="D543" s="4" t="str">
        <f t="shared" si="113"/>
        <v>Q3</v>
      </c>
      <c r="E543" s="4">
        <v>45116</v>
      </c>
      <c r="F543" s="10">
        <f t="shared" si="114"/>
        <v>1</v>
      </c>
      <c r="G543" s="3" t="s">
        <v>638</v>
      </c>
      <c r="H543" s="3" t="s">
        <v>642</v>
      </c>
      <c r="I543" s="3" t="s">
        <v>656</v>
      </c>
      <c r="J543" t="str">
        <f t="shared" si="115"/>
        <v>Africa &gt; Kenya &gt; Nairobi</v>
      </c>
      <c r="K543" s="3" t="s">
        <v>696</v>
      </c>
      <c r="L543" s="3" t="s">
        <v>700</v>
      </c>
      <c r="M543" s="3" t="s">
        <v>718</v>
      </c>
      <c r="N543" s="3" t="s">
        <v>723</v>
      </c>
      <c r="O543" s="3" t="s">
        <v>1264</v>
      </c>
      <c r="P543" s="6">
        <v>1258.72</v>
      </c>
      <c r="Q543" s="6">
        <v>2797.41</v>
      </c>
      <c r="R543" s="6" t="str">
        <f t="shared" si="116"/>
        <v>High</v>
      </c>
      <c r="S543" s="6">
        <v>0</v>
      </c>
      <c r="T543" s="6">
        <v>7</v>
      </c>
      <c r="U543">
        <f t="shared" si="117"/>
        <v>19581.87</v>
      </c>
      <c r="V543">
        <f t="shared" si="122"/>
        <v>177279.41579</v>
      </c>
      <c r="W543">
        <f t="shared" si="118"/>
        <v>8811.0400000000009</v>
      </c>
      <c r="X543" s="6">
        <f t="shared" si="119"/>
        <v>10770.829999999998</v>
      </c>
      <c r="Y543">
        <f t="shared" si="120"/>
        <v>0.55004093071805704</v>
      </c>
      <c r="Z543">
        <v>202307</v>
      </c>
      <c r="AA543" s="18">
        <v>202301</v>
      </c>
      <c r="AB543" t="str">
        <v>Jul-2023</v>
      </c>
      <c r="AC543">
        <f t="shared" si="121"/>
        <v>6</v>
      </c>
      <c r="AD543" t="str">
        <f t="shared" si="123"/>
        <v>On Time</v>
      </c>
      <c r="AE543">
        <f t="shared" si="124"/>
        <v>1</v>
      </c>
      <c r="AF543">
        <f t="shared" si="125"/>
        <v>0</v>
      </c>
    </row>
    <row r="544" spans="1:32" x14ac:dyDescent="0.25">
      <c r="A544" s="3" t="s">
        <v>548</v>
      </c>
      <c r="B544" s="4">
        <v>45450</v>
      </c>
      <c r="C544" s="4" t="str">
        <f t="shared" si="112"/>
        <v>Jun-2024</v>
      </c>
      <c r="D544" s="4" t="str">
        <f t="shared" si="113"/>
        <v>Q2</v>
      </c>
      <c r="E544" s="4">
        <v>45452</v>
      </c>
      <c r="F544" s="10">
        <f t="shared" si="114"/>
        <v>2</v>
      </c>
      <c r="G544" s="3" t="s">
        <v>639</v>
      </c>
      <c r="H544" s="3" t="s">
        <v>651</v>
      </c>
      <c r="I544" s="3" t="s">
        <v>677</v>
      </c>
      <c r="J544" t="str">
        <f t="shared" si="115"/>
        <v>Asia &gt; China &gt; Shanghai</v>
      </c>
      <c r="K544" s="3" t="s">
        <v>693</v>
      </c>
      <c r="L544" s="3" t="s">
        <v>699</v>
      </c>
      <c r="M544" s="3" t="s">
        <v>711</v>
      </c>
      <c r="N544" s="3" t="s">
        <v>724</v>
      </c>
      <c r="O544" s="3" t="s">
        <v>1265</v>
      </c>
      <c r="P544" s="6">
        <v>1370.28</v>
      </c>
      <c r="Q544" s="6">
        <v>2209.66</v>
      </c>
      <c r="R544" s="6" t="str">
        <f t="shared" si="116"/>
        <v>High</v>
      </c>
      <c r="S544" s="6">
        <v>0.13300000000000001</v>
      </c>
      <c r="T544" s="6">
        <v>16</v>
      </c>
      <c r="U544">
        <f t="shared" si="117"/>
        <v>30652.403519999996</v>
      </c>
      <c r="V544">
        <f t="shared" si="122"/>
        <v>177279.41579</v>
      </c>
      <c r="W544">
        <f t="shared" si="118"/>
        <v>21924.48</v>
      </c>
      <c r="X544" s="6">
        <f t="shared" si="119"/>
        <v>8727.9235199999966</v>
      </c>
      <c r="Y544">
        <f t="shared" si="120"/>
        <v>0.28473863442079589</v>
      </c>
      <c r="Z544">
        <v>202406</v>
      </c>
      <c r="AA544" s="18">
        <v>202301</v>
      </c>
      <c r="AB544" t="str">
        <v>Jun-2023</v>
      </c>
      <c r="AC544">
        <f t="shared" si="121"/>
        <v>17</v>
      </c>
      <c r="AD544" t="str">
        <f t="shared" si="123"/>
        <v>On Time</v>
      </c>
      <c r="AE544">
        <f t="shared" si="124"/>
        <v>1</v>
      </c>
      <c r="AF544">
        <f t="shared" si="125"/>
        <v>0</v>
      </c>
    </row>
    <row r="545" spans="1:32" x14ac:dyDescent="0.25">
      <c r="A545" s="3" t="s">
        <v>549</v>
      </c>
      <c r="B545" s="4">
        <v>44968</v>
      </c>
      <c r="C545" s="4" t="str">
        <f t="shared" si="112"/>
        <v>Feb-2023</v>
      </c>
      <c r="D545" s="4" t="str">
        <f t="shared" si="113"/>
        <v>Q1</v>
      </c>
      <c r="E545" s="4">
        <v>44969</v>
      </c>
      <c r="F545" s="10">
        <f t="shared" si="114"/>
        <v>1</v>
      </c>
      <c r="G545" s="3" t="s">
        <v>638</v>
      </c>
      <c r="H545" s="3" t="s">
        <v>643</v>
      </c>
      <c r="I545" s="3" t="s">
        <v>655</v>
      </c>
      <c r="J545" t="str">
        <f t="shared" si="115"/>
        <v>Africa &gt; Nigeria &gt; Port Harcourt</v>
      </c>
      <c r="K545" s="3" t="s">
        <v>695</v>
      </c>
      <c r="L545" s="3" t="s">
        <v>703</v>
      </c>
      <c r="M545" s="3" t="s">
        <v>718</v>
      </c>
      <c r="N545" s="3" t="s">
        <v>725</v>
      </c>
      <c r="O545" s="3" t="s">
        <v>1266</v>
      </c>
      <c r="P545" s="6">
        <v>944.61</v>
      </c>
      <c r="Q545" s="6">
        <v>839.04</v>
      </c>
      <c r="R545" s="6" t="str">
        <f t="shared" si="116"/>
        <v>Medium</v>
      </c>
      <c r="S545" s="6">
        <v>5.8999999999999997E-2</v>
      </c>
      <c r="T545" s="6">
        <v>6</v>
      </c>
      <c r="U545">
        <f t="shared" si="117"/>
        <v>4737.2198399999997</v>
      </c>
      <c r="V545">
        <f t="shared" si="122"/>
        <v>177279.41579</v>
      </c>
      <c r="W545">
        <f t="shared" si="118"/>
        <v>5667.66</v>
      </c>
      <c r="X545" s="6">
        <f t="shared" si="119"/>
        <v>-930.44016000000011</v>
      </c>
      <c r="Y545">
        <f t="shared" si="120"/>
        <v>-0.19641059343363726</v>
      </c>
      <c r="Z545">
        <v>202302</v>
      </c>
      <c r="AA545" s="18">
        <v>202301</v>
      </c>
      <c r="AB545" t="str">
        <v>Feb-2023</v>
      </c>
      <c r="AC545">
        <f t="shared" si="121"/>
        <v>1</v>
      </c>
      <c r="AD545" t="str">
        <f t="shared" si="123"/>
        <v>On Time</v>
      </c>
      <c r="AE545">
        <f t="shared" si="124"/>
        <v>1</v>
      </c>
      <c r="AF545">
        <f t="shared" si="125"/>
        <v>0</v>
      </c>
    </row>
    <row r="546" spans="1:32" x14ac:dyDescent="0.25">
      <c r="A546" s="3" t="s">
        <v>550</v>
      </c>
      <c r="B546" s="4">
        <v>45108</v>
      </c>
      <c r="C546" s="4" t="str">
        <f t="shared" si="112"/>
        <v>Jul-2023</v>
      </c>
      <c r="D546" s="4" t="str">
        <f t="shared" si="113"/>
        <v>Q3</v>
      </c>
      <c r="E546" s="4">
        <v>45115</v>
      </c>
      <c r="F546" s="10">
        <f t="shared" si="114"/>
        <v>7</v>
      </c>
      <c r="G546" s="3" t="s">
        <v>641</v>
      </c>
      <c r="H546" s="3" t="s">
        <v>648</v>
      </c>
      <c r="I546" s="3" t="s">
        <v>690</v>
      </c>
      <c r="J546" t="str">
        <f t="shared" si="115"/>
        <v>Europe &gt; Germany &gt; Frankfurt</v>
      </c>
      <c r="K546" s="3" t="s">
        <v>697</v>
      </c>
      <c r="L546" s="3" t="s">
        <v>702</v>
      </c>
      <c r="M546" s="3" t="s">
        <v>717</v>
      </c>
      <c r="N546" s="3" t="s">
        <v>723</v>
      </c>
      <c r="O546" s="3" t="s">
        <v>1267</v>
      </c>
      <c r="P546" s="6">
        <v>460.21</v>
      </c>
      <c r="Q546" s="6">
        <v>1139.1500000000001</v>
      </c>
      <c r="R546" s="6" t="str">
        <f t="shared" si="116"/>
        <v>Low</v>
      </c>
      <c r="S546" s="6">
        <v>0.115</v>
      </c>
      <c r="T546" s="6">
        <v>14</v>
      </c>
      <c r="U546">
        <f t="shared" si="117"/>
        <v>14114.068500000001</v>
      </c>
      <c r="V546">
        <f t="shared" si="122"/>
        <v>177279.41579</v>
      </c>
      <c r="W546">
        <f t="shared" si="118"/>
        <v>6442.94</v>
      </c>
      <c r="X546" s="6">
        <f t="shared" si="119"/>
        <v>7671.1285000000016</v>
      </c>
      <c r="Y546">
        <f t="shared" si="120"/>
        <v>0.54350937151821255</v>
      </c>
      <c r="Z546">
        <v>202307</v>
      </c>
      <c r="AA546" s="18">
        <v>202301</v>
      </c>
      <c r="AB546" t="str">
        <v>Jul-2023</v>
      </c>
      <c r="AC546">
        <f t="shared" si="121"/>
        <v>6</v>
      </c>
      <c r="AD546" t="str">
        <f t="shared" si="123"/>
        <v>On Time</v>
      </c>
      <c r="AE546">
        <f t="shared" si="124"/>
        <v>1</v>
      </c>
      <c r="AF546">
        <f t="shared" si="125"/>
        <v>0</v>
      </c>
    </row>
    <row r="547" spans="1:32" x14ac:dyDescent="0.25">
      <c r="A547" s="3" t="s">
        <v>551</v>
      </c>
      <c r="B547" s="4">
        <v>45889</v>
      </c>
      <c r="C547" s="4" t="str">
        <f t="shared" si="112"/>
        <v>Aug-2025</v>
      </c>
      <c r="D547" s="4" t="str">
        <f t="shared" si="113"/>
        <v>Q3</v>
      </c>
      <c r="E547" s="4">
        <v>45895</v>
      </c>
      <c r="F547" s="10">
        <f t="shared" si="114"/>
        <v>6</v>
      </c>
      <c r="G547" s="3" t="s">
        <v>640</v>
      </c>
      <c r="H547" s="3" t="s">
        <v>652</v>
      </c>
      <c r="I547" s="3" t="s">
        <v>692</v>
      </c>
      <c r="J547" t="str">
        <f t="shared" si="115"/>
        <v>Americas &gt; USA &gt; New York</v>
      </c>
      <c r="K547" s="3" t="s">
        <v>693</v>
      </c>
      <c r="L547" s="3" t="s">
        <v>699</v>
      </c>
      <c r="M547" s="3" t="s">
        <v>716</v>
      </c>
      <c r="N547" s="3" t="s">
        <v>721</v>
      </c>
      <c r="O547" s="3" t="s">
        <v>1268</v>
      </c>
      <c r="P547" s="6">
        <v>1304.95</v>
      </c>
      <c r="Q547" s="6">
        <v>1712.03</v>
      </c>
      <c r="R547" s="6" t="str">
        <f t="shared" si="116"/>
        <v>High</v>
      </c>
      <c r="S547" s="6">
        <v>0.21199999999999999</v>
      </c>
      <c r="T547" s="6">
        <v>8</v>
      </c>
      <c r="U547">
        <f t="shared" si="117"/>
        <v>10792.637119999999</v>
      </c>
      <c r="V547">
        <f t="shared" si="122"/>
        <v>177279.41579</v>
      </c>
      <c r="W547">
        <f t="shared" si="118"/>
        <v>10439.6</v>
      </c>
      <c r="X547" s="6">
        <f t="shared" si="119"/>
        <v>353.03711999999905</v>
      </c>
      <c r="Y547">
        <f t="shared" si="120"/>
        <v>3.2710922833287949E-2</v>
      </c>
      <c r="Z547">
        <v>202508</v>
      </c>
      <c r="AA547" s="18">
        <v>202301</v>
      </c>
      <c r="AB547" t="str">
        <v>Aug-2023</v>
      </c>
      <c r="AC547">
        <f t="shared" si="121"/>
        <v>31</v>
      </c>
      <c r="AD547" t="str">
        <f t="shared" si="123"/>
        <v>On Time</v>
      </c>
      <c r="AE547">
        <f t="shared" si="124"/>
        <v>1</v>
      </c>
      <c r="AF547">
        <f t="shared" si="125"/>
        <v>1</v>
      </c>
    </row>
    <row r="548" spans="1:32" x14ac:dyDescent="0.25">
      <c r="A548" s="3" t="s">
        <v>552</v>
      </c>
      <c r="B548" s="4">
        <v>45355</v>
      </c>
      <c r="C548" s="4" t="str">
        <f t="shared" si="112"/>
        <v>Mar-2024</v>
      </c>
      <c r="D548" s="4" t="str">
        <f t="shared" si="113"/>
        <v>Q1</v>
      </c>
      <c r="E548" s="4">
        <v>45367</v>
      </c>
      <c r="F548" s="10">
        <f t="shared" si="114"/>
        <v>12</v>
      </c>
      <c r="G548" s="3" t="s">
        <v>638</v>
      </c>
      <c r="H548" s="3" t="s">
        <v>653</v>
      </c>
      <c r="I548" s="3" t="s">
        <v>674</v>
      </c>
      <c r="J548" t="str">
        <f t="shared" si="115"/>
        <v>Africa &gt; South Africa &gt; Johannesburg</v>
      </c>
      <c r="K548" s="3" t="s">
        <v>698</v>
      </c>
      <c r="L548" s="3" t="s">
        <v>702</v>
      </c>
      <c r="M548" s="3" t="s">
        <v>716</v>
      </c>
      <c r="N548" s="3" t="s">
        <v>724</v>
      </c>
      <c r="O548" s="3" t="s">
        <v>1269</v>
      </c>
      <c r="P548" s="6">
        <v>441.08</v>
      </c>
      <c r="Q548" s="6">
        <v>1054.29</v>
      </c>
      <c r="R548" s="6" t="str">
        <f t="shared" si="116"/>
        <v>Low</v>
      </c>
      <c r="S548" s="6">
        <v>0.23699999999999999</v>
      </c>
      <c r="T548" s="6">
        <v>6</v>
      </c>
      <c r="U548">
        <f t="shared" si="117"/>
        <v>4826.5396199999996</v>
      </c>
      <c r="V548">
        <f t="shared" si="122"/>
        <v>177279.41579</v>
      </c>
      <c r="W548">
        <f t="shared" si="118"/>
        <v>2646.48</v>
      </c>
      <c r="X548" s="6">
        <f t="shared" si="119"/>
        <v>2180.0596199999995</v>
      </c>
      <c r="Y548">
        <f t="shared" si="120"/>
        <v>0.45168169985932899</v>
      </c>
      <c r="Z548">
        <v>202403</v>
      </c>
      <c r="AA548" s="18">
        <v>202301</v>
      </c>
      <c r="AB548" t="str">
        <v>Mar-2023</v>
      </c>
      <c r="AC548">
        <f t="shared" si="121"/>
        <v>14</v>
      </c>
      <c r="AD548" t="str">
        <f t="shared" si="123"/>
        <v>Late</v>
      </c>
      <c r="AE548">
        <f t="shared" si="124"/>
        <v>0</v>
      </c>
      <c r="AF548">
        <f t="shared" si="125"/>
        <v>1</v>
      </c>
    </row>
    <row r="549" spans="1:32" x14ac:dyDescent="0.25">
      <c r="A549" s="3" t="s">
        <v>553</v>
      </c>
      <c r="B549" s="4">
        <v>45177</v>
      </c>
      <c r="C549" s="4" t="str">
        <f t="shared" si="112"/>
        <v>Sept-2023</v>
      </c>
      <c r="D549" s="4" t="str">
        <f t="shared" si="113"/>
        <v>Q3</v>
      </c>
      <c r="E549" s="4">
        <v>45201</v>
      </c>
      <c r="F549" s="10">
        <f t="shared" si="114"/>
        <v>24</v>
      </c>
      <c r="G549" s="3" t="s">
        <v>640</v>
      </c>
      <c r="H549" s="3" t="s">
        <v>645</v>
      </c>
      <c r="I549" s="3" t="s">
        <v>659</v>
      </c>
      <c r="J549" t="str">
        <f t="shared" si="115"/>
        <v>Americas &gt; Canada &gt; Toronto</v>
      </c>
      <c r="K549" s="3" t="s">
        <v>694</v>
      </c>
      <c r="L549" s="3" t="s">
        <v>703</v>
      </c>
      <c r="M549" s="3" t="s">
        <v>712</v>
      </c>
      <c r="N549" s="3" t="s">
        <v>725</v>
      </c>
      <c r="O549" s="3" t="s">
        <v>1270</v>
      </c>
      <c r="P549" s="6">
        <v>1299.03</v>
      </c>
      <c r="Q549" s="6">
        <v>2451.2199999999998</v>
      </c>
      <c r="R549" s="6" t="str">
        <f t="shared" si="116"/>
        <v>High</v>
      </c>
      <c r="S549" s="6">
        <v>0.20799999999999999</v>
      </c>
      <c r="T549" s="6">
        <v>8</v>
      </c>
      <c r="U549">
        <f t="shared" si="117"/>
        <v>15530.929919999999</v>
      </c>
      <c r="V549">
        <f t="shared" si="122"/>
        <v>177279.41579</v>
      </c>
      <c r="W549">
        <f t="shared" si="118"/>
        <v>10392.24</v>
      </c>
      <c r="X549" s="6">
        <f t="shared" si="119"/>
        <v>5138.6899199999989</v>
      </c>
      <c r="Y549">
        <f t="shared" si="120"/>
        <v>0.3308681416032041</v>
      </c>
      <c r="Z549">
        <v>202309</v>
      </c>
      <c r="AA549" s="18">
        <v>202301</v>
      </c>
      <c r="AB549" t="str">
        <v>Sept-2023</v>
      </c>
      <c r="AC549">
        <f t="shared" si="121"/>
        <v>8</v>
      </c>
      <c r="AD549" t="str">
        <f t="shared" si="123"/>
        <v>Late</v>
      </c>
      <c r="AE549">
        <f t="shared" si="124"/>
        <v>0</v>
      </c>
      <c r="AF549">
        <f t="shared" si="125"/>
        <v>1</v>
      </c>
    </row>
    <row r="550" spans="1:32" x14ac:dyDescent="0.25">
      <c r="A550" s="3" t="s">
        <v>554</v>
      </c>
      <c r="B550" s="4">
        <v>44985</v>
      </c>
      <c r="C550" s="4" t="str">
        <f t="shared" si="112"/>
        <v>Feb-2023</v>
      </c>
      <c r="D550" s="4" t="str">
        <f t="shared" si="113"/>
        <v>Q1</v>
      </c>
      <c r="E550" s="4">
        <v>44991</v>
      </c>
      <c r="F550" s="10">
        <f t="shared" si="114"/>
        <v>6</v>
      </c>
      <c r="G550" s="3" t="s">
        <v>641</v>
      </c>
      <c r="H550" s="3" t="s">
        <v>648</v>
      </c>
      <c r="I550" s="3" t="s">
        <v>690</v>
      </c>
      <c r="J550" t="str">
        <f t="shared" si="115"/>
        <v>Europe &gt; Germany &gt; Frankfurt</v>
      </c>
      <c r="K550" s="3" t="s">
        <v>697</v>
      </c>
      <c r="L550" s="3" t="s">
        <v>701</v>
      </c>
      <c r="M550" s="3" t="s">
        <v>718</v>
      </c>
      <c r="N550" s="3" t="s">
        <v>720</v>
      </c>
      <c r="O550" s="3" t="s">
        <v>1271</v>
      </c>
      <c r="P550" s="6">
        <v>880.02</v>
      </c>
      <c r="Q550" s="6">
        <v>1251.21</v>
      </c>
      <c r="R550" s="6" t="str">
        <f t="shared" si="116"/>
        <v>Medium</v>
      </c>
      <c r="S550" s="6">
        <v>0.123</v>
      </c>
      <c r="T550" s="6">
        <v>29</v>
      </c>
      <c r="U550">
        <f t="shared" si="117"/>
        <v>31822.023930000003</v>
      </c>
      <c r="V550">
        <f t="shared" si="122"/>
        <v>177279.41579</v>
      </c>
      <c r="W550">
        <f t="shared" si="118"/>
        <v>25520.579999999998</v>
      </c>
      <c r="X550" s="6">
        <f t="shared" si="119"/>
        <v>6301.4439300000049</v>
      </c>
      <c r="Y550">
        <f t="shared" si="120"/>
        <v>0.19802146915172672</v>
      </c>
      <c r="Z550">
        <v>202302</v>
      </c>
      <c r="AA550" s="18">
        <v>202301</v>
      </c>
      <c r="AB550" t="str">
        <v>Feb-2023</v>
      </c>
      <c r="AC550">
        <f t="shared" si="121"/>
        <v>1</v>
      </c>
      <c r="AD550" t="str">
        <f t="shared" si="123"/>
        <v>On Time</v>
      </c>
      <c r="AE550">
        <f t="shared" si="124"/>
        <v>1</v>
      </c>
      <c r="AF550">
        <f t="shared" si="125"/>
        <v>0</v>
      </c>
    </row>
    <row r="551" spans="1:32" x14ac:dyDescent="0.25">
      <c r="A551" s="3" t="s">
        <v>555</v>
      </c>
      <c r="B551" s="4">
        <v>45486</v>
      </c>
      <c r="C551" s="4" t="str">
        <f t="shared" si="112"/>
        <v>Jul-2024</v>
      </c>
      <c r="D551" s="4" t="str">
        <f t="shared" si="113"/>
        <v>Q3</v>
      </c>
      <c r="E551" s="4">
        <v>45507</v>
      </c>
      <c r="F551" s="10">
        <f t="shared" si="114"/>
        <v>21</v>
      </c>
      <c r="G551" s="3" t="s">
        <v>640</v>
      </c>
      <c r="H551" s="3" t="s">
        <v>647</v>
      </c>
      <c r="I551" s="3" t="s">
        <v>684</v>
      </c>
      <c r="J551" t="str">
        <f t="shared" si="115"/>
        <v>Americas &gt; Brazil &gt; Rio de Janeiro</v>
      </c>
      <c r="K551" s="3" t="s">
        <v>693</v>
      </c>
      <c r="L551" s="3" t="s">
        <v>701</v>
      </c>
      <c r="M551" s="3" t="s">
        <v>716</v>
      </c>
      <c r="N551" s="3" t="s">
        <v>724</v>
      </c>
      <c r="O551" s="3" t="s">
        <v>1272</v>
      </c>
      <c r="P551" s="6">
        <v>702.98</v>
      </c>
      <c r="Q551" s="6">
        <v>1104.8</v>
      </c>
      <c r="R551" s="6" t="str">
        <f t="shared" si="116"/>
        <v>Medium</v>
      </c>
      <c r="S551" s="6">
        <v>0.17499999999999999</v>
      </c>
      <c r="T551" s="6">
        <v>12</v>
      </c>
      <c r="U551">
        <f t="shared" si="117"/>
        <v>10937.519999999999</v>
      </c>
      <c r="V551">
        <f t="shared" si="122"/>
        <v>177279.41579</v>
      </c>
      <c r="W551">
        <f t="shared" si="118"/>
        <v>8435.76</v>
      </c>
      <c r="X551" s="6">
        <f t="shared" si="119"/>
        <v>2501.7599999999984</v>
      </c>
      <c r="Y551">
        <f t="shared" si="120"/>
        <v>0.22873192460448061</v>
      </c>
      <c r="Z551">
        <v>202407</v>
      </c>
      <c r="AA551" s="18">
        <v>202301</v>
      </c>
      <c r="AB551" t="str">
        <v>Jul-2023</v>
      </c>
      <c r="AC551">
        <f t="shared" si="121"/>
        <v>18</v>
      </c>
      <c r="AD551" t="str">
        <f t="shared" si="123"/>
        <v>Late</v>
      </c>
      <c r="AE551">
        <f t="shared" si="124"/>
        <v>0</v>
      </c>
      <c r="AF551">
        <f t="shared" si="125"/>
        <v>0</v>
      </c>
    </row>
    <row r="552" spans="1:32" x14ac:dyDescent="0.25">
      <c r="A552" s="3" t="s">
        <v>556</v>
      </c>
      <c r="B552" s="4">
        <v>45633</v>
      </c>
      <c r="C552" s="4" t="str">
        <f t="shared" si="112"/>
        <v>Dec-2024</v>
      </c>
      <c r="D552" s="4" t="str">
        <f t="shared" si="113"/>
        <v>Q4</v>
      </c>
      <c r="E552" s="4">
        <v>45652</v>
      </c>
      <c r="F552" s="10">
        <f t="shared" si="114"/>
        <v>19</v>
      </c>
      <c r="G552" s="3" t="s">
        <v>641</v>
      </c>
      <c r="H552" s="3" t="s">
        <v>650</v>
      </c>
      <c r="I552" s="3" t="s">
        <v>675</v>
      </c>
      <c r="J552" t="str">
        <f t="shared" si="115"/>
        <v>Europe &gt; United Kingdom &gt; London</v>
      </c>
      <c r="K552" s="3" t="s">
        <v>698</v>
      </c>
      <c r="L552" s="3" t="s">
        <v>700</v>
      </c>
      <c r="M552" s="3" t="s">
        <v>718</v>
      </c>
      <c r="N552" s="3" t="s">
        <v>721</v>
      </c>
      <c r="O552" s="3" t="s">
        <v>1273</v>
      </c>
      <c r="P552" s="6">
        <v>1035.24</v>
      </c>
      <c r="Q552" s="6">
        <v>2383.41</v>
      </c>
      <c r="R552" s="6" t="str">
        <f t="shared" si="116"/>
        <v>High</v>
      </c>
      <c r="S552" s="6">
        <v>0.17</v>
      </c>
      <c r="T552" s="6">
        <v>15</v>
      </c>
      <c r="U552">
        <f t="shared" si="117"/>
        <v>29673.454499999993</v>
      </c>
      <c r="V552">
        <f t="shared" si="122"/>
        <v>177279.41579</v>
      </c>
      <c r="W552">
        <f t="shared" si="118"/>
        <v>15528.6</v>
      </c>
      <c r="X552" s="6">
        <f t="shared" si="119"/>
        <v>14144.854499999992</v>
      </c>
      <c r="Y552">
        <f t="shared" si="120"/>
        <v>0.47668378145860962</v>
      </c>
      <c r="Z552">
        <v>202412</v>
      </c>
      <c r="AA552" s="18">
        <v>202301</v>
      </c>
      <c r="AB552" t="str">
        <v>Dec-2023</v>
      </c>
      <c r="AC552">
        <f t="shared" si="121"/>
        <v>23</v>
      </c>
      <c r="AD552" t="str">
        <f t="shared" si="123"/>
        <v>Late</v>
      </c>
      <c r="AE552">
        <f t="shared" si="124"/>
        <v>0</v>
      </c>
      <c r="AF552">
        <f t="shared" si="125"/>
        <v>0</v>
      </c>
    </row>
    <row r="553" spans="1:32" x14ac:dyDescent="0.25">
      <c r="A553" s="3" t="s">
        <v>557</v>
      </c>
      <c r="B553" s="4">
        <v>45875</v>
      </c>
      <c r="C553" s="4" t="str">
        <f t="shared" si="112"/>
        <v>Aug-2025</v>
      </c>
      <c r="D553" s="4" t="str">
        <f t="shared" si="113"/>
        <v>Q3</v>
      </c>
      <c r="E553" s="4">
        <v>45892</v>
      </c>
      <c r="F553" s="10">
        <f t="shared" si="114"/>
        <v>17</v>
      </c>
      <c r="G553" s="3" t="s">
        <v>640</v>
      </c>
      <c r="H553" s="3" t="s">
        <v>647</v>
      </c>
      <c r="I553" s="3" t="s">
        <v>664</v>
      </c>
      <c r="J553" t="str">
        <f t="shared" si="115"/>
        <v>Americas &gt; Brazil &gt; Brasília</v>
      </c>
      <c r="K553" s="3" t="s">
        <v>696</v>
      </c>
      <c r="L553" s="3" t="s">
        <v>702</v>
      </c>
      <c r="M553" s="3" t="s">
        <v>712</v>
      </c>
      <c r="N553" s="3" t="s">
        <v>724</v>
      </c>
      <c r="O553" s="3" t="s">
        <v>1274</v>
      </c>
      <c r="P553" s="6">
        <v>86.64</v>
      </c>
      <c r="Q553" s="6">
        <v>213.06</v>
      </c>
      <c r="R553" s="6" t="str">
        <f t="shared" si="116"/>
        <v>Low</v>
      </c>
      <c r="S553" s="6">
        <v>0.21199999999999999</v>
      </c>
      <c r="T553" s="6">
        <v>11</v>
      </c>
      <c r="U553">
        <f t="shared" si="117"/>
        <v>1846.8040799999999</v>
      </c>
      <c r="V553">
        <f t="shared" si="122"/>
        <v>177279.41579</v>
      </c>
      <c r="W553">
        <f t="shared" si="118"/>
        <v>953.04</v>
      </c>
      <c r="X553" s="6">
        <f t="shared" si="119"/>
        <v>893.76407999999992</v>
      </c>
      <c r="Y553">
        <f t="shared" si="120"/>
        <v>0.48395175735154322</v>
      </c>
      <c r="Z553">
        <v>202508</v>
      </c>
      <c r="AA553" s="18">
        <v>202301</v>
      </c>
      <c r="AB553" t="str">
        <v>Aug-2023</v>
      </c>
      <c r="AC553">
        <f t="shared" si="121"/>
        <v>31</v>
      </c>
      <c r="AD553" t="str">
        <f t="shared" si="123"/>
        <v>Late</v>
      </c>
      <c r="AE553">
        <f t="shared" si="124"/>
        <v>0</v>
      </c>
      <c r="AF553">
        <f t="shared" si="125"/>
        <v>1</v>
      </c>
    </row>
    <row r="554" spans="1:32" x14ac:dyDescent="0.25">
      <c r="A554" s="3" t="s">
        <v>558</v>
      </c>
      <c r="B554" s="4">
        <v>44988</v>
      </c>
      <c r="C554" s="4" t="str">
        <f t="shared" si="112"/>
        <v>Mar-2023</v>
      </c>
      <c r="D554" s="4" t="str">
        <f t="shared" si="113"/>
        <v>Q1</v>
      </c>
      <c r="E554" s="4">
        <v>45005</v>
      </c>
      <c r="F554" s="10">
        <f t="shared" si="114"/>
        <v>17</v>
      </c>
      <c r="G554" s="3" t="s">
        <v>639</v>
      </c>
      <c r="H554" s="3" t="s">
        <v>644</v>
      </c>
      <c r="I554" s="3" t="s">
        <v>686</v>
      </c>
      <c r="J554" t="str">
        <f t="shared" si="115"/>
        <v>Asia &gt; Japan &gt; Nagoya</v>
      </c>
      <c r="K554" s="3" t="s">
        <v>697</v>
      </c>
      <c r="L554" s="3" t="s">
        <v>700</v>
      </c>
      <c r="M554" s="3" t="s">
        <v>718</v>
      </c>
      <c r="N554" s="3" t="s">
        <v>721</v>
      </c>
      <c r="O554" s="3" t="s">
        <v>1275</v>
      </c>
      <c r="P554" s="6">
        <v>1171.17</v>
      </c>
      <c r="Q554" s="6">
        <v>2030.64</v>
      </c>
      <c r="R554" s="6" t="str">
        <f t="shared" si="116"/>
        <v>High</v>
      </c>
      <c r="S554" s="6">
        <v>0.157</v>
      </c>
      <c r="T554" s="6">
        <v>11</v>
      </c>
      <c r="U554">
        <f t="shared" si="117"/>
        <v>18830.12472</v>
      </c>
      <c r="V554">
        <f t="shared" si="122"/>
        <v>177279.41579</v>
      </c>
      <c r="W554">
        <f t="shared" si="118"/>
        <v>12882.87</v>
      </c>
      <c r="X554" s="6">
        <f t="shared" si="119"/>
        <v>5947.254719999999</v>
      </c>
      <c r="Y554">
        <f t="shared" si="120"/>
        <v>0.31583724528830415</v>
      </c>
      <c r="Z554">
        <v>202303</v>
      </c>
      <c r="AA554" s="18">
        <v>202303</v>
      </c>
      <c r="AB554" t="str">
        <v>Mar-2023</v>
      </c>
      <c r="AC554">
        <f t="shared" si="121"/>
        <v>0</v>
      </c>
      <c r="AD554" t="str">
        <f t="shared" si="123"/>
        <v>Late</v>
      </c>
      <c r="AE554">
        <f t="shared" si="124"/>
        <v>0</v>
      </c>
      <c r="AF554">
        <f t="shared" si="125"/>
        <v>0</v>
      </c>
    </row>
    <row r="555" spans="1:32" x14ac:dyDescent="0.25">
      <c r="A555" s="3" t="s">
        <v>559</v>
      </c>
      <c r="B555" s="4">
        <v>45704</v>
      </c>
      <c r="C555" s="4" t="str">
        <f t="shared" si="112"/>
        <v>Feb-2025</v>
      </c>
      <c r="D555" s="4" t="str">
        <f t="shared" si="113"/>
        <v>Q1</v>
      </c>
      <c r="E555" s="4">
        <v>45733</v>
      </c>
      <c r="F555" s="10">
        <f t="shared" si="114"/>
        <v>29</v>
      </c>
      <c r="G555" s="3" t="s">
        <v>641</v>
      </c>
      <c r="H555" s="3" t="s">
        <v>648</v>
      </c>
      <c r="I555" s="3" t="s">
        <v>676</v>
      </c>
      <c r="J555" t="str">
        <f t="shared" si="115"/>
        <v>Europe &gt; Germany &gt; Munich</v>
      </c>
      <c r="K555" s="3" t="s">
        <v>696</v>
      </c>
      <c r="L555" s="3" t="s">
        <v>699</v>
      </c>
      <c r="M555" s="3" t="s">
        <v>708</v>
      </c>
      <c r="N555" s="3" t="s">
        <v>725</v>
      </c>
      <c r="O555" s="3" t="s">
        <v>1276</v>
      </c>
      <c r="P555" s="6">
        <v>730.42</v>
      </c>
      <c r="Q555" s="6">
        <v>956.7</v>
      </c>
      <c r="R555" s="6" t="str">
        <f t="shared" si="116"/>
        <v>Medium</v>
      </c>
      <c r="S555" s="6">
        <v>4.2000000000000003E-2</v>
      </c>
      <c r="T555" s="6">
        <v>22</v>
      </c>
      <c r="U555">
        <f t="shared" si="117"/>
        <v>20163.409200000002</v>
      </c>
      <c r="V555">
        <f t="shared" si="122"/>
        <v>177279.41579</v>
      </c>
      <c r="W555">
        <f t="shared" si="118"/>
        <v>16069.24</v>
      </c>
      <c r="X555" s="6">
        <f t="shared" si="119"/>
        <v>4094.1692000000021</v>
      </c>
      <c r="Y555">
        <f t="shared" si="120"/>
        <v>0.20304945256975698</v>
      </c>
      <c r="Z555">
        <v>202502</v>
      </c>
      <c r="AA555" s="18">
        <v>202301</v>
      </c>
      <c r="AB555" t="str">
        <v>Feb-2023</v>
      </c>
      <c r="AC555">
        <f t="shared" si="121"/>
        <v>25</v>
      </c>
      <c r="AD555" t="str">
        <f t="shared" si="123"/>
        <v>Late</v>
      </c>
      <c r="AE555">
        <f t="shared" si="124"/>
        <v>0</v>
      </c>
      <c r="AF555">
        <f t="shared" si="125"/>
        <v>0</v>
      </c>
    </row>
    <row r="556" spans="1:32" x14ac:dyDescent="0.25">
      <c r="A556" s="3" t="s">
        <v>560</v>
      </c>
      <c r="B556" s="4">
        <v>45703</v>
      </c>
      <c r="C556" s="4" t="str">
        <f t="shared" si="112"/>
        <v>Feb-2025</v>
      </c>
      <c r="D556" s="4" t="str">
        <f t="shared" si="113"/>
        <v>Q1</v>
      </c>
      <c r="E556" s="4">
        <v>45717</v>
      </c>
      <c r="F556" s="10">
        <f t="shared" si="114"/>
        <v>14</v>
      </c>
      <c r="G556" s="3" t="s">
        <v>638</v>
      </c>
      <c r="H556" s="3" t="s">
        <v>642</v>
      </c>
      <c r="I556" s="3" t="s">
        <v>667</v>
      </c>
      <c r="J556" t="str">
        <f t="shared" si="115"/>
        <v>Africa &gt; Kenya &gt; Mombasa</v>
      </c>
      <c r="K556" s="3" t="s">
        <v>694</v>
      </c>
      <c r="L556" s="3" t="s">
        <v>703</v>
      </c>
      <c r="M556" s="3" t="s">
        <v>708</v>
      </c>
      <c r="N556" s="3" t="s">
        <v>725</v>
      </c>
      <c r="O556" s="3" t="s">
        <v>1277</v>
      </c>
      <c r="P556" s="6">
        <v>1162.8599999999999</v>
      </c>
      <c r="Q556" s="6">
        <v>1447.68</v>
      </c>
      <c r="R556" s="6" t="str">
        <f t="shared" si="116"/>
        <v>High</v>
      </c>
      <c r="S556" s="6">
        <v>8.6999999999999994E-2</v>
      </c>
      <c r="T556" s="6">
        <v>12</v>
      </c>
      <c r="U556">
        <f t="shared" si="117"/>
        <v>15860.782080000001</v>
      </c>
      <c r="V556">
        <f t="shared" si="122"/>
        <v>177279.41579</v>
      </c>
      <c r="W556">
        <f t="shared" si="118"/>
        <v>13954.32</v>
      </c>
      <c r="X556" s="6">
        <f t="shared" si="119"/>
        <v>1906.4620800000012</v>
      </c>
      <c r="Y556">
        <f t="shared" si="120"/>
        <v>0.12019975247021369</v>
      </c>
      <c r="Z556">
        <v>202502</v>
      </c>
      <c r="AA556" s="18">
        <v>202301</v>
      </c>
      <c r="AB556" t="str">
        <v>Feb-2023</v>
      </c>
      <c r="AC556">
        <f t="shared" si="121"/>
        <v>25</v>
      </c>
      <c r="AD556" t="str">
        <f t="shared" si="123"/>
        <v>Late</v>
      </c>
      <c r="AE556">
        <f t="shared" si="124"/>
        <v>0</v>
      </c>
      <c r="AF556">
        <f t="shared" si="125"/>
        <v>0</v>
      </c>
    </row>
    <row r="557" spans="1:32" x14ac:dyDescent="0.25">
      <c r="A557" s="3" t="s">
        <v>561</v>
      </c>
      <c r="B557" s="4">
        <v>45535</v>
      </c>
      <c r="C557" s="4" t="str">
        <f t="shared" si="112"/>
        <v>Aug-2024</v>
      </c>
      <c r="D557" s="4" t="str">
        <f t="shared" si="113"/>
        <v>Q3</v>
      </c>
      <c r="E557" s="4">
        <v>45561</v>
      </c>
      <c r="F557" s="10">
        <f t="shared" si="114"/>
        <v>26</v>
      </c>
      <c r="G557" s="3" t="s">
        <v>639</v>
      </c>
      <c r="H557" s="3" t="s">
        <v>644</v>
      </c>
      <c r="I557" s="3" t="s">
        <v>681</v>
      </c>
      <c r="J557" t="str">
        <f t="shared" si="115"/>
        <v>Asia &gt; Japan &gt; Tokyo</v>
      </c>
      <c r="K557" s="3" t="s">
        <v>694</v>
      </c>
      <c r="L557" s="3" t="s">
        <v>700</v>
      </c>
      <c r="M557" s="3" t="s">
        <v>706</v>
      </c>
      <c r="N557" s="3" t="s">
        <v>722</v>
      </c>
      <c r="O557" s="3" t="s">
        <v>1278</v>
      </c>
      <c r="P557" s="6">
        <v>1189.03</v>
      </c>
      <c r="Q557" s="6">
        <v>2949.62</v>
      </c>
      <c r="R557" s="6" t="str">
        <f t="shared" si="116"/>
        <v>High</v>
      </c>
      <c r="S557" s="6">
        <v>0.125</v>
      </c>
      <c r="T557" s="6">
        <v>13</v>
      </c>
      <c r="U557">
        <f t="shared" si="117"/>
        <v>33551.927499999998</v>
      </c>
      <c r="V557">
        <f t="shared" si="122"/>
        <v>177279.41579</v>
      </c>
      <c r="W557">
        <f t="shared" si="118"/>
        <v>15457.39</v>
      </c>
      <c r="X557" s="6">
        <f t="shared" si="119"/>
        <v>18094.537499999999</v>
      </c>
      <c r="Y557">
        <f t="shared" si="120"/>
        <v>0.53929949330034765</v>
      </c>
      <c r="Z557">
        <v>202408</v>
      </c>
      <c r="AA557" s="18">
        <v>202303</v>
      </c>
      <c r="AB557" t="str">
        <v>Aug-2023</v>
      </c>
      <c r="AC557">
        <f t="shared" si="121"/>
        <v>17</v>
      </c>
      <c r="AD557" t="str">
        <f t="shared" si="123"/>
        <v>Late</v>
      </c>
      <c r="AE557">
        <f t="shared" si="124"/>
        <v>0</v>
      </c>
      <c r="AF557">
        <f t="shared" si="125"/>
        <v>0</v>
      </c>
    </row>
    <row r="558" spans="1:32" x14ac:dyDescent="0.25">
      <c r="A558" s="3" t="s">
        <v>562</v>
      </c>
      <c r="B558" s="4">
        <v>45053</v>
      </c>
      <c r="C558" s="4" t="str">
        <f t="shared" si="112"/>
        <v>May-2023</v>
      </c>
      <c r="D558" s="4" t="str">
        <f t="shared" si="113"/>
        <v>Q2</v>
      </c>
      <c r="E558" s="4">
        <v>45066</v>
      </c>
      <c r="F558" s="10">
        <f t="shared" si="114"/>
        <v>13</v>
      </c>
      <c r="G558" s="3" t="s">
        <v>639</v>
      </c>
      <c r="H558" s="3" t="s">
        <v>646</v>
      </c>
      <c r="I558" s="3" t="s">
        <v>683</v>
      </c>
      <c r="J558" t="str">
        <f t="shared" si="115"/>
        <v>Asia &gt; India &gt; Mumbai</v>
      </c>
      <c r="K558" s="3" t="s">
        <v>698</v>
      </c>
      <c r="L558" s="3" t="s">
        <v>699</v>
      </c>
      <c r="M558" s="3" t="s">
        <v>718</v>
      </c>
      <c r="N558" s="3" t="s">
        <v>725</v>
      </c>
      <c r="O558" s="3" t="s">
        <v>1279</v>
      </c>
      <c r="P558" s="6">
        <v>1443.28</v>
      </c>
      <c r="Q558" s="6">
        <v>2580.5700000000002</v>
      </c>
      <c r="R558" s="6" t="str">
        <f t="shared" si="116"/>
        <v>High</v>
      </c>
      <c r="S558" s="6">
        <v>0</v>
      </c>
      <c r="T558" s="6">
        <v>18</v>
      </c>
      <c r="U558">
        <f t="shared" si="117"/>
        <v>46450.26</v>
      </c>
      <c r="V558">
        <f t="shared" si="122"/>
        <v>177279.41579</v>
      </c>
      <c r="W558">
        <f t="shared" si="118"/>
        <v>25979.040000000001</v>
      </c>
      <c r="X558" s="6">
        <f t="shared" si="119"/>
        <v>20471.22</v>
      </c>
      <c r="Y558">
        <f t="shared" si="120"/>
        <v>0.4407127107577008</v>
      </c>
      <c r="Z558">
        <v>202305</v>
      </c>
      <c r="AA558" s="18">
        <v>202301</v>
      </c>
      <c r="AB558" t="str">
        <v>May-2023</v>
      </c>
      <c r="AC558">
        <f t="shared" si="121"/>
        <v>4</v>
      </c>
      <c r="AD558" t="str">
        <f t="shared" si="123"/>
        <v>Late</v>
      </c>
      <c r="AE558">
        <f t="shared" si="124"/>
        <v>0</v>
      </c>
      <c r="AF558">
        <f t="shared" si="125"/>
        <v>0</v>
      </c>
    </row>
    <row r="559" spans="1:32" x14ac:dyDescent="0.25">
      <c r="A559" s="3" t="s">
        <v>563</v>
      </c>
      <c r="B559" s="4">
        <v>45791</v>
      </c>
      <c r="C559" s="4" t="str">
        <f t="shared" si="112"/>
        <v>May-2025</v>
      </c>
      <c r="D559" s="4" t="str">
        <f t="shared" si="113"/>
        <v>Q2</v>
      </c>
      <c r="E559" s="4">
        <v>45793</v>
      </c>
      <c r="F559" s="10">
        <f t="shared" si="114"/>
        <v>2</v>
      </c>
      <c r="G559" s="3" t="s">
        <v>640</v>
      </c>
      <c r="H559" s="3" t="s">
        <v>645</v>
      </c>
      <c r="I559" s="3" t="s">
        <v>680</v>
      </c>
      <c r="J559" t="str">
        <f t="shared" si="115"/>
        <v>Americas &gt; Canada &gt; Vancouver</v>
      </c>
      <c r="K559" s="3" t="s">
        <v>695</v>
      </c>
      <c r="L559" s="3" t="s">
        <v>702</v>
      </c>
      <c r="M559" s="3" t="s">
        <v>713</v>
      </c>
      <c r="N559" s="3" t="s">
        <v>720</v>
      </c>
      <c r="O559" s="3" t="s">
        <v>1280</v>
      </c>
      <c r="P559" s="6">
        <v>883.5</v>
      </c>
      <c r="Q559" s="6">
        <v>1978.91</v>
      </c>
      <c r="R559" s="6" t="str">
        <f t="shared" si="116"/>
        <v>Medium</v>
      </c>
      <c r="S559" s="6">
        <v>5.3999999999999999E-2</v>
      </c>
      <c r="T559" s="6">
        <v>27</v>
      </c>
      <c r="U559">
        <f t="shared" si="117"/>
        <v>50545.319219999998</v>
      </c>
      <c r="V559">
        <f t="shared" si="122"/>
        <v>177279.41579</v>
      </c>
      <c r="W559">
        <f t="shared" si="118"/>
        <v>23854.5</v>
      </c>
      <c r="X559" s="6">
        <f t="shared" si="119"/>
        <v>26690.819219999998</v>
      </c>
      <c r="Y559">
        <f t="shared" si="120"/>
        <v>0.52805718970390547</v>
      </c>
      <c r="Z559">
        <v>202505</v>
      </c>
      <c r="AA559" s="18">
        <v>202301</v>
      </c>
      <c r="AB559" t="str">
        <v>May-2023</v>
      </c>
      <c r="AC559">
        <f t="shared" si="121"/>
        <v>28</v>
      </c>
      <c r="AD559" t="str">
        <f t="shared" si="123"/>
        <v>On Time</v>
      </c>
      <c r="AE559">
        <f t="shared" si="124"/>
        <v>1</v>
      </c>
      <c r="AF559">
        <f t="shared" si="125"/>
        <v>0</v>
      </c>
    </row>
    <row r="560" spans="1:32" x14ac:dyDescent="0.25">
      <c r="A560" s="3" t="s">
        <v>564</v>
      </c>
      <c r="B560" s="4">
        <v>45362</v>
      </c>
      <c r="C560" s="4" t="str">
        <f t="shared" si="112"/>
        <v>Mar-2024</v>
      </c>
      <c r="D560" s="4" t="str">
        <f t="shared" si="113"/>
        <v>Q1</v>
      </c>
      <c r="E560" s="4">
        <v>45380</v>
      </c>
      <c r="F560" s="10">
        <f t="shared" si="114"/>
        <v>18</v>
      </c>
      <c r="G560" s="3" t="s">
        <v>640</v>
      </c>
      <c r="H560" s="3" t="s">
        <v>652</v>
      </c>
      <c r="I560" s="3" t="s">
        <v>692</v>
      </c>
      <c r="J560" t="str">
        <f t="shared" si="115"/>
        <v>Americas &gt; USA &gt; New York</v>
      </c>
      <c r="K560" s="3" t="s">
        <v>693</v>
      </c>
      <c r="L560" s="3" t="s">
        <v>699</v>
      </c>
      <c r="M560" s="3" t="s">
        <v>716</v>
      </c>
      <c r="N560" s="3" t="s">
        <v>724</v>
      </c>
      <c r="O560" s="3" t="s">
        <v>1281</v>
      </c>
      <c r="P560" s="6">
        <v>710.98</v>
      </c>
      <c r="Q560" s="6">
        <v>1481.45</v>
      </c>
      <c r="R560" s="6" t="str">
        <f t="shared" si="116"/>
        <v>Medium</v>
      </c>
      <c r="S560" s="6">
        <v>0.21099999999999999</v>
      </c>
      <c r="T560" s="6">
        <v>9</v>
      </c>
      <c r="U560">
        <f t="shared" si="117"/>
        <v>10519.776450000001</v>
      </c>
      <c r="V560">
        <f t="shared" si="122"/>
        <v>177279.41579</v>
      </c>
      <c r="W560">
        <f t="shared" si="118"/>
        <v>6398.82</v>
      </c>
      <c r="X560" s="6">
        <f t="shared" si="119"/>
        <v>4120.9564500000015</v>
      </c>
      <c r="Y560">
        <f t="shared" si="120"/>
        <v>0.39173422264120461</v>
      </c>
      <c r="Z560">
        <v>202403</v>
      </c>
      <c r="AA560" s="18">
        <v>202301</v>
      </c>
      <c r="AB560" t="str">
        <v>Mar-2023</v>
      </c>
      <c r="AC560">
        <f t="shared" si="121"/>
        <v>14</v>
      </c>
      <c r="AD560" t="str">
        <f t="shared" si="123"/>
        <v>Late</v>
      </c>
      <c r="AE560">
        <f t="shared" si="124"/>
        <v>0</v>
      </c>
      <c r="AF560">
        <f t="shared" si="125"/>
        <v>1</v>
      </c>
    </row>
    <row r="561" spans="1:32" x14ac:dyDescent="0.25">
      <c r="A561" s="3" t="s">
        <v>565</v>
      </c>
      <c r="B561" s="4">
        <v>45430</v>
      </c>
      <c r="C561" s="4" t="str">
        <f t="shared" si="112"/>
        <v>May-2024</v>
      </c>
      <c r="D561" s="4" t="str">
        <f t="shared" si="113"/>
        <v>Q2</v>
      </c>
      <c r="E561" s="4">
        <v>45434</v>
      </c>
      <c r="F561" s="10">
        <f t="shared" si="114"/>
        <v>4</v>
      </c>
      <c r="G561" s="3" t="s">
        <v>638</v>
      </c>
      <c r="H561" s="3" t="s">
        <v>642</v>
      </c>
      <c r="I561" s="3" t="s">
        <v>656</v>
      </c>
      <c r="J561" t="str">
        <f t="shared" si="115"/>
        <v>Africa &gt; Kenya &gt; Nairobi</v>
      </c>
      <c r="K561" s="3" t="s">
        <v>693</v>
      </c>
      <c r="L561" s="3" t="s">
        <v>703</v>
      </c>
      <c r="M561" s="3" t="s">
        <v>714</v>
      </c>
      <c r="N561" s="3" t="s">
        <v>725</v>
      </c>
      <c r="O561" s="3" t="s">
        <v>1282</v>
      </c>
      <c r="P561" s="6">
        <v>857.42</v>
      </c>
      <c r="Q561" s="6">
        <v>1658.92</v>
      </c>
      <c r="R561" s="6" t="str">
        <f t="shared" si="116"/>
        <v>Medium</v>
      </c>
      <c r="S561" s="6">
        <v>0.122</v>
      </c>
      <c r="T561" s="6">
        <v>9</v>
      </c>
      <c r="U561">
        <f t="shared" si="117"/>
        <v>13108.78584</v>
      </c>
      <c r="V561">
        <f t="shared" si="122"/>
        <v>177279.41579</v>
      </c>
      <c r="W561">
        <f t="shared" si="118"/>
        <v>7716.78</v>
      </c>
      <c r="X561" s="6">
        <f t="shared" si="119"/>
        <v>5392.0058400000007</v>
      </c>
      <c r="Y561">
        <f t="shared" si="120"/>
        <v>0.41132763215544305</v>
      </c>
      <c r="Z561">
        <v>202405</v>
      </c>
      <c r="AA561" s="18">
        <v>202301</v>
      </c>
      <c r="AB561" t="str">
        <v>May-2023</v>
      </c>
      <c r="AC561">
        <f t="shared" si="121"/>
        <v>16</v>
      </c>
      <c r="AD561" t="str">
        <f t="shared" si="123"/>
        <v>On Time</v>
      </c>
      <c r="AE561">
        <f t="shared" si="124"/>
        <v>1</v>
      </c>
      <c r="AF561">
        <f t="shared" si="125"/>
        <v>0</v>
      </c>
    </row>
    <row r="562" spans="1:32" x14ac:dyDescent="0.25">
      <c r="A562" s="3" t="s">
        <v>566</v>
      </c>
      <c r="B562" s="4">
        <v>45299</v>
      </c>
      <c r="C562" s="4" t="str">
        <f t="shared" si="112"/>
        <v>Jan-2024</v>
      </c>
      <c r="D562" s="4" t="str">
        <f t="shared" si="113"/>
        <v>Q1</v>
      </c>
      <c r="E562" s="4">
        <v>45303</v>
      </c>
      <c r="F562" s="10">
        <f t="shared" si="114"/>
        <v>4</v>
      </c>
      <c r="G562" s="3" t="s">
        <v>639</v>
      </c>
      <c r="H562" s="3" t="s">
        <v>646</v>
      </c>
      <c r="I562" s="3" t="s">
        <v>660</v>
      </c>
      <c r="J562" t="str">
        <f t="shared" si="115"/>
        <v>Asia &gt; India &gt; Bengaluru</v>
      </c>
      <c r="K562" s="3" t="s">
        <v>693</v>
      </c>
      <c r="L562" s="3" t="s">
        <v>703</v>
      </c>
      <c r="M562" s="3" t="s">
        <v>710</v>
      </c>
      <c r="N562" s="3" t="s">
        <v>720</v>
      </c>
      <c r="O562" s="3" t="s">
        <v>1283</v>
      </c>
      <c r="P562" s="6">
        <v>802.32</v>
      </c>
      <c r="Q562" s="6">
        <v>602.34</v>
      </c>
      <c r="R562" s="6" t="str">
        <f t="shared" si="116"/>
        <v>Medium</v>
      </c>
      <c r="S562" s="6">
        <v>0.12</v>
      </c>
      <c r="T562" s="6">
        <v>25</v>
      </c>
      <c r="U562">
        <f t="shared" si="117"/>
        <v>13251.48</v>
      </c>
      <c r="V562">
        <f t="shared" si="122"/>
        <v>177279.41579</v>
      </c>
      <c r="W562">
        <f t="shared" si="118"/>
        <v>20058</v>
      </c>
      <c r="X562" s="6">
        <f t="shared" si="119"/>
        <v>-6806.52</v>
      </c>
      <c r="Y562">
        <f t="shared" si="120"/>
        <v>-0.51364224977134632</v>
      </c>
      <c r="Z562">
        <v>202401</v>
      </c>
      <c r="AA562" s="18">
        <v>202301</v>
      </c>
      <c r="AB562" t="str">
        <v>Jan-2023</v>
      </c>
      <c r="AC562">
        <f t="shared" si="121"/>
        <v>12</v>
      </c>
      <c r="AD562" t="str">
        <f t="shared" si="123"/>
        <v>On Time</v>
      </c>
      <c r="AE562">
        <f t="shared" si="124"/>
        <v>1</v>
      </c>
      <c r="AF562">
        <f t="shared" si="125"/>
        <v>0</v>
      </c>
    </row>
    <row r="563" spans="1:32" x14ac:dyDescent="0.25">
      <c r="A563" s="3" t="s">
        <v>567</v>
      </c>
      <c r="B563" s="4">
        <v>45590</v>
      </c>
      <c r="C563" s="4" t="str">
        <f t="shared" si="112"/>
        <v>Oct-2024</v>
      </c>
      <c r="D563" s="4" t="str">
        <f t="shared" si="113"/>
        <v>Q4</v>
      </c>
      <c r="E563" s="4">
        <v>45601</v>
      </c>
      <c r="F563" s="10">
        <f t="shared" si="114"/>
        <v>11</v>
      </c>
      <c r="G563" s="3" t="s">
        <v>640</v>
      </c>
      <c r="H563" s="3" t="s">
        <v>652</v>
      </c>
      <c r="I563" s="3" t="s">
        <v>692</v>
      </c>
      <c r="J563" t="str">
        <f t="shared" si="115"/>
        <v>Americas &gt; USA &gt; New York</v>
      </c>
      <c r="K563" s="3" t="s">
        <v>693</v>
      </c>
      <c r="L563" s="3" t="s">
        <v>702</v>
      </c>
      <c r="M563" s="3" t="s">
        <v>717</v>
      </c>
      <c r="N563" s="3" t="s">
        <v>719</v>
      </c>
      <c r="O563" s="3" t="s">
        <v>1284</v>
      </c>
      <c r="P563" s="6">
        <v>446.66</v>
      </c>
      <c r="Q563" s="6">
        <v>527.64</v>
      </c>
      <c r="R563" s="6" t="str">
        <f t="shared" si="116"/>
        <v>Low</v>
      </c>
      <c r="S563" s="6">
        <v>0.14499999999999999</v>
      </c>
      <c r="T563" s="6">
        <v>15</v>
      </c>
      <c r="U563">
        <f t="shared" si="117"/>
        <v>6766.9829999999993</v>
      </c>
      <c r="V563">
        <f t="shared" si="122"/>
        <v>177279.41579</v>
      </c>
      <c r="W563">
        <f t="shared" si="118"/>
        <v>6699.9000000000005</v>
      </c>
      <c r="X563" s="6">
        <f t="shared" si="119"/>
        <v>67.082999999998719</v>
      </c>
      <c r="Y563">
        <f t="shared" si="120"/>
        <v>9.9132804087137105E-3</v>
      </c>
      <c r="Z563">
        <v>202410</v>
      </c>
      <c r="AA563" s="18">
        <v>202301</v>
      </c>
      <c r="AB563" t="str">
        <v>Oct-2023</v>
      </c>
      <c r="AC563">
        <f t="shared" si="121"/>
        <v>21</v>
      </c>
      <c r="AD563" t="str">
        <f t="shared" si="123"/>
        <v>Late</v>
      </c>
      <c r="AE563">
        <f t="shared" si="124"/>
        <v>0</v>
      </c>
      <c r="AF563">
        <f t="shared" si="125"/>
        <v>0</v>
      </c>
    </row>
    <row r="564" spans="1:32" x14ac:dyDescent="0.25">
      <c r="A564" s="3" t="s">
        <v>568</v>
      </c>
      <c r="B564" s="4">
        <v>45626</v>
      </c>
      <c r="C564" s="4" t="str">
        <f t="shared" si="112"/>
        <v>Nov-2024</v>
      </c>
      <c r="D564" s="4" t="str">
        <f t="shared" si="113"/>
        <v>Q4</v>
      </c>
      <c r="E564" s="4">
        <v>45645</v>
      </c>
      <c r="F564" s="10">
        <f t="shared" si="114"/>
        <v>19</v>
      </c>
      <c r="G564" s="3" t="s">
        <v>638</v>
      </c>
      <c r="H564" s="3" t="s">
        <v>642</v>
      </c>
      <c r="I564" s="3" t="s">
        <v>654</v>
      </c>
      <c r="J564" t="str">
        <f t="shared" si="115"/>
        <v>Africa &gt; Kenya &gt; Kisumu</v>
      </c>
      <c r="K564" s="3" t="s">
        <v>693</v>
      </c>
      <c r="L564" s="3" t="s">
        <v>700</v>
      </c>
      <c r="M564" s="3" t="s">
        <v>708</v>
      </c>
      <c r="N564" s="3" t="s">
        <v>722</v>
      </c>
      <c r="O564" s="3" t="s">
        <v>1285</v>
      </c>
      <c r="P564" s="6">
        <v>1195.98</v>
      </c>
      <c r="Q564" s="6">
        <v>1841.9</v>
      </c>
      <c r="R564" s="6" t="str">
        <f t="shared" si="116"/>
        <v>High</v>
      </c>
      <c r="S564" s="6">
        <v>5.5E-2</v>
      </c>
      <c r="T564" s="6">
        <v>19</v>
      </c>
      <c r="U564">
        <f t="shared" si="117"/>
        <v>33071.3145</v>
      </c>
      <c r="V564">
        <f t="shared" si="122"/>
        <v>170512.43278999999</v>
      </c>
      <c r="W564">
        <f t="shared" si="118"/>
        <v>22723.62</v>
      </c>
      <c r="X564" s="6">
        <f t="shared" si="119"/>
        <v>10347.694500000001</v>
      </c>
      <c r="Y564">
        <f t="shared" si="120"/>
        <v>0.31289032977506842</v>
      </c>
      <c r="Z564">
        <v>202411</v>
      </c>
      <c r="AA564" s="18">
        <v>202301</v>
      </c>
      <c r="AB564" t="str">
        <v>Nov-2023</v>
      </c>
      <c r="AC564">
        <f t="shared" si="121"/>
        <v>22</v>
      </c>
      <c r="AD564" t="str">
        <f t="shared" si="123"/>
        <v>Late</v>
      </c>
      <c r="AE564">
        <f t="shared" si="124"/>
        <v>0</v>
      </c>
      <c r="AF564">
        <f t="shared" si="125"/>
        <v>0</v>
      </c>
    </row>
    <row r="565" spans="1:32" x14ac:dyDescent="0.25">
      <c r="A565" s="3" t="s">
        <v>569</v>
      </c>
      <c r="B565" s="4">
        <v>45029</v>
      </c>
      <c r="C565" s="4" t="str">
        <f t="shared" si="112"/>
        <v>Apr-2023</v>
      </c>
      <c r="D565" s="4" t="str">
        <f t="shared" si="113"/>
        <v>Q2</v>
      </c>
      <c r="E565" s="4">
        <v>45048</v>
      </c>
      <c r="F565" s="10">
        <f t="shared" si="114"/>
        <v>19</v>
      </c>
      <c r="G565" s="3" t="s">
        <v>640</v>
      </c>
      <c r="H565" s="3" t="s">
        <v>645</v>
      </c>
      <c r="I565" s="3" t="s">
        <v>673</v>
      </c>
      <c r="J565" t="str">
        <f t="shared" si="115"/>
        <v>Americas &gt; Canada &gt; Montreal</v>
      </c>
      <c r="K565" s="3" t="s">
        <v>696</v>
      </c>
      <c r="L565" s="3" t="s">
        <v>702</v>
      </c>
      <c r="M565" s="3" t="s">
        <v>710</v>
      </c>
      <c r="N565" s="3" t="s">
        <v>724</v>
      </c>
      <c r="O565" s="3" t="s">
        <v>1286</v>
      </c>
      <c r="P565" s="6">
        <v>671.05</v>
      </c>
      <c r="Q565" s="6">
        <v>1645.48</v>
      </c>
      <c r="R565" s="6" t="str">
        <f t="shared" si="116"/>
        <v>Medium</v>
      </c>
      <c r="S565" s="6">
        <v>0.13700000000000001</v>
      </c>
      <c r="T565" s="6">
        <v>6</v>
      </c>
      <c r="U565">
        <f t="shared" si="117"/>
        <v>8520.2954399999999</v>
      </c>
      <c r="V565">
        <f t="shared" si="122"/>
        <v>170512.43278999999</v>
      </c>
      <c r="W565">
        <f t="shared" si="118"/>
        <v>4026.2999999999997</v>
      </c>
      <c r="X565" s="6">
        <f t="shared" si="119"/>
        <v>4493.9954400000006</v>
      </c>
      <c r="Y565">
        <f t="shared" si="120"/>
        <v>0.52744596377517172</v>
      </c>
      <c r="Z565">
        <v>202304</v>
      </c>
      <c r="AA565" s="18">
        <v>202301</v>
      </c>
      <c r="AB565" t="str">
        <v>Apr-2023</v>
      </c>
      <c r="AC565">
        <f t="shared" si="121"/>
        <v>3</v>
      </c>
      <c r="AD565" t="str">
        <f t="shared" si="123"/>
        <v>Late</v>
      </c>
      <c r="AE565">
        <f t="shared" si="124"/>
        <v>0</v>
      </c>
      <c r="AF565">
        <f t="shared" si="125"/>
        <v>0</v>
      </c>
    </row>
    <row r="566" spans="1:32" x14ac:dyDescent="0.25">
      <c r="A566" s="3" t="s">
        <v>570</v>
      </c>
      <c r="B566" s="4">
        <v>45692</v>
      </c>
      <c r="C566" s="4" t="str">
        <f t="shared" si="112"/>
        <v>Feb-2025</v>
      </c>
      <c r="D566" s="4" t="str">
        <f t="shared" si="113"/>
        <v>Q1</v>
      </c>
      <c r="E566" s="4">
        <v>45696</v>
      </c>
      <c r="F566" s="10">
        <f t="shared" si="114"/>
        <v>4</v>
      </c>
      <c r="G566" s="3" t="s">
        <v>641</v>
      </c>
      <c r="H566" s="3" t="s">
        <v>650</v>
      </c>
      <c r="I566" s="3" t="s">
        <v>685</v>
      </c>
      <c r="J566" t="str">
        <f t="shared" si="115"/>
        <v>Europe &gt; United Kingdom &gt; Manchester</v>
      </c>
      <c r="K566" s="3" t="s">
        <v>698</v>
      </c>
      <c r="L566" s="3" t="s">
        <v>701</v>
      </c>
      <c r="M566" s="3" t="s">
        <v>708</v>
      </c>
      <c r="N566" s="3" t="s">
        <v>721</v>
      </c>
      <c r="O566" s="3" t="s">
        <v>1287</v>
      </c>
      <c r="P566" s="6">
        <v>586.21</v>
      </c>
      <c r="Q566" s="6">
        <v>727.22</v>
      </c>
      <c r="R566" s="6" t="str">
        <f t="shared" si="116"/>
        <v>Medium</v>
      </c>
      <c r="S566" s="6">
        <v>6.8000000000000005E-2</v>
      </c>
      <c r="T566" s="6">
        <v>15</v>
      </c>
      <c r="U566">
        <f t="shared" si="117"/>
        <v>10166.535600000001</v>
      </c>
      <c r="V566">
        <f t="shared" si="122"/>
        <v>170512.43278999999</v>
      </c>
      <c r="W566">
        <f t="shared" si="118"/>
        <v>8793.1500000000015</v>
      </c>
      <c r="X566" s="6">
        <f t="shared" si="119"/>
        <v>1373.3855999999996</v>
      </c>
      <c r="Y566">
        <f t="shared" si="120"/>
        <v>0.13508884973559721</v>
      </c>
      <c r="Z566">
        <v>202502</v>
      </c>
      <c r="AA566" s="18">
        <v>202301</v>
      </c>
      <c r="AB566" t="str">
        <v>Feb-2023</v>
      </c>
      <c r="AC566">
        <f t="shared" si="121"/>
        <v>25</v>
      </c>
      <c r="AD566" t="str">
        <f t="shared" si="123"/>
        <v>On Time</v>
      </c>
      <c r="AE566">
        <f t="shared" si="124"/>
        <v>1</v>
      </c>
      <c r="AF566">
        <f t="shared" si="125"/>
        <v>0</v>
      </c>
    </row>
    <row r="567" spans="1:32" x14ac:dyDescent="0.25">
      <c r="A567" s="3" t="s">
        <v>571</v>
      </c>
      <c r="B567" s="4">
        <v>45315</v>
      </c>
      <c r="C567" s="4" t="str">
        <f t="shared" si="112"/>
        <v>Jan-2024</v>
      </c>
      <c r="D567" s="4" t="str">
        <f t="shared" si="113"/>
        <v>Q1</v>
      </c>
      <c r="E567" s="4">
        <v>45326</v>
      </c>
      <c r="F567" s="10">
        <f t="shared" si="114"/>
        <v>11</v>
      </c>
      <c r="G567" s="3" t="s">
        <v>641</v>
      </c>
      <c r="H567" s="3" t="s">
        <v>650</v>
      </c>
      <c r="I567" s="3" t="s">
        <v>685</v>
      </c>
      <c r="J567" t="str">
        <f t="shared" si="115"/>
        <v>Europe &gt; United Kingdom &gt; Manchester</v>
      </c>
      <c r="K567" s="3" t="s">
        <v>696</v>
      </c>
      <c r="L567" s="3" t="s">
        <v>699</v>
      </c>
      <c r="M567" s="3" t="s">
        <v>709</v>
      </c>
      <c r="N567" s="3" t="s">
        <v>723</v>
      </c>
      <c r="O567" s="3" t="s">
        <v>1288</v>
      </c>
      <c r="P567" s="6">
        <v>525.34</v>
      </c>
      <c r="Q567" s="6">
        <v>1233.79</v>
      </c>
      <c r="R567" s="6" t="str">
        <f t="shared" si="116"/>
        <v>Medium</v>
      </c>
      <c r="S567" s="6">
        <v>0.14299999999999999</v>
      </c>
      <c r="T567" s="6">
        <v>4</v>
      </c>
      <c r="U567">
        <f t="shared" si="117"/>
        <v>4229.4321199999995</v>
      </c>
      <c r="V567">
        <f t="shared" si="122"/>
        <v>170512.43278999999</v>
      </c>
      <c r="W567">
        <f t="shared" si="118"/>
        <v>2101.36</v>
      </c>
      <c r="X567" s="6">
        <f t="shared" si="119"/>
        <v>2128.0721199999994</v>
      </c>
      <c r="Y567">
        <f t="shared" si="120"/>
        <v>0.50315788494082736</v>
      </c>
      <c r="Z567">
        <v>202401</v>
      </c>
      <c r="AA567" s="18">
        <v>202301</v>
      </c>
      <c r="AB567" t="str">
        <v>Jan-2023</v>
      </c>
      <c r="AC567">
        <f t="shared" si="121"/>
        <v>12</v>
      </c>
      <c r="AD567" t="str">
        <f t="shared" si="123"/>
        <v>Late</v>
      </c>
      <c r="AE567">
        <f t="shared" si="124"/>
        <v>0</v>
      </c>
      <c r="AF567">
        <f t="shared" si="125"/>
        <v>0</v>
      </c>
    </row>
    <row r="568" spans="1:32" x14ac:dyDescent="0.25">
      <c r="A568" s="3" t="s">
        <v>572</v>
      </c>
      <c r="B568" s="4">
        <v>45330</v>
      </c>
      <c r="C568" s="4" t="str">
        <f t="shared" si="112"/>
        <v>Feb-2024</v>
      </c>
      <c r="D568" s="4" t="str">
        <f t="shared" si="113"/>
        <v>Q1</v>
      </c>
      <c r="E568" s="4">
        <v>45331</v>
      </c>
      <c r="F568" s="10">
        <f t="shared" si="114"/>
        <v>1</v>
      </c>
      <c r="G568" s="3" t="s">
        <v>638</v>
      </c>
      <c r="H568" s="3" t="s">
        <v>642</v>
      </c>
      <c r="I568" s="3" t="s">
        <v>667</v>
      </c>
      <c r="J568" t="str">
        <f t="shared" si="115"/>
        <v>Africa &gt; Kenya &gt; Mombasa</v>
      </c>
      <c r="K568" s="3" t="s">
        <v>693</v>
      </c>
      <c r="L568" s="3" t="s">
        <v>703</v>
      </c>
      <c r="M568" s="3" t="s">
        <v>713</v>
      </c>
      <c r="N568" s="3" t="s">
        <v>719</v>
      </c>
      <c r="O568" s="3" t="s">
        <v>1289</v>
      </c>
      <c r="P568" s="6">
        <v>1233.52</v>
      </c>
      <c r="Q568" s="6">
        <v>1543.76</v>
      </c>
      <c r="R568" s="6" t="str">
        <f t="shared" si="116"/>
        <v>High</v>
      </c>
      <c r="S568" s="6">
        <v>0.126</v>
      </c>
      <c r="T568" s="6">
        <v>13</v>
      </c>
      <c r="U568">
        <f t="shared" si="117"/>
        <v>17540.201120000002</v>
      </c>
      <c r="V568">
        <f t="shared" si="122"/>
        <v>170512.43278999999</v>
      </c>
      <c r="W568">
        <f t="shared" si="118"/>
        <v>16035.76</v>
      </c>
      <c r="X568" s="6">
        <f t="shared" si="119"/>
        <v>1504.4411200000013</v>
      </c>
      <c r="Y568">
        <f t="shared" si="120"/>
        <v>8.5771030201277493E-2</v>
      </c>
      <c r="Z568">
        <v>202402</v>
      </c>
      <c r="AA568" s="18">
        <v>202301</v>
      </c>
      <c r="AB568" t="str">
        <v>Feb-2023</v>
      </c>
      <c r="AC568">
        <f t="shared" si="121"/>
        <v>13</v>
      </c>
      <c r="AD568" t="str">
        <f t="shared" si="123"/>
        <v>On Time</v>
      </c>
      <c r="AE568">
        <f t="shared" si="124"/>
        <v>1</v>
      </c>
      <c r="AF568">
        <f t="shared" si="125"/>
        <v>0</v>
      </c>
    </row>
    <row r="569" spans="1:32" x14ac:dyDescent="0.25">
      <c r="A569" s="3" t="s">
        <v>573</v>
      </c>
      <c r="B569" s="4">
        <v>45834</v>
      </c>
      <c r="C569" s="4" t="str">
        <f t="shared" si="112"/>
        <v>Jun-2025</v>
      </c>
      <c r="D569" s="4" t="str">
        <f t="shared" si="113"/>
        <v>Q2</v>
      </c>
      <c r="E569" s="4">
        <v>45849</v>
      </c>
      <c r="F569" s="10">
        <f t="shared" si="114"/>
        <v>15</v>
      </c>
      <c r="G569" s="3" t="s">
        <v>638</v>
      </c>
      <c r="H569" s="3" t="s">
        <v>643</v>
      </c>
      <c r="I569" s="3" t="s">
        <v>655</v>
      </c>
      <c r="J569" t="str">
        <f t="shared" si="115"/>
        <v>Africa &gt; Nigeria &gt; Port Harcourt</v>
      </c>
      <c r="K569" s="3" t="s">
        <v>697</v>
      </c>
      <c r="L569" s="3" t="s">
        <v>700</v>
      </c>
      <c r="M569" s="3" t="s">
        <v>712</v>
      </c>
      <c r="N569" s="3" t="s">
        <v>723</v>
      </c>
      <c r="O569" s="3" t="s">
        <v>1290</v>
      </c>
      <c r="P569" s="6">
        <v>1170.1500000000001</v>
      </c>
      <c r="Q569" s="6">
        <v>2115.19</v>
      </c>
      <c r="R569" s="6" t="str">
        <f t="shared" si="116"/>
        <v>High</v>
      </c>
      <c r="S569" s="6">
        <v>9.1999999999999998E-2</v>
      </c>
      <c r="T569" s="6">
        <v>23</v>
      </c>
      <c r="U569">
        <f t="shared" si="117"/>
        <v>44173.627960000005</v>
      </c>
      <c r="V569">
        <f t="shared" si="122"/>
        <v>152972.23167000001</v>
      </c>
      <c r="W569">
        <f t="shared" si="118"/>
        <v>26913.45</v>
      </c>
      <c r="X569" s="6">
        <f t="shared" si="119"/>
        <v>17260.177960000005</v>
      </c>
      <c r="Y569">
        <f t="shared" si="120"/>
        <v>0.39073489674946776</v>
      </c>
      <c r="Z569">
        <v>202506</v>
      </c>
      <c r="AA569" s="18">
        <v>202301</v>
      </c>
      <c r="AB569" t="str">
        <v>Jun-2023</v>
      </c>
      <c r="AC569">
        <f t="shared" si="121"/>
        <v>29</v>
      </c>
      <c r="AD569" t="str">
        <f t="shared" si="123"/>
        <v>Late</v>
      </c>
      <c r="AE569">
        <f t="shared" si="124"/>
        <v>0</v>
      </c>
      <c r="AF569">
        <f t="shared" si="125"/>
        <v>0</v>
      </c>
    </row>
    <row r="570" spans="1:32" x14ac:dyDescent="0.25">
      <c r="A570" s="3" t="s">
        <v>574</v>
      </c>
      <c r="B570" s="4">
        <v>45600</v>
      </c>
      <c r="C570" s="4" t="str">
        <f t="shared" si="112"/>
        <v>Nov-2024</v>
      </c>
      <c r="D570" s="4" t="str">
        <f t="shared" si="113"/>
        <v>Q4</v>
      </c>
      <c r="E570" s="4">
        <v>45603</v>
      </c>
      <c r="F570" s="10">
        <f t="shared" si="114"/>
        <v>3</v>
      </c>
      <c r="G570" s="3" t="s">
        <v>641</v>
      </c>
      <c r="H570" s="3" t="s">
        <v>649</v>
      </c>
      <c r="I570" s="3" t="s">
        <v>671</v>
      </c>
      <c r="J570" t="str">
        <f t="shared" si="115"/>
        <v>Europe &gt; France &gt; Lyon</v>
      </c>
      <c r="K570" s="3" t="s">
        <v>693</v>
      </c>
      <c r="L570" s="3" t="s">
        <v>700</v>
      </c>
      <c r="M570" s="3" t="s">
        <v>711</v>
      </c>
      <c r="N570" s="3" t="s">
        <v>724</v>
      </c>
      <c r="O570" s="3" t="s">
        <v>1291</v>
      </c>
      <c r="P570" s="6">
        <v>740.68</v>
      </c>
      <c r="Q570" s="6">
        <v>1837.19</v>
      </c>
      <c r="R570" s="6" t="str">
        <f t="shared" si="116"/>
        <v>Medium</v>
      </c>
      <c r="S570" s="6">
        <v>0.19700000000000001</v>
      </c>
      <c r="T570" s="6">
        <v>17</v>
      </c>
      <c r="U570">
        <f t="shared" si="117"/>
        <v>25079.480689999997</v>
      </c>
      <c r="V570">
        <f t="shared" si="122"/>
        <v>152972.23167000001</v>
      </c>
      <c r="W570">
        <f t="shared" si="118"/>
        <v>12591.56</v>
      </c>
      <c r="X570" s="6">
        <f t="shared" si="119"/>
        <v>12487.920689999997</v>
      </c>
      <c r="Y570">
        <f t="shared" si="120"/>
        <v>0.4979337827748298</v>
      </c>
      <c r="Z570">
        <v>202411</v>
      </c>
      <c r="AA570" s="18">
        <v>202301</v>
      </c>
      <c r="AB570" t="str">
        <v>Nov-2023</v>
      </c>
      <c r="AC570">
        <f t="shared" si="121"/>
        <v>22</v>
      </c>
      <c r="AD570" t="str">
        <f t="shared" si="123"/>
        <v>On Time</v>
      </c>
      <c r="AE570">
        <f t="shared" si="124"/>
        <v>1</v>
      </c>
      <c r="AF570">
        <f t="shared" si="125"/>
        <v>0</v>
      </c>
    </row>
    <row r="571" spans="1:32" x14ac:dyDescent="0.25">
      <c r="A571" s="3" t="s">
        <v>575</v>
      </c>
      <c r="B571" s="4">
        <v>45342</v>
      </c>
      <c r="C571" s="4" t="str">
        <f t="shared" si="112"/>
        <v>Feb-2024</v>
      </c>
      <c r="D571" s="4" t="str">
        <f t="shared" si="113"/>
        <v>Q1</v>
      </c>
      <c r="E571" s="4">
        <v>45342</v>
      </c>
      <c r="F571" s="10">
        <f t="shared" si="114"/>
        <v>0</v>
      </c>
      <c r="G571" s="3" t="s">
        <v>640</v>
      </c>
      <c r="H571" s="3" t="s">
        <v>652</v>
      </c>
      <c r="I571" s="3" t="s">
        <v>692</v>
      </c>
      <c r="J571" t="str">
        <f t="shared" si="115"/>
        <v>Americas &gt; USA &gt; New York</v>
      </c>
      <c r="K571" s="3" t="s">
        <v>698</v>
      </c>
      <c r="L571" s="3" t="s">
        <v>700</v>
      </c>
      <c r="M571" s="3" t="s">
        <v>704</v>
      </c>
      <c r="N571" s="3" t="s">
        <v>721</v>
      </c>
      <c r="O571" s="3" t="s">
        <v>1292</v>
      </c>
      <c r="P571" s="6">
        <v>1407.05</v>
      </c>
      <c r="Q571" s="6">
        <v>2858.93</v>
      </c>
      <c r="R571" s="6" t="str">
        <f t="shared" si="116"/>
        <v>High</v>
      </c>
      <c r="S571" s="6">
        <v>0</v>
      </c>
      <c r="T571" s="6">
        <v>12</v>
      </c>
      <c r="U571">
        <f t="shared" si="117"/>
        <v>34307.159999999996</v>
      </c>
      <c r="V571">
        <f t="shared" si="122"/>
        <v>152972.23167000001</v>
      </c>
      <c r="W571">
        <f t="shared" si="118"/>
        <v>16884.599999999999</v>
      </c>
      <c r="X571" s="6">
        <f t="shared" si="119"/>
        <v>17422.559999999998</v>
      </c>
      <c r="Y571">
        <f t="shared" si="120"/>
        <v>0.50784034586366222</v>
      </c>
      <c r="Z571">
        <v>202402</v>
      </c>
      <c r="AA571" s="18">
        <v>202301</v>
      </c>
      <c r="AB571" t="str">
        <v>Feb-2023</v>
      </c>
      <c r="AC571">
        <f t="shared" si="121"/>
        <v>13</v>
      </c>
      <c r="AD571" t="str">
        <f t="shared" si="123"/>
        <v>On Time</v>
      </c>
      <c r="AE571">
        <f t="shared" si="124"/>
        <v>1</v>
      </c>
      <c r="AF571">
        <f t="shared" si="125"/>
        <v>0</v>
      </c>
    </row>
    <row r="572" spans="1:32" x14ac:dyDescent="0.25">
      <c r="A572" s="3" t="s">
        <v>576</v>
      </c>
      <c r="B572" s="4">
        <v>45760</v>
      </c>
      <c r="C572" s="4" t="str">
        <f t="shared" si="112"/>
        <v>Apr-2025</v>
      </c>
      <c r="D572" s="4" t="str">
        <f t="shared" si="113"/>
        <v>Q2</v>
      </c>
      <c r="E572" s="4">
        <v>45761</v>
      </c>
      <c r="F572" s="10">
        <f t="shared" si="114"/>
        <v>1</v>
      </c>
      <c r="G572" s="3" t="s">
        <v>639</v>
      </c>
      <c r="H572" s="3" t="s">
        <v>644</v>
      </c>
      <c r="I572" s="3" t="s">
        <v>658</v>
      </c>
      <c r="J572" t="str">
        <f t="shared" si="115"/>
        <v>Asia &gt; Japan &gt; Osaka</v>
      </c>
      <c r="K572" s="3" t="s">
        <v>698</v>
      </c>
      <c r="L572" s="3" t="s">
        <v>700</v>
      </c>
      <c r="M572" s="3" t="s">
        <v>707</v>
      </c>
      <c r="N572" s="3" t="s">
        <v>719</v>
      </c>
      <c r="O572" s="3" t="s">
        <v>1293</v>
      </c>
      <c r="P572" s="6">
        <v>138.9</v>
      </c>
      <c r="Q572" s="6">
        <v>289.92</v>
      </c>
      <c r="R572" s="6" t="str">
        <f t="shared" si="116"/>
        <v>Low</v>
      </c>
      <c r="S572" s="6">
        <v>2.9000000000000001E-2</v>
      </c>
      <c r="T572" s="6">
        <v>12</v>
      </c>
      <c r="U572">
        <f t="shared" si="117"/>
        <v>3378.1478400000001</v>
      </c>
      <c r="V572">
        <f t="shared" si="122"/>
        <v>152972.23167000001</v>
      </c>
      <c r="W572">
        <f t="shared" si="118"/>
        <v>1666.8000000000002</v>
      </c>
      <c r="X572" s="6">
        <f t="shared" si="119"/>
        <v>1711.3478399999999</v>
      </c>
      <c r="Y572">
        <f t="shared" si="120"/>
        <v>0.50659353025828491</v>
      </c>
      <c r="Z572">
        <v>202504</v>
      </c>
      <c r="AA572" s="18">
        <v>202303</v>
      </c>
      <c r="AB572" t="str">
        <v>Apr-2023</v>
      </c>
      <c r="AC572">
        <f t="shared" si="121"/>
        <v>25</v>
      </c>
      <c r="AD572" t="str">
        <f t="shared" si="123"/>
        <v>On Time</v>
      </c>
      <c r="AE572">
        <f t="shared" si="124"/>
        <v>1</v>
      </c>
      <c r="AF572">
        <f t="shared" si="125"/>
        <v>0</v>
      </c>
    </row>
    <row r="573" spans="1:32" x14ac:dyDescent="0.25">
      <c r="A573" s="3" t="s">
        <v>577</v>
      </c>
      <c r="B573" s="4">
        <v>45078</v>
      </c>
      <c r="C573" s="4" t="str">
        <f t="shared" si="112"/>
        <v>Jun-2023</v>
      </c>
      <c r="D573" s="4" t="str">
        <f t="shared" si="113"/>
        <v>Q2</v>
      </c>
      <c r="E573" s="4">
        <v>45078</v>
      </c>
      <c r="F573" s="10">
        <f t="shared" si="114"/>
        <v>0</v>
      </c>
      <c r="G573" s="3" t="s">
        <v>639</v>
      </c>
      <c r="H573" s="3" t="s">
        <v>646</v>
      </c>
      <c r="I573" s="3" t="s">
        <v>660</v>
      </c>
      <c r="J573" t="str">
        <f t="shared" si="115"/>
        <v>Asia &gt; India &gt; Bengaluru</v>
      </c>
      <c r="K573" s="3" t="s">
        <v>693</v>
      </c>
      <c r="L573" s="3" t="s">
        <v>699</v>
      </c>
      <c r="M573" s="3" t="s">
        <v>710</v>
      </c>
      <c r="N573" s="3" t="s">
        <v>725</v>
      </c>
      <c r="O573" s="3" t="s">
        <v>1294</v>
      </c>
      <c r="P573" s="6">
        <v>669.37</v>
      </c>
      <c r="Q573" s="6">
        <v>997.2</v>
      </c>
      <c r="R573" s="6" t="str">
        <f t="shared" si="116"/>
        <v>Medium</v>
      </c>
      <c r="S573" s="6">
        <v>8.2000000000000003E-2</v>
      </c>
      <c r="T573" s="6">
        <v>5</v>
      </c>
      <c r="U573">
        <f t="shared" si="117"/>
        <v>4577.1480000000001</v>
      </c>
      <c r="V573">
        <f t="shared" si="122"/>
        <v>149594.08382999999</v>
      </c>
      <c r="W573">
        <f t="shared" si="118"/>
        <v>3346.85</v>
      </c>
      <c r="X573" s="6">
        <f t="shared" si="119"/>
        <v>1230.2980000000002</v>
      </c>
      <c r="Y573">
        <f t="shared" si="120"/>
        <v>0.26879139586484863</v>
      </c>
      <c r="Z573">
        <v>202306</v>
      </c>
      <c r="AA573" s="18">
        <v>202301</v>
      </c>
      <c r="AB573" t="str">
        <v>Jun-2023</v>
      </c>
      <c r="AC573">
        <f t="shared" si="121"/>
        <v>5</v>
      </c>
      <c r="AD573" t="str">
        <f t="shared" si="123"/>
        <v>On Time</v>
      </c>
      <c r="AE573">
        <f t="shared" si="124"/>
        <v>1</v>
      </c>
      <c r="AF573">
        <f t="shared" si="125"/>
        <v>0</v>
      </c>
    </row>
    <row r="574" spans="1:32" x14ac:dyDescent="0.25">
      <c r="A574" s="3" t="s">
        <v>578</v>
      </c>
      <c r="B574" s="4">
        <v>45740</v>
      </c>
      <c r="C574" s="4" t="str">
        <f t="shared" si="112"/>
        <v>Mar-2025</v>
      </c>
      <c r="D574" s="4" t="str">
        <f t="shared" si="113"/>
        <v>Q1</v>
      </c>
      <c r="E574" s="4">
        <v>45751</v>
      </c>
      <c r="F574" s="10">
        <f t="shared" si="114"/>
        <v>11</v>
      </c>
      <c r="G574" s="3" t="s">
        <v>639</v>
      </c>
      <c r="H574" s="3" t="s">
        <v>646</v>
      </c>
      <c r="I574" s="3" t="s">
        <v>683</v>
      </c>
      <c r="J574" t="str">
        <f t="shared" si="115"/>
        <v>Asia &gt; India &gt; Mumbai</v>
      </c>
      <c r="K574" s="3" t="s">
        <v>694</v>
      </c>
      <c r="L574" s="3" t="s">
        <v>701</v>
      </c>
      <c r="M574" s="3" t="s">
        <v>705</v>
      </c>
      <c r="N574" s="3" t="s">
        <v>722</v>
      </c>
      <c r="O574" s="3" t="s">
        <v>1295</v>
      </c>
      <c r="P574" s="6">
        <v>23.83</v>
      </c>
      <c r="Q574" s="6">
        <v>47.29</v>
      </c>
      <c r="R574" s="6" t="str">
        <f t="shared" si="116"/>
        <v>Low</v>
      </c>
      <c r="S574" s="6">
        <v>6.4000000000000001E-2</v>
      </c>
      <c r="T574" s="6">
        <v>19</v>
      </c>
      <c r="U574">
        <f t="shared" si="117"/>
        <v>841.00536</v>
      </c>
      <c r="V574">
        <f t="shared" si="122"/>
        <v>149594.08382999999</v>
      </c>
      <c r="W574">
        <f t="shared" si="118"/>
        <v>452.77</v>
      </c>
      <c r="X574" s="6">
        <f t="shared" si="119"/>
        <v>388.23536000000001</v>
      </c>
      <c r="Y574">
        <f t="shared" si="120"/>
        <v>0.46163244429262618</v>
      </c>
      <c r="Z574">
        <v>202503</v>
      </c>
      <c r="AA574" s="18">
        <v>202301</v>
      </c>
      <c r="AB574" t="str">
        <v>Mar-2023</v>
      </c>
      <c r="AC574">
        <f t="shared" si="121"/>
        <v>26</v>
      </c>
      <c r="AD574" t="str">
        <f t="shared" si="123"/>
        <v>Late</v>
      </c>
      <c r="AE574">
        <f t="shared" si="124"/>
        <v>0</v>
      </c>
      <c r="AF574">
        <f t="shared" si="125"/>
        <v>0</v>
      </c>
    </row>
    <row r="575" spans="1:32" x14ac:dyDescent="0.25">
      <c r="A575" s="3" t="s">
        <v>579</v>
      </c>
      <c r="B575" s="4">
        <v>45293</v>
      </c>
      <c r="C575" s="4" t="str">
        <f t="shared" si="112"/>
        <v>Jan-2024</v>
      </c>
      <c r="D575" s="4" t="str">
        <f t="shared" si="113"/>
        <v>Q1</v>
      </c>
      <c r="E575" s="4">
        <v>45293</v>
      </c>
      <c r="F575" s="10">
        <f t="shared" si="114"/>
        <v>0</v>
      </c>
      <c r="G575" s="3" t="s">
        <v>640</v>
      </c>
      <c r="H575" s="3" t="s">
        <v>645</v>
      </c>
      <c r="I575" s="3" t="s">
        <v>680</v>
      </c>
      <c r="J575" t="str">
        <f t="shared" si="115"/>
        <v>Americas &gt; Canada &gt; Vancouver</v>
      </c>
      <c r="K575" s="3" t="s">
        <v>694</v>
      </c>
      <c r="L575" s="3" t="s">
        <v>703</v>
      </c>
      <c r="M575" s="3" t="s">
        <v>712</v>
      </c>
      <c r="N575" s="3" t="s">
        <v>723</v>
      </c>
      <c r="O575" s="3" t="s">
        <v>1296</v>
      </c>
      <c r="P575" s="6">
        <v>444.41</v>
      </c>
      <c r="Q575" s="6">
        <v>754.24</v>
      </c>
      <c r="R575" s="6" t="str">
        <f t="shared" si="116"/>
        <v>Low</v>
      </c>
      <c r="S575" s="6">
        <v>0.20699999999999999</v>
      </c>
      <c r="T575" s="6">
        <v>32</v>
      </c>
      <c r="U575">
        <f t="shared" si="117"/>
        <v>19139.594240000002</v>
      </c>
      <c r="V575">
        <f t="shared" si="122"/>
        <v>149594.08382999999</v>
      </c>
      <c r="W575">
        <f t="shared" si="118"/>
        <v>14221.12</v>
      </c>
      <c r="X575" s="6">
        <f t="shared" si="119"/>
        <v>4918.4742400000014</v>
      </c>
      <c r="Y575">
        <f t="shared" si="120"/>
        <v>0.25697902360546598</v>
      </c>
      <c r="Z575">
        <v>202401</v>
      </c>
      <c r="AA575" s="18">
        <v>202301</v>
      </c>
      <c r="AB575" t="str">
        <v>Jan-2023</v>
      </c>
      <c r="AC575">
        <f t="shared" si="121"/>
        <v>12</v>
      </c>
      <c r="AD575" t="str">
        <f t="shared" si="123"/>
        <v>On Time</v>
      </c>
      <c r="AE575">
        <f t="shared" si="124"/>
        <v>1</v>
      </c>
      <c r="AF575">
        <f t="shared" si="125"/>
        <v>1</v>
      </c>
    </row>
    <row r="576" spans="1:32" x14ac:dyDescent="0.25">
      <c r="A576" s="3" t="s">
        <v>580</v>
      </c>
      <c r="B576" s="4">
        <v>45279</v>
      </c>
      <c r="C576" s="4" t="str">
        <f t="shared" si="112"/>
        <v>Dec-2023</v>
      </c>
      <c r="D576" s="4" t="str">
        <f t="shared" si="113"/>
        <v>Q4</v>
      </c>
      <c r="E576" s="4">
        <v>45292</v>
      </c>
      <c r="F576" s="10">
        <f t="shared" si="114"/>
        <v>13</v>
      </c>
      <c r="G576" s="3" t="s">
        <v>640</v>
      </c>
      <c r="H576" s="3" t="s">
        <v>645</v>
      </c>
      <c r="I576" s="3" t="s">
        <v>659</v>
      </c>
      <c r="J576" t="str">
        <f t="shared" si="115"/>
        <v>Americas &gt; Canada &gt; Toronto</v>
      </c>
      <c r="K576" s="3" t="s">
        <v>698</v>
      </c>
      <c r="L576" s="3" t="s">
        <v>699</v>
      </c>
      <c r="M576" s="3" t="s">
        <v>715</v>
      </c>
      <c r="N576" s="3" t="s">
        <v>724</v>
      </c>
      <c r="O576" s="3" t="s">
        <v>1297</v>
      </c>
      <c r="P576" s="6">
        <v>856.1</v>
      </c>
      <c r="Q576" s="6">
        <v>901.48</v>
      </c>
      <c r="R576" s="6" t="str">
        <f t="shared" si="116"/>
        <v>Medium</v>
      </c>
      <c r="S576" s="6">
        <v>5.6000000000000001E-2</v>
      </c>
      <c r="T576" s="6">
        <v>17</v>
      </c>
      <c r="U576">
        <f t="shared" si="117"/>
        <v>14466.95104</v>
      </c>
      <c r="V576">
        <f t="shared" si="122"/>
        <v>149594.08382999999</v>
      </c>
      <c r="W576">
        <f t="shared" si="118"/>
        <v>14553.7</v>
      </c>
      <c r="X576" s="6">
        <f t="shared" si="119"/>
        <v>-86.748960000000807</v>
      </c>
      <c r="Y576">
        <f t="shared" si="120"/>
        <v>-5.9963540182134192E-3</v>
      </c>
      <c r="Z576">
        <v>202312</v>
      </c>
      <c r="AA576" s="18">
        <v>202301</v>
      </c>
      <c r="AB576" t="str">
        <v>Dec-2023</v>
      </c>
      <c r="AC576">
        <f t="shared" si="121"/>
        <v>11</v>
      </c>
      <c r="AD576" t="str">
        <f t="shared" si="123"/>
        <v>Late</v>
      </c>
      <c r="AE576">
        <f t="shared" si="124"/>
        <v>0</v>
      </c>
      <c r="AF576">
        <f t="shared" si="125"/>
        <v>0</v>
      </c>
    </row>
    <row r="577" spans="1:32" x14ac:dyDescent="0.25">
      <c r="A577" s="3" t="s">
        <v>581</v>
      </c>
      <c r="B577" s="4">
        <v>45042</v>
      </c>
      <c r="C577" s="4" t="str">
        <f t="shared" si="112"/>
        <v>Apr-2023</v>
      </c>
      <c r="D577" s="4" t="str">
        <f t="shared" si="113"/>
        <v>Q2</v>
      </c>
      <c r="E577" s="4">
        <v>45042</v>
      </c>
      <c r="F577" s="10">
        <f t="shared" si="114"/>
        <v>0</v>
      </c>
      <c r="G577" s="3" t="s">
        <v>641</v>
      </c>
      <c r="H577" s="3" t="s">
        <v>649</v>
      </c>
      <c r="I577" s="3" t="s">
        <v>665</v>
      </c>
      <c r="J577" t="str">
        <f t="shared" si="115"/>
        <v>Europe &gt; France &gt; Marseille</v>
      </c>
      <c r="K577" s="3" t="s">
        <v>696</v>
      </c>
      <c r="L577" s="3" t="s">
        <v>703</v>
      </c>
      <c r="M577" s="3" t="s">
        <v>716</v>
      </c>
      <c r="N577" s="3" t="s">
        <v>719</v>
      </c>
      <c r="O577" s="3" t="s">
        <v>1298</v>
      </c>
      <c r="P577" s="6">
        <v>81.489999999999995</v>
      </c>
      <c r="Q577" s="6">
        <v>113.08</v>
      </c>
      <c r="R577" s="6" t="str">
        <f t="shared" si="116"/>
        <v>Low</v>
      </c>
      <c r="S577" s="6">
        <v>0.121</v>
      </c>
      <c r="T577" s="6">
        <v>5</v>
      </c>
      <c r="U577">
        <f t="shared" si="117"/>
        <v>496.98660000000001</v>
      </c>
      <c r="V577">
        <f t="shared" si="122"/>
        <v>149594.08382999999</v>
      </c>
      <c r="W577">
        <f t="shared" si="118"/>
        <v>407.45</v>
      </c>
      <c r="X577" s="6">
        <f t="shared" si="119"/>
        <v>89.536600000000021</v>
      </c>
      <c r="Y577">
        <f t="shared" si="120"/>
        <v>0.18015898215364362</v>
      </c>
      <c r="Z577">
        <v>202304</v>
      </c>
      <c r="AA577" s="18">
        <v>202301</v>
      </c>
      <c r="AB577" t="str">
        <v>Apr-2023</v>
      </c>
      <c r="AC577">
        <f t="shared" si="121"/>
        <v>3</v>
      </c>
      <c r="AD577" t="str">
        <f t="shared" si="123"/>
        <v>On Time</v>
      </c>
      <c r="AE577">
        <f t="shared" si="124"/>
        <v>1</v>
      </c>
      <c r="AF577">
        <f t="shared" si="125"/>
        <v>0</v>
      </c>
    </row>
    <row r="578" spans="1:32" x14ac:dyDescent="0.25">
      <c r="A578" s="3" t="s">
        <v>582</v>
      </c>
      <c r="B578" s="4">
        <v>45872</v>
      </c>
      <c r="C578" s="4" t="str">
        <f t="shared" ref="C578:C633" si="126">TEXT(B578,"MMM-YYYY")</f>
        <v>Aug-2025</v>
      </c>
      <c r="D578" s="4" t="str">
        <f t="shared" ref="D578:D633" si="127">IF(MONTH(B578)&lt;=3,"Q1",IF(MONTH(B578)&lt;=6,"Q2",IF(MONTH(B578)&lt;=9,"Q3","Q4")))</f>
        <v>Q3</v>
      </c>
      <c r="E578" s="4">
        <v>45885</v>
      </c>
      <c r="F578" s="10">
        <f t="shared" ref="F578:F633" si="128">ABS(E578-B578)</f>
        <v>13</v>
      </c>
      <c r="G578" s="3" t="s">
        <v>640</v>
      </c>
      <c r="H578" s="3" t="s">
        <v>645</v>
      </c>
      <c r="I578" s="3" t="s">
        <v>673</v>
      </c>
      <c r="J578" t="str">
        <f t="shared" ref="J578:J633" si="129">G578 &amp; " &gt; " &amp; H578 &amp; " &gt; " &amp; I578</f>
        <v>Americas &gt; Canada &gt; Montreal</v>
      </c>
      <c r="K578" s="3" t="s">
        <v>698</v>
      </c>
      <c r="L578" s="3" t="s">
        <v>702</v>
      </c>
      <c r="M578" s="3" t="s">
        <v>711</v>
      </c>
      <c r="N578" s="3" t="s">
        <v>721</v>
      </c>
      <c r="O578" s="3" t="s">
        <v>1299</v>
      </c>
      <c r="P578" s="6">
        <v>698.66</v>
      </c>
      <c r="Q578" s="6">
        <v>868.62</v>
      </c>
      <c r="R578" s="6" t="str">
        <f t="shared" ref="R578:R633" si="130">IF(P578&lt;=500,"Low",IF(P578&lt;=1000,"Medium","High"))</f>
        <v>Medium</v>
      </c>
      <c r="S578" s="6">
        <v>7.1999999999999995E-2</v>
      </c>
      <c r="T578" s="6">
        <v>15</v>
      </c>
      <c r="U578">
        <f t="shared" ref="U578:U633" si="131">(Q578*T578*(1-S578))</f>
        <v>12091.190399999999</v>
      </c>
      <c r="V578">
        <f t="shared" si="122"/>
        <v>149097.09722999998</v>
      </c>
      <c r="W578">
        <f t="shared" ref="W578:W633" si="132">(P578*T578)</f>
        <v>10479.9</v>
      </c>
      <c r="X578" s="6">
        <f t="shared" ref="X578:X633" si="133">(U578-W578)</f>
        <v>1611.2903999999999</v>
      </c>
      <c r="Y578">
        <f t="shared" ref="Y578:Y633" si="134">IF(U578=0,0,X578/U578)</f>
        <v>0.13326151906432637</v>
      </c>
      <c r="Z578">
        <v>202508</v>
      </c>
      <c r="AA578" s="18">
        <v>202301</v>
      </c>
      <c r="AB578" t="str">
        <v>Aug-2023</v>
      </c>
      <c r="AC578">
        <f t="shared" ref="AC578:AC633" si="135">DATEDIF(DATE(LEFT(AA578,4),RIGHT(AA578,2),1),B578,"M")</f>
        <v>31</v>
      </c>
      <c r="AD578" t="str">
        <f t="shared" si="123"/>
        <v>Late</v>
      </c>
      <c r="AE578">
        <f t="shared" si="124"/>
        <v>0</v>
      </c>
      <c r="AF578">
        <f t="shared" si="125"/>
        <v>0</v>
      </c>
    </row>
    <row r="579" spans="1:32" x14ac:dyDescent="0.25">
      <c r="A579" s="3" t="s">
        <v>583</v>
      </c>
      <c r="B579" s="4">
        <v>45140</v>
      </c>
      <c r="C579" s="4" t="str">
        <f t="shared" si="126"/>
        <v>Aug-2023</v>
      </c>
      <c r="D579" s="4" t="str">
        <f t="shared" si="127"/>
        <v>Q3</v>
      </c>
      <c r="E579" s="4">
        <v>45157</v>
      </c>
      <c r="F579" s="10">
        <f t="shared" si="128"/>
        <v>17</v>
      </c>
      <c r="G579" s="3" t="s">
        <v>640</v>
      </c>
      <c r="H579" s="3" t="s">
        <v>645</v>
      </c>
      <c r="I579" s="3" t="s">
        <v>680</v>
      </c>
      <c r="J579" t="str">
        <f t="shared" si="129"/>
        <v>Americas &gt; Canada &gt; Vancouver</v>
      </c>
      <c r="K579" s="3" t="s">
        <v>693</v>
      </c>
      <c r="L579" s="3" t="s">
        <v>700</v>
      </c>
      <c r="M579" s="3" t="s">
        <v>713</v>
      </c>
      <c r="N579" s="3" t="s">
        <v>721</v>
      </c>
      <c r="O579" s="3" t="s">
        <v>1300</v>
      </c>
      <c r="P579" s="6">
        <v>175.38</v>
      </c>
      <c r="Q579" s="6">
        <v>347.9</v>
      </c>
      <c r="R579" s="6" t="str">
        <f t="shared" si="130"/>
        <v>Low</v>
      </c>
      <c r="S579" s="6">
        <v>7.1999999999999995E-2</v>
      </c>
      <c r="T579" s="6">
        <v>43</v>
      </c>
      <c r="U579">
        <f t="shared" si="131"/>
        <v>13882.6016</v>
      </c>
      <c r="V579">
        <f t="shared" ref="V579:V633" si="136">SUMIFS(U579:U1210,N579:N1210,"Components")</f>
        <v>149097.09722999998</v>
      </c>
      <c r="W579">
        <f t="shared" si="132"/>
        <v>7541.34</v>
      </c>
      <c r="X579" s="6">
        <f t="shared" si="133"/>
        <v>6341.2615999999998</v>
      </c>
      <c r="Y579">
        <f t="shared" si="134"/>
        <v>0.45677761148169804</v>
      </c>
      <c r="Z579">
        <v>202308</v>
      </c>
      <c r="AA579" s="18">
        <v>202301</v>
      </c>
      <c r="AB579" t="str">
        <v>Aug-2023</v>
      </c>
      <c r="AC579">
        <f t="shared" si="135"/>
        <v>7</v>
      </c>
      <c r="AD579" t="str">
        <f t="shared" ref="AD579:AD633" si="137">IF(F579&lt;=7,"On Time","Late")</f>
        <v>Late</v>
      </c>
      <c r="AE579">
        <f t="shared" ref="AE579:AE633" si="138">IF(F579&lt;=7,1,0)</f>
        <v>0</v>
      </c>
      <c r="AF579">
        <f t="shared" ref="AF579:AF633" si="139">IF(S579&gt;0.2,1,0)</f>
        <v>0</v>
      </c>
    </row>
    <row r="580" spans="1:32" x14ac:dyDescent="0.25">
      <c r="A580" s="3" t="s">
        <v>584</v>
      </c>
      <c r="B580" s="4">
        <v>45092</v>
      </c>
      <c r="C580" s="4" t="str">
        <f t="shared" si="126"/>
        <v>Jun-2023</v>
      </c>
      <c r="D580" s="4" t="str">
        <f t="shared" si="127"/>
        <v>Q2</v>
      </c>
      <c r="E580" s="4">
        <v>45119</v>
      </c>
      <c r="F580" s="10">
        <f t="shared" si="128"/>
        <v>27</v>
      </c>
      <c r="G580" s="3" t="s">
        <v>641</v>
      </c>
      <c r="H580" s="3" t="s">
        <v>650</v>
      </c>
      <c r="I580" s="3" t="s">
        <v>685</v>
      </c>
      <c r="J580" t="str">
        <f t="shared" si="129"/>
        <v>Europe &gt; United Kingdom &gt; Manchester</v>
      </c>
      <c r="K580" s="3" t="s">
        <v>696</v>
      </c>
      <c r="L580" s="3" t="s">
        <v>703</v>
      </c>
      <c r="M580" s="3" t="s">
        <v>706</v>
      </c>
      <c r="N580" s="3" t="s">
        <v>725</v>
      </c>
      <c r="O580" s="3" t="s">
        <v>1301</v>
      </c>
      <c r="P580" s="6">
        <v>751.28</v>
      </c>
      <c r="Q580" s="6">
        <v>1111.8800000000001</v>
      </c>
      <c r="R580" s="6" t="str">
        <f t="shared" si="130"/>
        <v>Medium</v>
      </c>
      <c r="S580" s="6">
        <v>0.13500000000000001</v>
      </c>
      <c r="T580" s="6">
        <v>7</v>
      </c>
      <c r="U580">
        <f t="shared" si="131"/>
        <v>6732.4334000000008</v>
      </c>
      <c r="V580">
        <f t="shared" si="136"/>
        <v>149097.09722999998</v>
      </c>
      <c r="W580">
        <f t="shared" si="132"/>
        <v>5258.96</v>
      </c>
      <c r="X580" s="6">
        <f t="shared" si="133"/>
        <v>1473.4734000000008</v>
      </c>
      <c r="Y580">
        <f t="shared" si="134"/>
        <v>0.21886193482433863</v>
      </c>
      <c r="Z580">
        <v>202306</v>
      </c>
      <c r="AA580" s="18">
        <v>202301</v>
      </c>
      <c r="AB580" t="str">
        <v>Jun-2023</v>
      </c>
      <c r="AC580">
        <f t="shared" si="135"/>
        <v>5</v>
      </c>
      <c r="AD580" t="str">
        <f t="shared" si="137"/>
        <v>Late</v>
      </c>
      <c r="AE580">
        <f t="shared" si="138"/>
        <v>0</v>
      </c>
      <c r="AF580">
        <f t="shared" si="139"/>
        <v>0</v>
      </c>
    </row>
    <row r="581" spans="1:32" x14ac:dyDescent="0.25">
      <c r="A581" s="3" t="s">
        <v>585</v>
      </c>
      <c r="B581" s="4">
        <v>45607</v>
      </c>
      <c r="C581" s="4" t="str">
        <f t="shared" si="126"/>
        <v>Nov-2024</v>
      </c>
      <c r="D581" s="4" t="str">
        <f t="shared" si="127"/>
        <v>Q4</v>
      </c>
      <c r="E581" s="4">
        <v>45620</v>
      </c>
      <c r="F581" s="10">
        <f t="shared" si="128"/>
        <v>13</v>
      </c>
      <c r="G581" s="3" t="s">
        <v>641</v>
      </c>
      <c r="H581" s="3" t="s">
        <v>650</v>
      </c>
      <c r="I581" s="3" t="s">
        <v>675</v>
      </c>
      <c r="J581" t="str">
        <f t="shared" si="129"/>
        <v>Europe &gt; United Kingdom &gt; London</v>
      </c>
      <c r="K581" s="3" t="s">
        <v>693</v>
      </c>
      <c r="L581" s="3" t="s">
        <v>699</v>
      </c>
      <c r="M581" s="3" t="s">
        <v>710</v>
      </c>
      <c r="N581" s="3" t="s">
        <v>721</v>
      </c>
      <c r="O581" s="3" t="s">
        <v>1302</v>
      </c>
      <c r="P581" s="6">
        <v>164.53</v>
      </c>
      <c r="Q581" s="6">
        <v>327.72</v>
      </c>
      <c r="R581" s="6" t="str">
        <f t="shared" si="130"/>
        <v>Low</v>
      </c>
      <c r="S581" s="6">
        <v>6.7000000000000004E-2</v>
      </c>
      <c r="T581" s="6">
        <v>14</v>
      </c>
      <c r="U581">
        <f t="shared" si="131"/>
        <v>4280.6786400000001</v>
      </c>
      <c r="V581">
        <f t="shared" si="136"/>
        <v>149097.09722999998</v>
      </c>
      <c r="W581">
        <f t="shared" si="132"/>
        <v>2303.42</v>
      </c>
      <c r="X581" s="6">
        <f t="shared" si="133"/>
        <v>1977.25864</v>
      </c>
      <c r="Y581">
        <f t="shared" si="134"/>
        <v>0.46190307805960412</v>
      </c>
      <c r="Z581">
        <v>202411</v>
      </c>
      <c r="AA581" s="18">
        <v>202301</v>
      </c>
      <c r="AB581" t="str">
        <v>Nov-2023</v>
      </c>
      <c r="AC581">
        <f t="shared" si="135"/>
        <v>22</v>
      </c>
      <c r="AD581" t="str">
        <f t="shared" si="137"/>
        <v>Late</v>
      </c>
      <c r="AE581">
        <f t="shared" si="138"/>
        <v>0</v>
      </c>
      <c r="AF581">
        <f t="shared" si="139"/>
        <v>0</v>
      </c>
    </row>
    <row r="582" spans="1:32" x14ac:dyDescent="0.25">
      <c r="A582" s="3" t="s">
        <v>586</v>
      </c>
      <c r="B582" s="4">
        <v>45849</v>
      </c>
      <c r="C582" s="4" t="str">
        <f t="shared" si="126"/>
        <v>Jul-2025</v>
      </c>
      <c r="D582" s="4" t="str">
        <f t="shared" si="127"/>
        <v>Q3</v>
      </c>
      <c r="E582" s="4">
        <v>45872</v>
      </c>
      <c r="F582" s="10">
        <f t="shared" si="128"/>
        <v>23</v>
      </c>
      <c r="G582" s="3" t="s">
        <v>638</v>
      </c>
      <c r="H582" s="3" t="s">
        <v>642</v>
      </c>
      <c r="I582" s="3" t="s">
        <v>670</v>
      </c>
      <c r="J582" t="str">
        <f t="shared" si="129"/>
        <v>Africa &gt; Kenya &gt; Nakuru</v>
      </c>
      <c r="K582" s="3" t="s">
        <v>697</v>
      </c>
      <c r="L582" s="3" t="s">
        <v>699</v>
      </c>
      <c r="M582" s="3" t="s">
        <v>704</v>
      </c>
      <c r="N582" s="3" t="s">
        <v>722</v>
      </c>
      <c r="O582" s="3" t="s">
        <v>1303</v>
      </c>
      <c r="P582" s="6">
        <v>389.93</v>
      </c>
      <c r="Q582" s="6">
        <v>486.13</v>
      </c>
      <c r="R582" s="6" t="str">
        <f t="shared" si="130"/>
        <v>Low</v>
      </c>
      <c r="S582" s="6">
        <v>0.13200000000000001</v>
      </c>
      <c r="T582" s="6">
        <v>17</v>
      </c>
      <c r="U582">
        <f t="shared" si="131"/>
        <v>7173.3342799999991</v>
      </c>
      <c r="V582">
        <f t="shared" si="136"/>
        <v>149097.09722999998</v>
      </c>
      <c r="W582">
        <f t="shared" si="132"/>
        <v>6628.81</v>
      </c>
      <c r="X582" s="6">
        <f t="shared" si="133"/>
        <v>544.52427999999873</v>
      </c>
      <c r="Y582">
        <f t="shared" si="134"/>
        <v>7.5909508569562828E-2</v>
      </c>
      <c r="Z582">
        <v>202507</v>
      </c>
      <c r="AA582" s="18">
        <v>202301</v>
      </c>
      <c r="AB582" t="str">
        <v>Jul-2023</v>
      </c>
      <c r="AC582">
        <f t="shared" si="135"/>
        <v>30</v>
      </c>
      <c r="AD582" t="str">
        <f t="shared" si="137"/>
        <v>Late</v>
      </c>
      <c r="AE582">
        <f t="shared" si="138"/>
        <v>0</v>
      </c>
      <c r="AF582">
        <f t="shared" si="139"/>
        <v>0</v>
      </c>
    </row>
    <row r="583" spans="1:32" x14ac:dyDescent="0.25">
      <c r="A583" s="3" t="s">
        <v>587</v>
      </c>
      <c r="B583" s="4">
        <v>45080</v>
      </c>
      <c r="C583" s="4" t="str">
        <f t="shared" si="126"/>
        <v>Jun-2023</v>
      </c>
      <c r="D583" s="4" t="str">
        <f t="shared" si="127"/>
        <v>Q2</v>
      </c>
      <c r="E583" s="4">
        <v>45108</v>
      </c>
      <c r="F583" s="10">
        <f t="shared" si="128"/>
        <v>28</v>
      </c>
      <c r="G583" s="3" t="s">
        <v>640</v>
      </c>
      <c r="H583" s="3" t="s">
        <v>647</v>
      </c>
      <c r="I583" s="3" t="s">
        <v>664</v>
      </c>
      <c r="J583" t="str">
        <f t="shared" si="129"/>
        <v>Americas &gt; Brazil &gt; Brasília</v>
      </c>
      <c r="K583" s="3" t="s">
        <v>697</v>
      </c>
      <c r="L583" s="3" t="s">
        <v>701</v>
      </c>
      <c r="M583" s="3" t="s">
        <v>712</v>
      </c>
      <c r="N583" s="3" t="s">
        <v>719</v>
      </c>
      <c r="O583" s="3" t="s">
        <v>1304</v>
      </c>
      <c r="P583" s="6">
        <v>860.4</v>
      </c>
      <c r="Q583" s="6">
        <v>2066.6</v>
      </c>
      <c r="R583" s="6" t="str">
        <f t="shared" si="130"/>
        <v>Medium</v>
      </c>
      <c r="S583" s="6">
        <v>0.01</v>
      </c>
      <c r="T583" s="6">
        <v>3</v>
      </c>
      <c r="U583">
        <f t="shared" si="131"/>
        <v>6137.8019999999988</v>
      </c>
      <c r="V583">
        <f t="shared" si="136"/>
        <v>149097.09722999998</v>
      </c>
      <c r="W583">
        <f t="shared" si="132"/>
        <v>2581.1999999999998</v>
      </c>
      <c r="X583" s="6">
        <f t="shared" si="133"/>
        <v>3556.601999999999</v>
      </c>
      <c r="Y583">
        <f t="shared" si="134"/>
        <v>0.57945857491004105</v>
      </c>
      <c r="Z583">
        <v>202306</v>
      </c>
      <c r="AA583" s="18">
        <v>202301</v>
      </c>
      <c r="AB583" t="str">
        <v>Jun-2023</v>
      </c>
      <c r="AC583">
        <f t="shared" si="135"/>
        <v>5</v>
      </c>
      <c r="AD583" t="str">
        <f t="shared" si="137"/>
        <v>Late</v>
      </c>
      <c r="AE583">
        <f t="shared" si="138"/>
        <v>0</v>
      </c>
      <c r="AF583">
        <f t="shared" si="139"/>
        <v>0</v>
      </c>
    </row>
    <row r="584" spans="1:32" x14ac:dyDescent="0.25">
      <c r="A584" s="3" t="s">
        <v>588</v>
      </c>
      <c r="B584" s="4">
        <v>44955</v>
      </c>
      <c r="C584" s="4" t="str">
        <f t="shared" si="126"/>
        <v>Jan-2023</v>
      </c>
      <c r="D584" s="4" t="str">
        <f t="shared" si="127"/>
        <v>Q1</v>
      </c>
      <c r="E584" s="4">
        <v>44963</v>
      </c>
      <c r="F584" s="10">
        <f t="shared" si="128"/>
        <v>8</v>
      </c>
      <c r="G584" s="3" t="s">
        <v>640</v>
      </c>
      <c r="H584" s="3" t="s">
        <v>647</v>
      </c>
      <c r="I584" s="3" t="s">
        <v>664</v>
      </c>
      <c r="J584" t="str">
        <f t="shared" si="129"/>
        <v>Americas &gt; Brazil &gt; Brasília</v>
      </c>
      <c r="K584" s="3" t="s">
        <v>693</v>
      </c>
      <c r="L584" s="3" t="s">
        <v>701</v>
      </c>
      <c r="M584" s="3" t="s">
        <v>718</v>
      </c>
      <c r="N584" s="3" t="s">
        <v>724</v>
      </c>
      <c r="O584" s="3" t="s">
        <v>1305</v>
      </c>
      <c r="P584" s="6">
        <v>41.84</v>
      </c>
      <c r="Q584" s="6">
        <v>86.2</v>
      </c>
      <c r="R584" s="6" t="str">
        <f t="shared" si="130"/>
        <v>Low</v>
      </c>
      <c r="S584" s="6">
        <v>0.22600000000000001</v>
      </c>
      <c r="T584" s="6">
        <v>27</v>
      </c>
      <c r="U584">
        <f t="shared" si="131"/>
        <v>1801.4076000000002</v>
      </c>
      <c r="V584">
        <f t="shared" si="136"/>
        <v>142959.29522999999</v>
      </c>
      <c r="W584">
        <f t="shared" si="132"/>
        <v>1129.68</v>
      </c>
      <c r="X584" s="6">
        <f t="shared" si="133"/>
        <v>671.72760000000017</v>
      </c>
      <c r="Y584">
        <f t="shared" si="134"/>
        <v>0.37289039970742882</v>
      </c>
      <c r="Z584">
        <v>202301</v>
      </c>
      <c r="AA584" s="18">
        <v>202301</v>
      </c>
      <c r="AB584" t="str">
        <v>Jan-2023</v>
      </c>
      <c r="AC584">
        <f t="shared" si="135"/>
        <v>0</v>
      </c>
      <c r="AD584" t="str">
        <f t="shared" si="137"/>
        <v>Late</v>
      </c>
      <c r="AE584">
        <f t="shared" si="138"/>
        <v>0</v>
      </c>
      <c r="AF584">
        <f t="shared" si="139"/>
        <v>1</v>
      </c>
    </row>
    <row r="585" spans="1:32" x14ac:dyDescent="0.25">
      <c r="A585" s="3" t="s">
        <v>589</v>
      </c>
      <c r="B585" s="4">
        <v>45541</v>
      </c>
      <c r="C585" s="4" t="str">
        <f t="shared" si="126"/>
        <v>Sept-2024</v>
      </c>
      <c r="D585" s="4" t="str">
        <f t="shared" si="127"/>
        <v>Q3</v>
      </c>
      <c r="E585" s="4">
        <v>45543</v>
      </c>
      <c r="F585" s="10">
        <f t="shared" si="128"/>
        <v>2</v>
      </c>
      <c r="G585" s="3" t="s">
        <v>639</v>
      </c>
      <c r="H585" s="3" t="s">
        <v>644</v>
      </c>
      <c r="I585" s="3" t="s">
        <v>658</v>
      </c>
      <c r="J585" t="str">
        <f t="shared" si="129"/>
        <v>Asia &gt; Japan &gt; Osaka</v>
      </c>
      <c r="K585" s="3" t="s">
        <v>693</v>
      </c>
      <c r="L585" s="3" t="s">
        <v>703</v>
      </c>
      <c r="M585" s="3" t="s">
        <v>712</v>
      </c>
      <c r="N585" s="3" t="s">
        <v>723</v>
      </c>
      <c r="O585" s="3" t="s">
        <v>1306</v>
      </c>
      <c r="P585" s="6">
        <v>1368.17</v>
      </c>
      <c r="Q585" s="6">
        <v>2307.75</v>
      </c>
      <c r="R585" s="6" t="str">
        <f t="shared" si="130"/>
        <v>High</v>
      </c>
      <c r="S585" s="6">
        <v>0.16300000000000001</v>
      </c>
      <c r="T585" s="6">
        <v>21</v>
      </c>
      <c r="U585">
        <f t="shared" si="131"/>
        <v>40563.321749999996</v>
      </c>
      <c r="V585">
        <f t="shared" si="136"/>
        <v>142959.29522999999</v>
      </c>
      <c r="W585">
        <f t="shared" si="132"/>
        <v>28731.57</v>
      </c>
      <c r="X585" s="6">
        <f t="shared" si="133"/>
        <v>11831.751749999996</v>
      </c>
      <c r="Y585">
        <f t="shared" si="134"/>
        <v>0.29168596750831921</v>
      </c>
      <c r="Z585">
        <v>202409</v>
      </c>
      <c r="AA585" s="18">
        <v>202303</v>
      </c>
      <c r="AB585" t="str">
        <v>Sept-2023</v>
      </c>
      <c r="AC585">
        <f t="shared" si="135"/>
        <v>18</v>
      </c>
      <c r="AD585" t="str">
        <f t="shared" si="137"/>
        <v>On Time</v>
      </c>
      <c r="AE585">
        <f t="shared" si="138"/>
        <v>1</v>
      </c>
      <c r="AF585">
        <f t="shared" si="139"/>
        <v>0</v>
      </c>
    </row>
    <row r="586" spans="1:32" x14ac:dyDescent="0.25">
      <c r="A586" s="3" t="s">
        <v>590</v>
      </c>
      <c r="B586" s="4">
        <v>45507</v>
      </c>
      <c r="C586" s="4" t="str">
        <f t="shared" si="126"/>
        <v>Aug-2024</v>
      </c>
      <c r="D586" s="4" t="str">
        <f t="shared" si="127"/>
        <v>Q3</v>
      </c>
      <c r="E586" s="4">
        <v>45513</v>
      </c>
      <c r="F586" s="10">
        <f t="shared" si="128"/>
        <v>6</v>
      </c>
      <c r="G586" s="3" t="s">
        <v>638</v>
      </c>
      <c r="H586" s="3" t="s">
        <v>642</v>
      </c>
      <c r="I586" s="3" t="s">
        <v>667</v>
      </c>
      <c r="J586" t="str">
        <f t="shared" si="129"/>
        <v>Africa &gt; Kenya &gt; Mombasa</v>
      </c>
      <c r="K586" s="3" t="s">
        <v>696</v>
      </c>
      <c r="L586" s="3" t="s">
        <v>701</v>
      </c>
      <c r="M586" s="3" t="s">
        <v>714</v>
      </c>
      <c r="N586" s="3" t="s">
        <v>723</v>
      </c>
      <c r="O586" s="3" t="s">
        <v>1307</v>
      </c>
      <c r="P586" s="6">
        <v>643.21</v>
      </c>
      <c r="Q586" s="6">
        <v>1112.81</v>
      </c>
      <c r="R586" s="6" t="str">
        <f t="shared" si="130"/>
        <v>Medium</v>
      </c>
      <c r="S586" s="6">
        <v>0.14099999999999999</v>
      </c>
      <c r="T586" s="6">
        <v>4</v>
      </c>
      <c r="U586">
        <f t="shared" si="131"/>
        <v>3823.6151599999998</v>
      </c>
      <c r="V586">
        <f t="shared" si="136"/>
        <v>142959.29522999999</v>
      </c>
      <c r="W586">
        <f t="shared" si="132"/>
        <v>2572.84</v>
      </c>
      <c r="X586" s="6">
        <f t="shared" si="133"/>
        <v>1250.7751599999997</v>
      </c>
      <c r="Y586">
        <f t="shared" si="134"/>
        <v>0.32711847496702562</v>
      </c>
      <c r="Z586">
        <v>202408</v>
      </c>
      <c r="AA586" s="18">
        <v>202301</v>
      </c>
      <c r="AB586" t="str">
        <v>Aug-2023</v>
      </c>
      <c r="AC586">
        <f t="shared" si="135"/>
        <v>19</v>
      </c>
      <c r="AD586" t="str">
        <f t="shared" si="137"/>
        <v>On Time</v>
      </c>
      <c r="AE586">
        <f t="shared" si="138"/>
        <v>1</v>
      </c>
      <c r="AF586">
        <f t="shared" si="139"/>
        <v>0</v>
      </c>
    </row>
    <row r="587" spans="1:32" x14ac:dyDescent="0.25">
      <c r="A587" s="3" t="s">
        <v>591</v>
      </c>
      <c r="B587" s="4">
        <v>45764</v>
      </c>
      <c r="C587" s="4" t="str">
        <f t="shared" si="126"/>
        <v>Apr-2025</v>
      </c>
      <c r="D587" s="4" t="str">
        <f t="shared" si="127"/>
        <v>Q2</v>
      </c>
      <c r="E587" s="4">
        <v>45764</v>
      </c>
      <c r="F587" s="10">
        <f t="shared" si="128"/>
        <v>0</v>
      </c>
      <c r="G587" s="3" t="s">
        <v>640</v>
      </c>
      <c r="H587" s="3" t="s">
        <v>647</v>
      </c>
      <c r="I587" s="3" t="s">
        <v>662</v>
      </c>
      <c r="J587" t="str">
        <f t="shared" si="129"/>
        <v>Americas &gt; Brazil &gt; São Paulo</v>
      </c>
      <c r="K587" s="3" t="s">
        <v>693</v>
      </c>
      <c r="L587" s="3" t="s">
        <v>702</v>
      </c>
      <c r="M587" s="3" t="s">
        <v>708</v>
      </c>
      <c r="N587" s="3" t="s">
        <v>722</v>
      </c>
      <c r="O587" s="3" t="s">
        <v>1308</v>
      </c>
      <c r="P587" s="6">
        <v>719.41</v>
      </c>
      <c r="Q587" s="6">
        <v>1125.99</v>
      </c>
      <c r="R587" s="6" t="str">
        <f t="shared" si="130"/>
        <v>Medium</v>
      </c>
      <c r="S587" s="6">
        <v>4.1000000000000002E-2</v>
      </c>
      <c r="T587" s="6">
        <v>21</v>
      </c>
      <c r="U587">
        <f t="shared" si="131"/>
        <v>22676.312610000001</v>
      </c>
      <c r="V587">
        <f t="shared" si="136"/>
        <v>142959.29522999999</v>
      </c>
      <c r="W587">
        <f t="shared" si="132"/>
        <v>15107.609999999999</v>
      </c>
      <c r="X587" s="6">
        <f t="shared" si="133"/>
        <v>7568.7026100000021</v>
      </c>
      <c r="Y587">
        <f t="shared" si="134"/>
        <v>0.33377131194876403</v>
      </c>
      <c r="Z587">
        <v>202504</v>
      </c>
      <c r="AA587" s="18">
        <v>202301</v>
      </c>
      <c r="AB587" t="str">
        <v>Apr-2023</v>
      </c>
      <c r="AC587">
        <f t="shared" si="135"/>
        <v>27</v>
      </c>
      <c r="AD587" t="str">
        <f t="shared" si="137"/>
        <v>On Time</v>
      </c>
      <c r="AE587">
        <f t="shared" si="138"/>
        <v>1</v>
      </c>
      <c r="AF587">
        <f t="shared" si="139"/>
        <v>0</v>
      </c>
    </row>
    <row r="588" spans="1:32" x14ac:dyDescent="0.25">
      <c r="A588" s="3" t="s">
        <v>592</v>
      </c>
      <c r="B588" s="4">
        <v>45049</v>
      </c>
      <c r="C588" s="4" t="str">
        <f t="shared" si="126"/>
        <v>May-2023</v>
      </c>
      <c r="D588" s="4" t="str">
        <f t="shared" si="127"/>
        <v>Q2</v>
      </c>
      <c r="E588" s="4">
        <v>45062</v>
      </c>
      <c r="F588" s="10">
        <f t="shared" si="128"/>
        <v>13</v>
      </c>
      <c r="G588" s="3" t="s">
        <v>640</v>
      </c>
      <c r="H588" s="3" t="s">
        <v>652</v>
      </c>
      <c r="I588" s="3" t="s">
        <v>692</v>
      </c>
      <c r="J588" t="str">
        <f t="shared" si="129"/>
        <v>Americas &gt; USA &gt; New York</v>
      </c>
      <c r="K588" s="3" t="s">
        <v>693</v>
      </c>
      <c r="L588" s="3" t="s">
        <v>701</v>
      </c>
      <c r="M588" s="3" t="s">
        <v>708</v>
      </c>
      <c r="N588" s="3" t="s">
        <v>722</v>
      </c>
      <c r="O588" s="3" t="s">
        <v>1309</v>
      </c>
      <c r="P588" s="6">
        <v>64.5</v>
      </c>
      <c r="Q588" s="6">
        <v>123.62</v>
      </c>
      <c r="R588" s="6" t="str">
        <f t="shared" si="130"/>
        <v>Low</v>
      </c>
      <c r="S588" s="6">
        <v>0</v>
      </c>
      <c r="T588" s="6">
        <v>3</v>
      </c>
      <c r="U588">
        <f t="shared" si="131"/>
        <v>370.86</v>
      </c>
      <c r="V588">
        <f t="shared" si="136"/>
        <v>142959.29522999999</v>
      </c>
      <c r="W588">
        <f t="shared" si="132"/>
        <v>193.5</v>
      </c>
      <c r="X588" s="6">
        <f t="shared" si="133"/>
        <v>177.36</v>
      </c>
      <c r="Y588">
        <f t="shared" si="134"/>
        <v>0.47823976702798904</v>
      </c>
      <c r="Z588">
        <v>202305</v>
      </c>
      <c r="AA588" s="18">
        <v>202301</v>
      </c>
      <c r="AB588" t="str">
        <v>May-2023</v>
      </c>
      <c r="AC588">
        <f t="shared" si="135"/>
        <v>4</v>
      </c>
      <c r="AD588" t="str">
        <f t="shared" si="137"/>
        <v>Late</v>
      </c>
      <c r="AE588">
        <f t="shared" si="138"/>
        <v>0</v>
      </c>
      <c r="AF588">
        <f t="shared" si="139"/>
        <v>0</v>
      </c>
    </row>
    <row r="589" spans="1:32" x14ac:dyDescent="0.25">
      <c r="A589" s="3" t="s">
        <v>593</v>
      </c>
      <c r="B589" s="4">
        <v>45364</v>
      </c>
      <c r="C589" s="4" t="str">
        <f t="shared" si="126"/>
        <v>Mar-2024</v>
      </c>
      <c r="D589" s="4" t="str">
        <f t="shared" si="127"/>
        <v>Q1</v>
      </c>
      <c r="E589" s="4">
        <v>45388</v>
      </c>
      <c r="F589" s="10">
        <f t="shared" si="128"/>
        <v>24</v>
      </c>
      <c r="G589" s="3" t="s">
        <v>638</v>
      </c>
      <c r="H589" s="3" t="s">
        <v>643</v>
      </c>
      <c r="I589" s="3" t="s">
        <v>661</v>
      </c>
      <c r="J589" t="str">
        <f t="shared" si="129"/>
        <v>Africa &gt; Nigeria &gt; Abuja</v>
      </c>
      <c r="K589" s="3" t="s">
        <v>696</v>
      </c>
      <c r="L589" s="3" t="s">
        <v>702</v>
      </c>
      <c r="M589" s="3" t="s">
        <v>708</v>
      </c>
      <c r="N589" s="3" t="s">
        <v>719</v>
      </c>
      <c r="O589" s="3" t="s">
        <v>1310</v>
      </c>
      <c r="P589" s="6">
        <v>1232.78</v>
      </c>
      <c r="Q589" s="6">
        <v>1731.75</v>
      </c>
      <c r="R589" s="6" t="str">
        <f t="shared" si="130"/>
        <v>High</v>
      </c>
      <c r="S589" s="6">
        <v>9.2999999999999999E-2</v>
      </c>
      <c r="T589" s="6">
        <v>16</v>
      </c>
      <c r="U589">
        <f t="shared" si="131"/>
        <v>25131.155999999999</v>
      </c>
      <c r="V589">
        <f t="shared" si="136"/>
        <v>142959.29522999999</v>
      </c>
      <c r="W589">
        <f t="shared" si="132"/>
        <v>19724.48</v>
      </c>
      <c r="X589" s="6">
        <f t="shared" si="133"/>
        <v>5406.6759999999995</v>
      </c>
      <c r="Y589">
        <f t="shared" si="134"/>
        <v>0.21513837246484005</v>
      </c>
      <c r="Z589">
        <v>202403</v>
      </c>
      <c r="AA589" s="18">
        <v>202301</v>
      </c>
      <c r="AB589" t="str">
        <v>Mar-2023</v>
      </c>
      <c r="AC589">
        <f t="shared" si="135"/>
        <v>14</v>
      </c>
      <c r="AD589" t="str">
        <f t="shared" si="137"/>
        <v>Late</v>
      </c>
      <c r="AE589">
        <f t="shared" si="138"/>
        <v>0</v>
      </c>
      <c r="AF589">
        <f t="shared" si="139"/>
        <v>0</v>
      </c>
    </row>
    <row r="590" spans="1:32" x14ac:dyDescent="0.25">
      <c r="A590" s="3" t="s">
        <v>594</v>
      </c>
      <c r="B590" s="4">
        <v>45459</v>
      </c>
      <c r="C590" s="4" t="str">
        <f t="shared" si="126"/>
        <v>Jun-2024</v>
      </c>
      <c r="D590" s="4" t="str">
        <f t="shared" si="127"/>
        <v>Q2</v>
      </c>
      <c r="E590" s="4">
        <v>45464</v>
      </c>
      <c r="F590" s="10">
        <f t="shared" si="128"/>
        <v>5</v>
      </c>
      <c r="G590" s="3" t="s">
        <v>639</v>
      </c>
      <c r="H590" s="3" t="s">
        <v>644</v>
      </c>
      <c r="I590" s="3" t="s">
        <v>681</v>
      </c>
      <c r="J590" t="str">
        <f t="shared" si="129"/>
        <v>Asia &gt; Japan &gt; Tokyo</v>
      </c>
      <c r="K590" s="3" t="s">
        <v>697</v>
      </c>
      <c r="L590" s="3" t="s">
        <v>702</v>
      </c>
      <c r="M590" s="3" t="s">
        <v>713</v>
      </c>
      <c r="N590" s="3" t="s">
        <v>722</v>
      </c>
      <c r="O590" s="3" t="s">
        <v>1311</v>
      </c>
      <c r="P590" s="6">
        <v>1367.13</v>
      </c>
      <c r="Q590" s="6">
        <v>3062.01</v>
      </c>
      <c r="R590" s="6" t="str">
        <f t="shared" si="130"/>
        <v>High</v>
      </c>
      <c r="S590" s="6">
        <v>0.10299999999999999</v>
      </c>
      <c r="T590" s="6">
        <v>25</v>
      </c>
      <c r="U590">
        <f t="shared" si="131"/>
        <v>68665.574250000005</v>
      </c>
      <c r="V590">
        <f t="shared" si="136"/>
        <v>117828.13922999999</v>
      </c>
      <c r="W590">
        <f t="shared" si="132"/>
        <v>34178.25</v>
      </c>
      <c r="X590" s="6">
        <f t="shared" si="133"/>
        <v>34487.324250000005</v>
      </c>
      <c r="Y590">
        <f t="shared" si="134"/>
        <v>0.50225057645971705</v>
      </c>
      <c r="Z590">
        <v>202406</v>
      </c>
      <c r="AA590" s="18">
        <v>202303</v>
      </c>
      <c r="AB590" t="str">
        <v>Jun-2023</v>
      </c>
      <c r="AC590">
        <f t="shared" si="135"/>
        <v>15</v>
      </c>
      <c r="AD590" t="str">
        <f t="shared" si="137"/>
        <v>On Time</v>
      </c>
      <c r="AE590">
        <f t="shared" si="138"/>
        <v>1</v>
      </c>
      <c r="AF590">
        <f t="shared" si="139"/>
        <v>0</v>
      </c>
    </row>
    <row r="591" spans="1:32" x14ac:dyDescent="0.25">
      <c r="A591" s="3" t="s">
        <v>595</v>
      </c>
      <c r="B591" s="4">
        <v>45703</v>
      </c>
      <c r="C591" s="4" t="str">
        <f t="shared" si="126"/>
        <v>Feb-2025</v>
      </c>
      <c r="D591" s="4" t="str">
        <f t="shared" si="127"/>
        <v>Q1</v>
      </c>
      <c r="E591" s="4">
        <v>45715</v>
      </c>
      <c r="F591" s="10">
        <f t="shared" si="128"/>
        <v>12</v>
      </c>
      <c r="G591" s="3" t="s">
        <v>641</v>
      </c>
      <c r="H591" s="3" t="s">
        <v>649</v>
      </c>
      <c r="I591" s="3" t="s">
        <v>671</v>
      </c>
      <c r="J591" t="str">
        <f t="shared" si="129"/>
        <v>Europe &gt; France &gt; Lyon</v>
      </c>
      <c r="K591" s="3" t="s">
        <v>695</v>
      </c>
      <c r="L591" s="3" t="s">
        <v>703</v>
      </c>
      <c r="M591" s="3" t="s">
        <v>715</v>
      </c>
      <c r="N591" s="3" t="s">
        <v>725</v>
      </c>
      <c r="O591" s="3" t="s">
        <v>1312</v>
      </c>
      <c r="P591" s="6">
        <v>1027.26</v>
      </c>
      <c r="Q591" s="6">
        <v>2200.41</v>
      </c>
      <c r="R591" s="6" t="str">
        <f t="shared" si="130"/>
        <v>High</v>
      </c>
      <c r="S591" s="6">
        <v>8.7999999999999995E-2</v>
      </c>
      <c r="T591" s="6">
        <v>6</v>
      </c>
      <c r="U591">
        <f t="shared" si="131"/>
        <v>12040.64352</v>
      </c>
      <c r="V591">
        <f t="shared" si="136"/>
        <v>117828.13922999999</v>
      </c>
      <c r="W591">
        <f t="shared" si="132"/>
        <v>6163.5599999999995</v>
      </c>
      <c r="X591" s="6">
        <f t="shared" si="133"/>
        <v>5877.0835200000001</v>
      </c>
      <c r="Y591">
        <f t="shared" si="134"/>
        <v>0.48810377204822358</v>
      </c>
      <c r="Z591">
        <v>202502</v>
      </c>
      <c r="AA591" s="18">
        <v>202301</v>
      </c>
      <c r="AB591" t="str">
        <v>Feb-2023</v>
      </c>
      <c r="AC591">
        <f t="shared" si="135"/>
        <v>25</v>
      </c>
      <c r="AD591" t="str">
        <f t="shared" si="137"/>
        <v>Late</v>
      </c>
      <c r="AE591">
        <f t="shared" si="138"/>
        <v>0</v>
      </c>
      <c r="AF591">
        <f t="shared" si="139"/>
        <v>0</v>
      </c>
    </row>
    <row r="592" spans="1:32" x14ac:dyDescent="0.25">
      <c r="A592" s="3" t="s">
        <v>596</v>
      </c>
      <c r="B592" s="4">
        <v>45019</v>
      </c>
      <c r="C592" s="4" t="str">
        <f t="shared" si="126"/>
        <v>Apr-2023</v>
      </c>
      <c r="D592" s="4" t="str">
        <f t="shared" si="127"/>
        <v>Q2</v>
      </c>
      <c r="E592" s="4">
        <v>45032</v>
      </c>
      <c r="F592" s="10">
        <f t="shared" si="128"/>
        <v>13</v>
      </c>
      <c r="G592" s="3" t="s">
        <v>641</v>
      </c>
      <c r="H592" s="3" t="s">
        <v>649</v>
      </c>
      <c r="I592" s="3" t="s">
        <v>665</v>
      </c>
      <c r="J592" t="str">
        <f t="shared" si="129"/>
        <v>Europe &gt; France &gt; Marseille</v>
      </c>
      <c r="K592" s="3" t="s">
        <v>695</v>
      </c>
      <c r="L592" s="3" t="s">
        <v>701</v>
      </c>
      <c r="M592" s="3" t="s">
        <v>716</v>
      </c>
      <c r="N592" s="3" t="s">
        <v>725</v>
      </c>
      <c r="O592" s="3" t="s">
        <v>1313</v>
      </c>
      <c r="P592" s="6">
        <v>790.54</v>
      </c>
      <c r="Q592" s="6">
        <v>601.49</v>
      </c>
      <c r="R592" s="6" t="str">
        <f t="shared" si="130"/>
        <v>Medium</v>
      </c>
      <c r="S592" s="6">
        <v>0</v>
      </c>
      <c r="T592" s="6">
        <v>15</v>
      </c>
      <c r="U592">
        <f t="shared" si="131"/>
        <v>9022.35</v>
      </c>
      <c r="V592">
        <f t="shared" si="136"/>
        <v>117828.13922999999</v>
      </c>
      <c r="W592">
        <f t="shared" si="132"/>
        <v>11858.099999999999</v>
      </c>
      <c r="X592" s="6">
        <f t="shared" si="133"/>
        <v>-2835.7499999999982</v>
      </c>
      <c r="Y592">
        <f t="shared" si="134"/>
        <v>-0.31430281467688553</v>
      </c>
      <c r="Z592">
        <v>202304</v>
      </c>
      <c r="AA592" s="18">
        <v>202301</v>
      </c>
      <c r="AB592" t="str">
        <v>Apr-2023</v>
      </c>
      <c r="AC592">
        <f t="shared" si="135"/>
        <v>3</v>
      </c>
      <c r="AD592" t="str">
        <f t="shared" si="137"/>
        <v>Late</v>
      </c>
      <c r="AE592">
        <f t="shared" si="138"/>
        <v>0</v>
      </c>
      <c r="AF592">
        <f t="shared" si="139"/>
        <v>0</v>
      </c>
    </row>
    <row r="593" spans="1:32" x14ac:dyDescent="0.25">
      <c r="A593" s="3" t="s">
        <v>597</v>
      </c>
      <c r="B593" s="4">
        <v>45899</v>
      </c>
      <c r="C593" s="4" t="str">
        <f t="shared" si="126"/>
        <v>Aug-2025</v>
      </c>
      <c r="D593" s="4" t="str">
        <f t="shared" si="127"/>
        <v>Q3</v>
      </c>
      <c r="E593" s="4">
        <v>45922</v>
      </c>
      <c r="F593" s="10">
        <f t="shared" si="128"/>
        <v>23</v>
      </c>
      <c r="G593" s="3" t="s">
        <v>641</v>
      </c>
      <c r="H593" s="3" t="s">
        <v>649</v>
      </c>
      <c r="I593" s="3" t="s">
        <v>665</v>
      </c>
      <c r="J593" t="str">
        <f t="shared" si="129"/>
        <v>Europe &gt; France &gt; Marseille</v>
      </c>
      <c r="K593" s="3" t="s">
        <v>693</v>
      </c>
      <c r="L593" s="3" t="s">
        <v>703</v>
      </c>
      <c r="M593" s="3" t="s">
        <v>710</v>
      </c>
      <c r="N593" s="3" t="s">
        <v>719</v>
      </c>
      <c r="O593" s="3" t="s">
        <v>1314</v>
      </c>
      <c r="P593" s="6">
        <v>663.9</v>
      </c>
      <c r="Q593" s="6">
        <v>947.77</v>
      </c>
      <c r="R593" s="6" t="str">
        <f t="shared" si="130"/>
        <v>Medium</v>
      </c>
      <c r="S593" s="6">
        <v>0.17399999999999999</v>
      </c>
      <c r="T593" s="6">
        <v>15</v>
      </c>
      <c r="U593">
        <f t="shared" si="131"/>
        <v>11742.8703</v>
      </c>
      <c r="V593">
        <f t="shared" si="136"/>
        <v>117828.13922999999</v>
      </c>
      <c r="W593">
        <f t="shared" si="132"/>
        <v>9958.5</v>
      </c>
      <c r="X593" s="6">
        <f t="shared" si="133"/>
        <v>1784.3703000000005</v>
      </c>
      <c r="Y593">
        <f t="shared" si="134"/>
        <v>0.1519535049280073</v>
      </c>
      <c r="Z593">
        <v>202508</v>
      </c>
      <c r="AA593" s="18">
        <v>202301</v>
      </c>
      <c r="AB593" t="str">
        <v>Aug-2023</v>
      </c>
      <c r="AC593">
        <f t="shared" si="135"/>
        <v>31</v>
      </c>
      <c r="AD593" t="str">
        <f t="shared" si="137"/>
        <v>Late</v>
      </c>
      <c r="AE593">
        <f t="shared" si="138"/>
        <v>0</v>
      </c>
      <c r="AF593">
        <f t="shared" si="139"/>
        <v>0</v>
      </c>
    </row>
    <row r="594" spans="1:32" x14ac:dyDescent="0.25">
      <c r="A594" s="3" t="s">
        <v>598</v>
      </c>
      <c r="B594" s="4">
        <v>44984</v>
      </c>
      <c r="C594" s="4" t="str">
        <f t="shared" si="126"/>
        <v>Feb-2023</v>
      </c>
      <c r="D594" s="4" t="str">
        <f t="shared" si="127"/>
        <v>Q1</v>
      </c>
      <c r="E594" s="4">
        <v>44985</v>
      </c>
      <c r="F594" s="10">
        <f t="shared" si="128"/>
        <v>1</v>
      </c>
      <c r="G594" s="3" t="s">
        <v>640</v>
      </c>
      <c r="H594" s="3" t="s">
        <v>652</v>
      </c>
      <c r="I594" s="3" t="s">
        <v>678</v>
      </c>
      <c r="J594" t="str">
        <f t="shared" si="129"/>
        <v>Americas &gt; USA &gt; San Francisco</v>
      </c>
      <c r="K594" s="3" t="s">
        <v>695</v>
      </c>
      <c r="L594" s="3" t="s">
        <v>700</v>
      </c>
      <c r="M594" s="3" t="s">
        <v>708</v>
      </c>
      <c r="N594" s="3" t="s">
        <v>721</v>
      </c>
      <c r="O594" s="3" t="s">
        <v>1315</v>
      </c>
      <c r="P594" s="6">
        <v>1015.91</v>
      </c>
      <c r="Q594" s="6">
        <v>2331.48</v>
      </c>
      <c r="R594" s="6" t="str">
        <f t="shared" si="130"/>
        <v>High</v>
      </c>
      <c r="S594" s="6">
        <v>0.14599999999999999</v>
      </c>
      <c r="T594" s="6">
        <v>26</v>
      </c>
      <c r="U594">
        <f t="shared" si="131"/>
        <v>51768.181920000003</v>
      </c>
      <c r="V594">
        <f t="shared" si="136"/>
        <v>106085.26892999999</v>
      </c>
      <c r="W594">
        <f t="shared" si="132"/>
        <v>26413.66</v>
      </c>
      <c r="X594" s="6">
        <f t="shared" si="133"/>
        <v>25354.521920000003</v>
      </c>
      <c r="Y594">
        <f t="shared" si="134"/>
        <v>0.48977037592669626</v>
      </c>
      <c r="Z594">
        <v>202302</v>
      </c>
      <c r="AA594" s="18">
        <v>202301</v>
      </c>
      <c r="AB594" t="str">
        <v>Feb-2023</v>
      </c>
      <c r="AC594">
        <f t="shared" si="135"/>
        <v>1</v>
      </c>
      <c r="AD594" t="str">
        <f t="shared" si="137"/>
        <v>On Time</v>
      </c>
      <c r="AE594">
        <f t="shared" si="138"/>
        <v>1</v>
      </c>
      <c r="AF594">
        <f t="shared" si="139"/>
        <v>0</v>
      </c>
    </row>
    <row r="595" spans="1:32" x14ac:dyDescent="0.25">
      <c r="A595" s="3" t="s">
        <v>599</v>
      </c>
      <c r="B595" s="4">
        <v>45504</v>
      </c>
      <c r="C595" s="4" t="str">
        <f t="shared" si="126"/>
        <v>Jul-2024</v>
      </c>
      <c r="D595" s="4" t="str">
        <f t="shared" si="127"/>
        <v>Q3</v>
      </c>
      <c r="E595" s="4">
        <v>45519</v>
      </c>
      <c r="F595" s="10">
        <f t="shared" si="128"/>
        <v>15</v>
      </c>
      <c r="G595" s="3" t="s">
        <v>639</v>
      </c>
      <c r="H595" s="3" t="s">
        <v>644</v>
      </c>
      <c r="I595" s="3" t="s">
        <v>681</v>
      </c>
      <c r="J595" t="str">
        <f t="shared" si="129"/>
        <v>Asia &gt; Japan &gt; Tokyo</v>
      </c>
      <c r="K595" s="3" t="s">
        <v>693</v>
      </c>
      <c r="L595" s="3" t="s">
        <v>701</v>
      </c>
      <c r="M595" s="3" t="s">
        <v>713</v>
      </c>
      <c r="N595" s="3" t="s">
        <v>724</v>
      </c>
      <c r="O595" s="3" t="s">
        <v>1316</v>
      </c>
      <c r="P595" s="6">
        <v>1252.52</v>
      </c>
      <c r="Q595" s="6">
        <v>1417.24</v>
      </c>
      <c r="R595" s="6" t="str">
        <f t="shared" si="130"/>
        <v>High</v>
      </c>
      <c r="S595" s="6">
        <v>0.192</v>
      </c>
      <c r="T595" s="6">
        <v>5</v>
      </c>
      <c r="U595">
        <f t="shared" si="131"/>
        <v>5725.6496000000006</v>
      </c>
      <c r="V595">
        <f t="shared" si="136"/>
        <v>106085.26892999999</v>
      </c>
      <c r="W595">
        <f t="shared" si="132"/>
        <v>6262.6</v>
      </c>
      <c r="X595" s="6">
        <f t="shared" si="133"/>
        <v>-536.95039999999972</v>
      </c>
      <c r="Y595">
        <f t="shared" si="134"/>
        <v>-9.3779821943696953E-2</v>
      </c>
      <c r="Z595">
        <v>202407</v>
      </c>
      <c r="AA595" s="18">
        <v>202303</v>
      </c>
      <c r="AB595" t="str">
        <v>Jul-2023</v>
      </c>
      <c r="AC595">
        <f t="shared" si="135"/>
        <v>16</v>
      </c>
      <c r="AD595" t="str">
        <f t="shared" si="137"/>
        <v>Late</v>
      </c>
      <c r="AE595">
        <f t="shared" si="138"/>
        <v>0</v>
      </c>
      <c r="AF595">
        <f t="shared" si="139"/>
        <v>0</v>
      </c>
    </row>
    <row r="596" spans="1:32" x14ac:dyDescent="0.25">
      <c r="A596" s="3" t="s">
        <v>600</v>
      </c>
      <c r="B596" s="4">
        <v>45823</v>
      </c>
      <c r="C596" s="4" t="str">
        <f t="shared" si="126"/>
        <v>Jun-2025</v>
      </c>
      <c r="D596" s="4" t="str">
        <f t="shared" si="127"/>
        <v>Q2</v>
      </c>
      <c r="E596" s="4">
        <v>45850</v>
      </c>
      <c r="F596" s="10">
        <f t="shared" si="128"/>
        <v>27</v>
      </c>
      <c r="G596" s="3" t="s">
        <v>641</v>
      </c>
      <c r="H596" s="3" t="s">
        <v>649</v>
      </c>
      <c r="I596" s="3" t="s">
        <v>665</v>
      </c>
      <c r="J596" t="str">
        <f t="shared" si="129"/>
        <v>Europe &gt; France &gt; Marseille</v>
      </c>
      <c r="K596" s="3" t="s">
        <v>696</v>
      </c>
      <c r="L596" s="3" t="s">
        <v>703</v>
      </c>
      <c r="M596" s="3" t="s">
        <v>704</v>
      </c>
      <c r="N596" s="3" t="s">
        <v>725</v>
      </c>
      <c r="O596" s="3" t="s">
        <v>1317</v>
      </c>
      <c r="P596" s="6">
        <v>318.83</v>
      </c>
      <c r="Q596" s="6">
        <v>699.5</v>
      </c>
      <c r="R596" s="6" t="str">
        <f t="shared" si="130"/>
        <v>Low</v>
      </c>
      <c r="S596" s="6">
        <v>0.08</v>
      </c>
      <c r="T596" s="6">
        <v>13</v>
      </c>
      <c r="U596">
        <f t="shared" si="131"/>
        <v>8366.02</v>
      </c>
      <c r="V596">
        <f t="shared" si="136"/>
        <v>106085.26892999999</v>
      </c>
      <c r="W596">
        <f t="shared" si="132"/>
        <v>4144.79</v>
      </c>
      <c r="X596" s="6">
        <f t="shared" si="133"/>
        <v>4221.2300000000005</v>
      </c>
      <c r="Y596">
        <f t="shared" si="134"/>
        <v>0.50456848059172699</v>
      </c>
      <c r="Z596">
        <v>202506</v>
      </c>
      <c r="AA596" s="18">
        <v>202301</v>
      </c>
      <c r="AB596" t="str">
        <v>Jun-2023</v>
      </c>
      <c r="AC596">
        <f t="shared" si="135"/>
        <v>29</v>
      </c>
      <c r="AD596" t="str">
        <f t="shared" si="137"/>
        <v>Late</v>
      </c>
      <c r="AE596">
        <f t="shared" si="138"/>
        <v>0</v>
      </c>
      <c r="AF596">
        <f t="shared" si="139"/>
        <v>0</v>
      </c>
    </row>
    <row r="597" spans="1:32" x14ac:dyDescent="0.25">
      <c r="A597" s="3" t="s">
        <v>601</v>
      </c>
      <c r="B597" s="4">
        <v>45473</v>
      </c>
      <c r="C597" s="4" t="str">
        <f t="shared" si="126"/>
        <v>Jun-2024</v>
      </c>
      <c r="D597" s="4" t="str">
        <f t="shared" si="127"/>
        <v>Q2</v>
      </c>
      <c r="E597" s="4">
        <v>45494</v>
      </c>
      <c r="F597" s="10">
        <f t="shared" si="128"/>
        <v>21</v>
      </c>
      <c r="G597" s="3" t="s">
        <v>638</v>
      </c>
      <c r="H597" s="3" t="s">
        <v>642</v>
      </c>
      <c r="I597" s="3" t="s">
        <v>654</v>
      </c>
      <c r="J597" t="str">
        <f t="shared" si="129"/>
        <v>Africa &gt; Kenya &gt; Kisumu</v>
      </c>
      <c r="K597" s="3" t="s">
        <v>697</v>
      </c>
      <c r="L597" s="3" t="s">
        <v>699</v>
      </c>
      <c r="M597" s="3" t="s">
        <v>715</v>
      </c>
      <c r="N597" s="3" t="s">
        <v>723</v>
      </c>
      <c r="O597" s="3" t="s">
        <v>1318</v>
      </c>
      <c r="P597" s="6">
        <v>753.43</v>
      </c>
      <c r="Q597" s="6">
        <v>1787.2</v>
      </c>
      <c r="R597" s="6" t="str">
        <f t="shared" si="130"/>
        <v>Medium</v>
      </c>
      <c r="S597" s="6">
        <v>7.2999999999999995E-2</v>
      </c>
      <c r="T597" s="6">
        <v>9</v>
      </c>
      <c r="U597">
        <f t="shared" si="131"/>
        <v>14910.609600000002</v>
      </c>
      <c r="V597">
        <f t="shared" si="136"/>
        <v>106085.26892999999</v>
      </c>
      <c r="W597">
        <f t="shared" si="132"/>
        <v>6780.87</v>
      </c>
      <c r="X597" s="6">
        <f t="shared" si="133"/>
        <v>8129.7396000000017</v>
      </c>
      <c r="Y597">
        <f t="shared" si="134"/>
        <v>0.54523187301476939</v>
      </c>
      <c r="Z597">
        <v>202406</v>
      </c>
      <c r="AA597" s="18">
        <v>202301</v>
      </c>
      <c r="AB597" t="str">
        <v>Jun-2023</v>
      </c>
      <c r="AC597">
        <f t="shared" si="135"/>
        <v>17</v>
      </c>
      <c r="AD597" t="str">
        <f t="shared" si="137"/>
        <v>Late</v>
      </c>
      <c r="AE597">
        <f t="shared" si="138"/>
        <v>0</v>
      </c>
      <c r="AF597">
        <f t="shared" si="139"/>
        <v>0</v>
      </c>
    </row>
    <row r="598" spans="1:32" x14ac:dyDescent="0.25">
      <c r="A598" s="3" t="s">
        <v>602</v>
      </c>
      <c r="B598" s="4">
        <v>45705</v>
      </c>
      <c r="C598" s="4" t="str">
        <f t="shared" si="126"/>
        <v>Feb-2025</v>
      </c>
      <c r="D598" s="4" t="str">
        <f t="shared" si="127"/>
        <v>Q1</v>
      </c>
      <c r="E598" s="4">
        <v>45707</v>
      </c>
      <c r="F598" s="10">
        <f t="shared" si="128"/>
        <v>2</v>
      </c>
      <c r="G598" s="3" t="s">
        <v>640</v>
      </c>
      <c r="H598" s="3" t="s">
        <v>645</v>
      </c>
      <c r="I598" s="3" t="s">
        <v>659</v>
      </c>
      <c r="J598" t="str">
        <f t="shared" si="129"/>
        <v>Americas &gt; Canada &gt; Toronto</v>
      </c>
      <c r="K598" s="3" t="s">
        <v>697</v>
      </c>
      <c r="L598" s="3" t="s">
        <v>699</v>
      </c>
      <c r="M598" s="3" t="s">
        <v>718</v>
      </c>
      <c r="N598" s="3" t="s">
        <v>719</v>
      </c>
      <c r="O598" s="3" t="s">
        <v>1319</v>
      </c>
      <c r="P598" s="6">
        <v>1133.47</v>
      </c>
      <c r="Q598" s="6">
        <v>1698.75</v>
      </c>
      <c r="R598" s="6" t="str">
        <f t="shared" si="130"/>
        <v>High</v>
      </c>
      <c r="S598" s="6">
        <v>4.2999999999999997E-2</v>
      </c>
      <c r="T598" s="6">
        <v>5</v>
      </c>
      <c r="U598">
        <f t="shared" si="131"/>
        <v>8128.5187499999993</v>
      </c>
      <c r="V598">
        <f t="shared" si="136"/>
        <v>106085.26892999999</v>
      </c>
      <c r="W598">
        <f t="shared" si="132"/>
        <v>5667.35</v>
      </c>
      <c r="X598" s="6">
        <f t="shared" si="133"/>
        <v>2461.1687499999989</v>
      </c>
      <c r="Y598">
        <f t="shared" si="134"/>
        <v>0.30278194904821976</v>
      </c>
      <c r="Z598">
        <v>202502</v>
      </c>
      <c r="AA598" s="18">
        <v>202301</v>
      </c>
      <c r="AB598" t="str">
        <v>Feb-2023</v>
      </c>
      <c r="AC598">
        <f t="shared" si="135"/>
        <v>25</v>
      </c>
      <c r="AD598" t="str">
        <f t="shared" si="137"/>
        <v>On Time</v>
      </c>
      <c r="AE598">
        <f t="shared" si="138"/>
        <v>1</v>
      </c>
      <c r="AF598">
        <f t="shared" si="139"/>
        <v>0</v>
      </c>
    </row>
    <row r="599" spans="1:32" x14ac:dyDescent="0.25">
      <c r="A599" s="3" t="s">
        <v>603</v>
      </c>
      <c r="B599" s="4">
        <v>44933</v>
      </c>
      <c r="C599" s="4" t="str">
        <f t="shared" si="126"/>
        <v>Jan-2023</v>
      </c>
      <c r="D599" s="4" t="str">
        <f t="shared" si="127"/>
        <v>Q1</v>
      </c>
      <c r="E599" s="4">
        <v>44956</v>
      </c>
      <c r="F599" s="10">
        <f t="shared" si="128"/>
        <v>23</v>
      </c>
      <c r="G599" s="3" t="s">
        <v>638</v>
      </c>
      <c r="H599" s="3" t="s">
        <v>653</v>
      </c>
      <c r="I599" s="3" t="s">
        <v>687</v>
      </c>
      <c r="J599" t="str">
        <f t="shared" si="129"/>
        <v>Africa &gt; South Africa &gt; Cape Town</v>
      </c>
      <c r="K599" s="3" t="s">
        <v>696</v>
      </c>
      <c r="L599" s="3" t="s">
        <v>700</v>
      </c>
      <c r="M599" s="3" t="s">
        <v>712</v>
      </c>
      <c r="N599" s="3" t="s">
        <v>720</v>
      </c>
      <c r="O599" s="3" t="s">
        <v>1320</v>
      </c>
      <c r="P599" s="6">
        <v>299.02</v>
      </c>
      <c r="Q599" s="6">
        <v>724.7</v>
      </c>
      <c r="R599" s="6" t="str">
        <f t="shared" si="130"/>
        <v>Low</v>
      </c>
      <c r="S599" s="6">
        <v>0.14000000000000001</v>
      </c>
      <c r="T599" s="6">
        <v>5</v>
      </c>
      <c r="U599">
        <f t="shared" si="131"/>
        <v>3116.21</v>
      </c>
      <c r="V599">
        <f t="shared" si="136"/>
        <v>97956.750180000003</v>
      </c>
      <c r="W599">
        <f t="shared" si="132"/>
        <v>1495.1</v>
      </c>
      <c r="X599" s="6">
        <f t="shared" si="133"/>
        <v>1621.1100000000001</v>
      </c>
      <c r="Y599">
        <f t="shared" si="134"/>
        <v>0.52021847051386139</v>
      </c>
      <c r="Z599">
        <v>202301</v>
      </c>
      <c r="AA599" s="18">
        <v>202301</v>
      </c>
      <c r="AB599" t="str">
        <v>Jan-2023</v>
      </c>
      <c r="AC599">
        <f t="shared" si="135"/>
        <v>0</v>
      </c>
      <c r="AD599" t="str">
        <f t="shared" si="137"/>
        <v>Late</v>
      </c>
      <c r="AE599">
        <f t="shared" si="138"/>
        <v>0</v>
      </c>
      <c r="AF599">
        <f t="shared" si="139"/>
        <v>0</v>
      </c>
    </row>
    <row r="600" spans="1:32" x14ac:dyDescent="0.25">
      <c r="A600" s="3" t="s">
        <v>604</v>
      </c>
      <c r="B600" s="4">
        <v>45726</v>
      </c>
      <c r="C600" s="4" t="str">
        <f t="shared" si="126"/>
        <v>Mar-2025</v>
      </c>
      <c r="D600" s="4" t="str">
        <f t="shared" si="127"/>
        <v>Q1</v>
      </c>
      <c r="E600" s="4">
        <v>45751</v>
      </c>
      <c r="F600" s="10">
        <f t="shared" si="128"/>
        <v>25</v>
      </c>
      <c r="G600" s="3" t="s">
        <v>639</v>
      </c>
      <c r="H600" s="3" t="s">
        <v>644</v>
      </c>
      <c r="I600" s="3" t="s">
        <v>658</v>
      </c>
      <c r="J600" t="str">
        <f t="shared" si="129"/>
        <v>Asia &gt; Japan &gt; Osaka</v>
      </c>
      <c r="K600" s="3" t="s">
        <v>693</v>
      </c>
      <c r="L600" s="3" t="s">
        <v>703</v>
      </c>
      <c r="M600" s="3" t="s">
        <v>714</v>
      </c>
      <c r="N600" s="3" t="s">
        <v>720</v>
      </c>
      <c r="O600" s="3" t="s">
        <v>1321</v>
      </c>
      <c r="P600" s="6">
        <v>783.72</v>
      </c>
      <c r="Q600" s="6">
        <v>1355.94</v>
      </c>
      <c r="R600" s="6" t="str">
        <f t="shared" si="130"/>
        <v>Medium</v>
      </c>
      <c r="S600" s="6">
        <v>0.187</v>
      </c>
      <c r="T600" s="6">
        <v>4</v>
      </c>
      <c r="U600">
        <f t="shared" si="131"/>
        <v>4409.5168800000001</v>
      </c>
      <c r="V600">
        <f t="shared" si="136"/>
        <v>97956.750180000003</v>
      </c>
      <c r="W600">
        <f t="shared" si="132"/>
        <v>3134.88</v>
      </c>
      <c r="X600" s="6">
        <f t="shared" si="133"/>
        <v>1274.63688</v>
      </c>
      <c r="Y600">
        <f t="shared" si="134"/>
        <v>0.28906497348525856</v>
      </c>
      <c r="Z600">
        <v>202503</v>
      </c>
      <c r="AA600" s="18">
        <v>202303</v>
      </c>
      <c r="AB600" t="str">
        <v>Mar-2023</v>
      </c>
      <c r="AC600">
        <f t="shared" si="135"/>
        <v>24</v>
      </c>
      <c r="AD600" t="str">
        <f t="shared" si="137"/>
        <v>Late</v>
      </c>
      <c r="AE600">
        <f t="shared" si="138"/>
        <v>0</v>
      </c>
      <c r="AF600">
        <f t="shared" si="139"/>
        <v>0</v>
      </c>
    </row>
    <row r="601" spans="1:32" x14ac:dyDescent="0.25">
      <c r="A601" s="3" t="s">
        <v>605</v>
      </c>
      <c r="B601" s="4">
        <v>45521</v>
      </c>
      <c r="C601" s="4" t="str">
        <f t="shared" si="126"/>
        <v>Aug-2024</v>
      </c>
      <c r="D601" s="4" t="str">
        <f t="shared" si="127"/>
        <v>Q3</v>
      </c>
      <c r="E601" s="4">
        <v>45523</v>
      </c>
      <c r="F601" s="10">
        <f t="shared" si="128"/>
        <v>2</v>
      </c>
      <c r="G601" s="3" t="s">
        <v>640</v>
      </c>
      <c r="H601" s="3" t="s">
        <v>647</v>
      </c>
      <c r="I601" s="3" t="s">
        <v>684</v>
      </c>
      <c r="J601" t="str">
        <f t="shared" si="129"/>
        <v>Americas &gt; Brazil &gt; Rio de Janeiro</v>
      </c>
      <c r="K601" s="3" t="s">
        <v>696</v>
      </c>
      <c r="L601" s="3" t="s">
        <v>703</v>
      </c>
      <c r="M601" s="3" t="s">
        <v>716</v>
      </c>
      <c r="N601" s="3" t="s">
        <v>724</v>
      </c>
      <c r="O601" s="3" t="s">
        <v>1322</v>
      </c>
      <c r="P601" s="6">
        <v>165.3</v>
      </c>
      <c r="Q601" s="6">
        <v>275.07</v>
      </c>
      <c r="R601" s="6" t="str">
        <f t="shared" si="130"/>
        <v>Low</v>
      </c>
      <c r="S601" s="6">
        <v>0.13300000000000001</v>
      </c>
      <c r="T601" s="6">
        <v>25</v>
      </c>
      <c r="U601">
        <f t="shared" si="131"/>
        <v>5962.1422499999999</v>
      </c>
      <c r="V601">
        <f t="shared" si="136"/>
        <v>97956.750180000003</v>
      </c>
      <c r="W601">
        <f t="shared" si="132"/>
        <v>4132.5</v>
      </c>
      <c r="X601" s="6">
        <f t="shared" si="133"/>
        <v>1829.6422499999999</v>
      </c>
      <c r="Y601">
        <f t="shared" si="134"/>
        <v>0.30687665159280625</v>
      </c>
      <c r="Z601">
        <v>202408</v>
      </c>
      <c r="AA601" s="18">
        <v>202301</v>
      </c>
      <c r="AB601" t="str">
        <v>Aug-2023</v>
      </c>
      <c r="AC601">
        <f t="shared" si="135"/>
        <v>19</v>
      </c>
      <c r="AD601" t="str">
        <f t="shared" si="137"/>
        <v>On Time</v>
      </c>
      <c r="AE601">
        <f t="shared" si="138"/>
        <v>1</v>
      </c>
      <c r="AF601">
        <f t="shared" si="139"/>
        <v>0</v>
      </c>
    </row>
    <row r="602" spans="1:32" x14ac:dyDescent="0.25">
      <c r="A602" s="3" t="s">
        <v>606</v>
      </c>
      <c r="B602" s="4">
        <v>45360</v>
      </c>
      <c r="C602" s="4" t="str">
        <f t="shared" si="126"/>
        <v>Mar-2024</v>
      </c>
      <c r="D602" s="4" t="str">
        <f t="shared" si="127"/>
        <v>Q1</v>
      </c>
      <c r="E602" s="4">
        <v>45373</v>
      </c>
      <c r="F602" s="10">
        <f t="shared" si="128"/>
        <v>13</v>
      </c>
      <c r="G602" s="3" t="s">
        <v>641</v>
      </c>
      <c r="H602" s="3" t="s">
        <v>650</v>
      </c>
      <c r="I602" s="3" t="s">
        <v>685</v>
      </c>
      <c r="J602" t="str">
        <f t="shared" si="129"/>
        <v>Europe &gt; United Kingdom &gt; Manchester</v>
      </c>
      <c r="K602" s="3" t="s">
        <v>696</v>
      </c>
      <c r="L602" s="3" t="s">
        <v>700</v>
      </c>
      <c r="M602" s="3" t="s">
        <v>710</v>
      </c>
      <c r="N602" s="3" t="s">
        <v>723</v>
      </c>
      <c r="O602" s="3" t="s">
        <v>1323</v>
      </c>
      <c r="P602" s="6">
        <v>985.45</v>
      </c>
      <c r="Q602" s="6">
        <v>1802.44</v>
      </c>
      <c r="R602" s="6" t="str">
        <f t="shared" si="130"/>
        <v>Medium</v>
      </c>
      <c r="S602" s="6">
        <v>8.9999999999999993E-3</v>
      </c>
      <c r="T602" s="6">
        <v>19</v>
      </c>
      <c r="U602">
        <f t="shared" si="131"/>
        <v>33938.142760000002</v>
      </c>
      <c r="V602">
        <f t="shared" si="136"/>
        <v>97956.750180000003</v>
      </c>
      <c r="W602">
        <f t="shared" si="132"/>
        <v>18723.55</v>
      </c>
      <c r="X602" s="6">
        <f t="shared" si="133"/>
        <v>15214.592760000003</v>
      </c>
      <c r="Y602">
        <f t="shared" si="134"/>
        <v>0.44830363486867486</v>
      </c>
      <c r="Z602">
        <v>202403</v>
      </c>
      <c r="AA602" s="18">
        <v>202301</v>
      </c>
      <c r="AB602" t="str">
        <v>Mar-2023</v>
      </c>
      <c r="AC602">
        <f t="shared" si="135"/>
        <v>14</v>
      </c>
      <c r="AD602" t="str">
        <f t="shared" si="137"/>
        <v>Late</v>
      </c>
      <c r="AE602">
        <f t="shared" si="138"/>
        <v>0</v>
      </c>
      <c r="AF602">
        <f t="shared" si="139"/>
        <v>0</v>
      </c>
    </row>
    <row r="603" spans="1:32" x14ac:dyDescent="0.25">
      <c r="A603" s="3" t="s">
        <v>607</v>
      </c>
      <c r="B603" s="4">
        <v>45523</v>
      </c>
      <c r="C603" s="4" t="str">
        <f t="shared" si="126"/>
        <v>Aug-2024</v>
      </c>
      <c r="D603" s="4" t="str">
        <f t="shared" si="127"/>
        <v>Q3</v>
      </c>
      <c r="E603" s="4">
        <v>45537</v>
      </c>
      <c r="F603" s="10">
        <f t="shared" si="128"/>
        <v>14</v>
      </c>
      <c r="G603" s="3" t="s">
        <v>640</v>
      </c>
      <c r="H603" s="3" t="s">
        <v>645</v>
      </c>
      <c r="I603" s="3" t="s">
        <v>659</v>
      </c>
      <c r="J603" t="str">
        <f t="shared" si="129"/>
        <v>Americas &gt; Canada &gt; Toronto</v>
      </c>
      <c r="K603" s="3" t="s">
        <v>696</v>
      </c>
      <c r="L603" s="3" t="s">
        <v>702</v>
      </c>
      <c r="M603" s="3" t="s">
        <v>704</v>
      </c>
      <c r="N603" s="3" t="s">
        <v>720</v>
      </c>
      <c r="O603" s="3" t="s">
        <v>1324</v>
      </c>
      <c r="P603" s="6">
        <v>1337.01</v>
      </c>
      <c r="Q603" s="6">
        <v>1269.78</v>
      </c>
      <c r="R603" s="6" t="str">
        <f t="shared" si="130"/>
        <v>High</v>
      </c>
      <c r="S603" s="6">
        <v>0.16</v>
      </c>
      <c r="T603" s="6">
        <v>7</v>
      </c>
      <c r="U603">
        <f t="shared" si="131"/>
        <v>7466.3063999999986</v>
      </c>
      <c r="V603">
        <f t="shared" si="136"/>
        <v>97956.750180000003</v>
      </c>
      <c r="W603">
        <f t="shared" si="132"/>
        <v>9359.07</v>
      </c>
      <c r="X603" s="6">
        <f t="shared" si="133"/>
        <v>-1892.7636000000011</v>
      </c>
      <c r="Y603">
        <f t="shared" si="134"/>
        <v>-0.25350735672996244</v>
      </c>
      <c r="Z603">
        <v>202408</v>
      </c>
      <c r="AA603" s="18">
        <v>202301</v>
      </c>
      <c r="AB603" t="str">
        <v>Aug-2023</v>
      </c>
      <c r="AC603">
        <f t="shared" si="135"/>
        <v>19</v>
      </c>
      <c r="AD603" t="str">
        <f t="shared" si="137"/>
        <v>Late</v>
      </c>
      <c r="AE603">
        <f t="shared" si="138"/>
        <v>0</v>
      </c>
      <c r="AF603">
        <f t="shared" si="139"/>
        <v>0</v>
      </c>
    </row>
    <row r="604" spans="1:32" x14ac:dyDescent="0.25">
      <c r="A604" s="3" t="s">
        <v>608</v>
      </c>
      <c r="B604" s="4">
        <v>45880</v>
      </c>
      <c r="C604" s="4" t="str">
        <f t="shared" si="126"/>
        <v>Aug-2025</v>
      </c>
      <c r="D604" s="4" t="str">
        <f t="shared" si="127"/>
        <v>Q3</v>
      </c>
      <c r="E604" s="4">
        <v>45897</v>
      </c>
      <c r="F604" s="10">
        <f t="shared" si="128"/>
        <v>17</v>
      </c>
      <c r="G604" s="3" t="s">
        <v>641</v>
      </c>
      <c r="H604" s="3" t="s">
        <v>649</v>
      </c>
      <c r="I604" s="3" t="s">
        <v>682</v>
      </c>
      <c r="J604" t="str">
        <f t="shared" si="129"/>
        <v>Europe &gt; France &gt; Paris</v>
      </c>
      <c r="K604" s="3" t="s">
        <v>694</v>
      </c>
      <c r="L604" s="3" t="s">
        <v>700</v>
      </c>
      <c r="M604" s="3" t="s">
        <v>713</v>
      </c>
      <c r="N604" s="3" t="s">
        <v>721</v>
      </c>
      <c r="O604" s="3" t="s">
        <v>1325</v>
      </c>
      <c r="P604" s="6">
        <v>416.16</v>
      </c>
      <c r="Q604" s="6">
        <v>571.9</v>
      </c>
      <c r="R604" s="6" t="str">
        <f t="shared" si="130"/>
        <v>Low</v>
      </c>
      <c r="S604" s="6">
        <v>7.0999999999999994E-2</v>
      </c>
      <c r="T604" s="6">
        <v>2</v>
      </c>
      <c r="U604">
        <f t="shared" si="131"/>
        <v>1062.5902000000001</v>
      </c>
      <c r="V604">
        <f t="shared" si="136"/>
        <v>97956.750180000003</v>
      </c>
      <c r="W604">
        <f t="shared" si="132"/>
        <v>832.32</v>
      </c>
      <c r="X604" s="6">
        <f t="shared" si="133"/>
        <v>230.27020000000005</v>
      </c>
      <c r="Y604">
        <f t="shared" si="134"/>
        <v>0.21670649701079497</v>
      </c>
      <c r="Z604">
        <v>202508</v>
      </c>
      <c r="AA604" s="18">
        <v>202301</v>
      </c>
      <c r="AB604" t="str">
        <v>Aug-2023</v>
      </c>
      <c r="AC604">
        <f t="shared" si="135"/>
        <v>31</v>
      </c>
      <c r="AD604" t="str">
        <f t="shared" si="137"/>
        <v>Late</v>
      </c>
      <c r="AE604">
        <f t="shared" si="138"/>
        <v>0</v>
      </c>
      <c r="AF604">
        <f t="shared" si="139"/>
        <v>0</v>
      </c>
    </row>
    <row r="605" spans="1:32" x14ac:dyDescent="0.25">
      <c r="A605" s="3" t="s">
        <v>609</v>
      </c>
      <c r="B605" s="4">
        <v>45793</v>
      </c>
      <c r="C605" s="4" t="str">
        <f t="shared" si="126"/>
        <v>May-2025</v>
      </c>
      <c r="D605" s="4" t="str">
        <f t="shared" si="127"/>
        <v>Q2</v>
      </c>
      <c r="E605" s="4">
        <v>45795</v>
      </c>
      <c r="F605" s="10">
        <f t="shared" si="128"/>
        <v>2</v>
      </c>
      <c r="G605" s="3" t="s">
        <v>639</v>
      </c>
      <c r="H605" s="3" t="s">
        <v>644</v>
      </c>
      <c r="I605" s="3" t="s">
        <v>681</v>
      </c>
      <c r="J605" t="str">
        <f t="shared" si="129"/>
        <v>Asia &gt; Japan &gt; Tokyo</v>
      </c>
      <c r="K605" s="3" t="s">
        <v>698</v>
      </c>
      <c r="L605" s="3" t="s">
        <v>699</v>
      </c>
      <c r="M605" s="3" t="s">
        <v>705</v>
      </c>
      <c r="N605" s="3" t="s">
        <v>720</v>
      </c>
      <c r="O605" s="3" t="s">
        <v>1326</v>
      </c>
      <c r="P605" s="6">
        <v>1144.3800000000001</v>
      </c>
      <c r="Q605" s="6">
        <v>2755.04</v>
      </c>
      <c r="R605" s="6" t="str">
        <f t="shared" si="130"/>
        <v>High</v>
      </c>
      <c r="S605" s="6">
        <v>0.15</v>
      </c>
      <c r="T605" s="6">
        <v>17</v>
      </c>
      <c r="U605">
        <f t="shared" si="131"/>
        <v>39810.328000000001</v>
      </c>
      <c r="V605">
        <f t="shared" si="136"/>
        <v>97956.750180000003</v>
      </c>
      <c r="W605">
        <f t="shared" si="132"/>
        <v>19454.460000000003</v>
      </c>
      <c r="X605" s="6">
        <f t="shared" si="133"/>
        <v>20355.867999999999</v>
      </c>
      <c r="Y605">
        <f t="shared" si="134"/>
        <v>0.51132128326096682</v>
      </c>
      <c r="Z605">
        <v>202505</v>
      </c>
      <c r="AA605" s="18">
        <v>202303</v>
      </c>
      <c r="AB605" t="str">
        <v>May-2023</v>
      </c>
      <c r="AC605">
        <f t="shared" si="135"/>
        <v>26</v>
      </c>
      <c r="AD605" t="str">
        <f t="shared" si="137"/>
        <v>On Time</v>
      </c>
      <c r="AE605">
        <f t="shared" si="138"/>
        <v>1</v>
      </c>
      <c r="AF605">
        <f t="shared" si="139"/>
        <v>0</v>
      </c>
    </row>
    <row r="606" spans="1:32" x14ac:dyDescent="0.25">
      <c r="A606" s="3" t="s">
        <v>610</v>
      </c>
      <c r="B606" s="4">
        <v>45026</v>
      </c>
      <c r="C606" s="4" t="str">
        <f t="shared" si="126"/>
        <v>Apr-2023</v>
      </c>
      <c r="D606" s="4" t="str">
        <f t="shared" si="127"/>
        <v>Q2</v>
      </c>
      <c r="E606" s="4">
        <v>45041</v>
      </c>
      <c r="F606" s="10">
        <f t="shared" si="128"/>
        <v>15</v>
      </c>
      <c r="G606" s="3" t="s">
        <v>641</v>
      </c>
      <c r="H606" s="3" t="s">
        <v>650</v>
      </c>
      <c r="I606" s="3" t="s">
        <v>675</v>
      </c>
      <c r="J606" t="str">
        <f t="shared" si="129"/>
        <v>Europe &gt; United Kingdom &gt; London</v>
      </c>
      <c r="K606" s="3" t="s">
        <v>697</v>
      </c>
      <c r="L606" s="3" t="s">
        <v>699</v>
      </c>
      <c r="M606" s="3" t="s">
        <v>718</v>
      </c>
      <c r="N606" s="3" t="s">
        <v>720</v>
      </c>
      <c r="O606" s="3" t="s">
        <v>1327</v>
      </c>
      <c r="P606" s="6">
        <v>405.66</v>
      </c>
      <c r="Q606" s="6">
        <v>962.51</v>
      </c>
      <c r="R606" s="6" t="str">
        <f t="shared" si="130"/>
        <v>Low</v>
      </c>
      <c r="S606" s="6">
        <v>0.19</v>
      </c>
      <c r="T606" s="6">
        <v>7</v>
      </c>
      <c r="U606">
        <f t="shared" si="131"/>
        <v>5457.4317000000001</v>
      </c>
      <c r="V606">
        <f t="shared" si="136"/>
        <v>97956.750180000003</v>
      </c>
      <c r="W606">
        <f t="shared" si="132"/>
        <v>2839.6200000000003</v>
      </c>
      <c r="X606" s="6">
        <f t="shared" si="133"/>
        <v>2617.8116999999997</v>
      </c>
      <c r="Y606">
        <f t="shared" si="134"/>
        <v>0.47967832561239376</v>
      </c>
      <c r="Z606">
        <v>202304</v>
      </c>
      <c r="AA606" s="18">
        <v>202301</v>
      </c>
      <c r="AB606" t="str">
        <v>Apr-2023</v>
      </c>
      <c r="AC606">
        <f t="shared" si="135"/>
        <v>3</v>
      </c>
      <c r="AD606" t="str">
        <f t="shared" si="137"/>
        <v>Late</v>
      </c>
      <c r="AE606">
        <f t="shared" si="138"/>
        <v>0</v>
      </c>
      <c r="AF606">
        <f t="shared" si="139"/>
        <v>0</v>
      </c>
    </row>
    <row r="607" spans="1:32" x14ac:dyDescent="0.25">
      <c r="A607" s="3" t="s">
        <v>611</v>
      </c>
      <c r="B607" s="4">
        <v>45186</v>
      </c>
      <c r="C607" s="4" t="str">
        <f t="shared" si="126"/>
        <v>Sept-2023</v>
      </c>
      <c r="D607" s="4" t="str">
        <f t="shared" si="127"/>
        <v>Q3</v>
      </c>
      <c r="E607" s="4">
        <v>45201</v>
      </c>
      <c r="F607" s="10">
        <f t="shared" si="128"/>
        <v>15</v>
      </c>
      <c r="G607" s="3" t="s">
        <v>640</v>
      </c>
      <c r="H607" s="3" t="s">
        <v>647</v>
      </c>
      <c r="I607" s="3" t="s">
        <v>684</v>
      </c>
      <c r="J607" t="str">
        <f t="shared" si="129"/>
        <v>Americas &gt; Brazil &gt; Rio de Janeiro</v>
      </c>
      <c r="K607" s="3" t="s">
        <v>697</v>
      </c>
      <c r="L607" s="3" t="s">
        <v>699</v>
      </c>
      <c r="M607" s="3" t="s">
        <v>709</v>
      </c>
      <c r="N607" s="3" t="s">
        <v>723</v>
      </c>
      <c r="O607" s="3" t="s">
        <v>1328</v>
      </c>
      <c r="P607" s="6">
        <v>689.33</v>
      </c>
      <c r="Q607" s="6">
        <v>668.27</v>
      </c>
      <c r="R607" s="6" t="str">
        <f t="shared" si="130"/>
        <v>Medium</v>
      </c>
      <c r="S607" s="6">
        <v>0.186</v>
      </c>
      <c r="T607" s="6">
        <v>13</v>
      </c>
      <c r="U607">
        <f t="shared" si="131"/>
        <v>7071.6331400000008</v>
      </c>
      <c r="V607">
        <f t="shared" si="136"/>
        <v>97956.750180000003</v>
      </c>
      <c r="W607">
        <f t="shared" si="132"/>
        <v>8961.2900000000009</v>
      </c>
      <c r="X607" s="6">
        <f t="shared" si="133"/>
        <v>-1889.6568600000001</v>
      </c>
      <c r="Y607">
        <f t="shared" si="134"/>
        <v>-0.26721647214861033</v>
      </c>
      <c r="Z607">
        <v>202309</v>
      </c>
      <c r="AA607" s="18">
        <v>202301</v>
      </c>
      <c r="AB607" t="str">
        <v>Sept-2023</v>
      </c>
      <c r="AC607">
        <f t="shared" si="135"/>
        <v>8</v>
      </c>
      <c r="AD607" t="str">
        <f t="shared" si="137"/>
        <v>Late</v>
      </c>
      <c r="AE607">
        <f t="shared" si="138"/>
        <v>0</v>
      </c>
      <c r="AF607">
        <f t="shared" si="139"/>
        <v>0</v>
      </c>
    </row>
    <row r="608" spans="1:32" x14ac:dyDescent="0.25">
      <c r="A608" s="3" t="s">
        <v>612</v>
      </c>
      <c r="B608" s="4">
        <v>45038</v>
      </c>
      <c r="C608" s="4" t="str">
        <f t="shared" si="126"/>
        <v>Apr-2023</v>
      </c>
      <c r="D608" s="4" t="str">
        <f t="shared" si="127"/>
        <v>Q2</v>
      </c>
      <c r="E608" s="4">
        <v>45060</v>
      </c>
      <c r="F608" s="10">
        <f t="shared" si="128"/>
        <v>22</v>
      </c>
      <c r="G608" s="3" t="s">
        <v>639</v>
      </c>
      <c r="H608" s="3" t="s">
        <v>644</v>
      </c>
      <c r="I608" s="3" t="s">
        <v>686</v>
      </c>
      <c r="J608" t="str">
        <f t="shared" si="129"/>
        <v>Asia &gt; Japan &gt; Nagoya</v>
      </c>
      <c r="K608" s="3" t="s">
        <v>698</v>
      </c>
      <c r="L608" s="3" t="s">
        <v>699</v>
      </c>
      <c r="M608" s="3" t="s">
        <v>712</v>
      </c>
      <c r="N608" s="3" t="s">
        <v>725</v>
      </c>
      <c r="O608" s="3" t="s">
        <v>1329</v>
      </c>
      <c r="P608" s="6">
        <v>1209.22</v>
      </c>
      <c r="Q608" s="6">
        <v>1404.33</v>
      </c>
      <c r="R608" s="6" t="str">
        <f t="shared" si="130"/>
        <v>High</v>
      </c>
      <c r="S608" s="6">
        <v>0.10299999999999999</v>
      </c>
      <c r="T608" s="6">
        <v>11</v>
      </c>
      <c r="U608">
        <f t="shared" si="131"/>
        <v>13856.52411</v>
      </c>
      <c r="V608">
        <f t="shared" si="136"/>
        <v>97956.750180000003</v>
      </c>
      <c r="W608">
        <f t="shared" si="132"/>
        <v>13301.42</v>
      </c>
      <c r="X608" s="6">
        <f t="shared" si="133"/>
        <v>555.10411000000022</v>
      </c>
      <c r="Y608">
        <f t="shared" si="134"/>
        <v>4.0060848275751328E-2</v>
      </c>
      <c r="Z608">
        <v>202304</v>
      </c>
      <c r="AA608" s="18">
        <v>202303</v>
      </c>
      <c r="AB608" t="str">
        <v>Apr-2023</v>
      </c>
      <c r="AC608">
        <f t="shared" si="135"/>
        <v>1</v>
      </c>
      <c r="AD608" t="str">
        <f t="shared" si="137"/>
        <v>Late</v>
      </c>
      <c r="AE608">
        <f t="shared" si="138"/>
        <v>0</v>
      </c>
      <c r="AF608">
        <f t="shared" si="139"/>
        <v>0</v>
      </c>
    </row>
    <row r="609" spans="1:32" x14ac:dyDescent="0.25">
      <c r="A609" s="3" t="s">
        <v>613</v>
      </c>
      <c r="B609" s="4">
        <v>45827</v>
      </c>
      <c r="C609" s="4" t="str">
        <f t="shared" si="126"/>
        <v>Jun-2025</v>
      </c>
      <c r="D609" s="4" t="str">
        <f t="shared" si="127"/>
        <v>Q2</v>
      </c>
      <c r="E609" s="4">
        <v>45829</v>
      </c>
      <c r="F609" s="10">
        <f t="shared" si="128"/>
        <v>2</v>
      </c>
      <c r="G609" s="3" t="s">
        <v>638</v>
      </c>
      <c r="H609" s="3" t="s">
        <v>653</v>
      </c>
      <c r="I609" s="3" t="s">
        <v>674</v>
      </c>
      <c r="J609" t="str">
        <f t="shared" si="129"/>
        <v>Africa &gt; South Africa &gt; Johannesburg</v>
      </c>
      <c r="K609" s="3" t="s">
        <v>697</v>
      </c>
      <c r="L609" s="3" t="s">
        <v>1413</v>
      </c>
      <c r="M609" s="3" t="s">
        <v>714</v>
      </c>
      <c r="N609" s="3" t="s">
        <v>722</v>
      </c>
      <c r="O609" s="3" t="s">
        <v>1330</v>
      </c>
      <c r="P609" s="6">
        <v>1466.27</v>
      </c>
      <c r="Q609" s="6">
        <v>3589.89</v>
      </c>
      <c r="R609" s="6" t="str">
        <f t="shared" si="130"/>
        <v>High</v>
      </c>
      <c r="S609" s="6">
        <v>9.7000000000000003E-2</v>
      </c>
      <c r="T609" s="6">
        <v>9</v>
      </c>
      <c r="U609">
        <f t="shared" si="131"/>
        <v>29175.036029999999</v>
      </c>
      <c r="V609">
        <f t="shared" si="136"/>
        <v>97956.750180000003</v>
      </c>
      <c r="W609">
        <f t="shared" si="132"/>
        <v>13196.43</v>
      </c>
      <c r="X609" s="6">
        <f t="shared" si="133"/>
        <v>15978.606029999999</v>
      </c>
      <c r="Y609">
        <f t="shared" si="134"/>
        <v>0.54768076425234147</v>
      </c>
      <c r="Z609">
        <v>202506</v>
      </c>
      <c r="AA609" s="18">
        <v>202301</v>
      </c>
      <c r="AB609" t="str">
        <v>Jun-2023</v>
      </c>
      <c r="AC609">
        <f t="shared" si="135"/>
        <v>29</v>
      </c>
      <c r="AD609" t="str">
        <f t="shared" si="137"/>
        <v>On Time</v>
      </c>
      <c r="AE609">
        <f t="shared" si="138"/>
        <v>1</v>
      </c>
      <c r="AF609">
        <f t="shared" si="139"/>
        <v>0</v>
      </c>
    </row>
    <row r="610" spans="1:32" x14ac:dyDescent="0.25">
      <c r="A610" s="3" t="s">
        <v>614</v>
      </c>
      <c r="B610" s="4">
        <v>45623</v>
      </c>
      <c r="C610" s="4" t="str">
        <f t="shared" si="126"/>
        <v>Nov-2024</v>
      </c>
      <c r="D610" s="4" t="str">
        <f t="shared" si="127"/>
        <v>Q4</v>
      </c>
      <c r="E610" s="4">
        <v>45650</v>
      </c>
      <c r="F610" s="10">
        <f t="shared" si="128"/>
        <v>27</v>
      </c>
      <c r="G610" s="3" t="s">
        <v>638</v>
      </c>
      <c r="H610" s="3" t="s">
        <v>642</v>
      </c>
      <c r="I610" s="3" t="s">
        <v>667</v>
      </c>
      <c r="J610" t="str">
        <f t="shared" si="129"/>
        <v>Africa &gt; Kenya &gt; Mombasa</v>
      </c>
      <c r="K610" s="3" t="s">
        <v>693</v>
      </c>
      <c r="L610" s="3" t="s">
        <v>702</v>
      </c>
      <c r="M610" s="3" t="s">
        <v>709</v>
      </c>
      <c r="N610" s="3" t="s">
        <v>720</v>
      </c>
      <c r="O610" s="3" t="s">
        <v>1331</v>
      </c>
      <c r="P610" s="6">
        <v>143.33000000000001</v>
      </c>
      <c r="Q610" s="6">
        <v>233.51</v>
      </c>
      <c r="R610" s="6" t="str">
        <f t="shared" si="130"/>
        <v>Low</v>
      </c>
      <c r="S610" s="6">
        <v>0.16300000000000001</v>
      </c>
      <c r="T610" s="6">
        <v>14</v>
      </c>
      <c r="U610">
        <f t="shared" si="131"/>
        <v>2736.27018</v>
      </c>
      <c r="V610">
        <f t="shared" si="136"/>
        <v>97956.750180000003</v>
      </c>
      <c r="W610">
        <f t="shared" si="132"/>
        <v>2006.6200000000001</v>
      </c>
      <c r="X610" s="6">
        <f t="shared" si="133"/>
        <v>729.65017999999986</v>
      </c>
      <c r="Y610">
        <f t="shared" si="134"/>
        <v>0.26665867476580835</v>
      </c>
      <c r="Z610">
        <v>202411</v>
      </c>
      <c r="AA610" s="18">
        <v>202301</v>
      </c>
      <c r="AB610" t="str">
        <v>Nov-2023</v>
      </c>
      <c r="AC610">
        <f t="shared" si="135"/>
        <v>22</v>
      </c>
      <c r="AD610" t="str">
        <f t="shared" si="137"/>
        <v>Late</v>
      </c>
      <c r="AE610">
        <f t="shared" si="138"/>
        <v>0</v>
      </c>
      <c r="AF610">
        <f t="shared" si="139"/>
        <v>0</v>
      </c>
    </row>
    <row r="611" spans="1:32" x14ac:dyDescent="0.25">
      <c r="A611" s="3" t="s">
        <v>615</v>
      </c>
      <c r="B611" s="4">
        <v>45319</v>
      </c>
      <c r="C611" s="4" t="str">
        <f t="shared" si="126"/>
        <v>Jan-2024</v>
      </c>
      <c r="D611" s="4" t="str">
        <f t="shared" si="127"/>
        <v>Q1</v>
      </c>
      <c r="E611" s="4">
        <v>45320</v>
      </c>
      <c r="F611" s="10">
        <f t="shared" si="128"/>
        <v>1</v>
      </c>
      <c r="G611" s="3" t="s">
        <v>638</v>
      </c>
      <c r="H611" s="3" t="s">
        <v>653</v>
      </c>
      <c r="I611" s="3" t="s">
        <v>687</v>
      </c>
      <c r="J611" t="str">
        <f t="shared" si="129"/>
        <v>Africa &gt; South Africa &gt; Cape Town</v>
      </c>
      <c r="K611" s="3" t="s">
        <v>698</v>
      </c>
      <c r="L611" s="3" t="s">
        <v>703</v>
      </c>
      <c r="M611" s="3" t="s">
        <v>711</v>
      </c>
      <c r="N611" s="3" t="s">
        <v>719</v>
      </c>
      <c r="O611" s="3" t="s">
        <v>1332</v>
      </c>
      <c r="P611" s="6">
        <v>109.75</v>
      </c>
      <c r="Q611" s="6">
        <v>124.25</v>
      </c>
      <c r="R611" s="6" t="str">
        <f t="shared" si="130"/>
        <v>Low</v>
      </c>
      <c r="S611" s="6">
        <v>0.12</v>
      </c>
      <c r="T611" s="6">
        <v>19</v>
      </c>
      <c r="U611">
        <f t="shared" si="131"/>
        <v>2077.46</v>
      </c>
      <c r="V611">
        <f t="shared" si="136"/>
        <v>97956.750180000003</v>
      </c>
      <c r="W611">
        <f t="shared" si="132"/>
        <v>2085.25</v>
      </c>
      <c r="X611" s="6">
        <f t="shared" si="133"/>
        <v>-7.7899999999999636</v>
      </c>
      <c r="Y611">
        <f t="shared" si="134"/>
        <v>-3.7497713554051405E-3</v>
      </c>
      <c r="Z611">
        <v>202401</v>
      </c>
      <c r="AA611" s="18">
        <v>202301</v>
      </c>
      <c r="AB611" t="str">
        <v>Jan-2023</v>
      </c>
      <c r="AC611">
        <f t="shared" si="135"/>
        <v>12</v>
      </c>
      <c r="AD611" t="str">
        <f t="shared" si="137"/>
        <v>On Time</v>
      </c>
      <c r="AE611">
        <f t="shared" si="138"/>
        <v>1</v>
      </c>
      <c r="AF611">
        <f t="shared" si="139"/>
        <v>0</v>
      </c>
    </row>
    <row r="612" spans="1:32" x14ac:dyDescent="0.25">
      <c r="A612" s="3" t="s">
        <v>616</v>
      </c>
      <c r="B612" s="4">
        <v>45032</v>
      </c>
      <c r="C612" s="4" t="str">
        <f t="shared" si="126"/>
        <v>Apr-2023</v>
      </c>
      <c r="D612" s="4" t="str">
        <f t="shared" si="127"/>
        <v>Q2</v>
      </c>
      <c r="E612" s="4">
        <v>45039</v>
      </c>
      <c r="F612" s="10">
        <f t="shared" si="128"/>
        <v>7</v>
      </c>
      <c r="G612" s="3" t="s">
        <v>640</v>
      </c>
      <c r="H612" s="3" t="s">
        <v>652</v>
      </c>
      <c r="I612" s="3" t="s">
        <v>689</v>
      </c>
      <c r="J612" t="str">
        <f t="shared" si="129"/>
        <v>Americas &gt; USA &gt; Austin</v>
      </c>
      <c r="K612" s="3" t="s">
        <v>693</v>
      </c>
      <c r="L612" s="3" t="s">
        <v>702</v>
      </c>
      <c r="M612" s="3" t="s">
        <v>711</v>
      </c>
      <c r="N612" s="3" t="s">
        <v>720</v>
      </c>
      <c r="O612" s="3" t="s">
        <v>1333</v>
      </c>
      <c r="P612" s="6">
        <v>1099.1500000000001</v>
      </c>
      <c r="Q612" s="6">
        <v>1431.37</v>
      </c>
      <c r="R612" s="6" t="str">
        <f t="shared" si="130"/>
        <v>High</v>
      </c>
      <c r="S612" s="6">
        <v>0.104</v>
      </c>
      <c r="T612" s="6">
        <v>8</v>
      </c>
      <c r="U612">
        <f t="shared" si="131"/>
        <v>10260.060159999999</v>
      </c>
      <c r="V612">
        <f t="shared" si="136"/>
        <v>95879.290179999996</v>
      </c>
      <c r="W612">
        <f t="shared" si="132"/>
        <v>8793.2000000000007</v>
      </c>
      <c r="X612" s="6">
        <f t="shared" si="133"/>
        <v>1466.8601599999984</v>
      </c>
      <c r="Y612">
        <f t="shared" si="134"/>
        <v>0.14296798821109433</v>
      </c>
      <c r="Z612">
        <v>202304</v>
      </c>
      <c r="AA612" s="18">
        <v>202301</v>
      </c>
      <c r="AB612" t="str">
        <v>Apr-2023</v>
      </c>
      <c r="AC612">
        <f t="shared" si="135"/>
        <v>3</v>
      </c>
      <c r="AD612" t="str">
        <f t="shared" si="137"/>
        <v>On Time</v>
      </c>
      <c r="AE612">
        <f t="shared" si="138"/>
        <v>1</v>
      </c>
      <c r="AF612">
        <f t="shared" si="139"/>
        <v>0</v>
      </c>
    </row>
    <row r="613" spans="1:32" x14ac:dyDescent="0.25">
      <c r="A613" s="3" t="s">
        <v>617</v>
      </c>
      <c r="B613" s="4">
        <v>45323</v>
      </c>
      <c r="C613" s="4" t="str">
        <f t="shared" si="126"/>
        <v>Feb-2024</v>
      </c>
      <c r="D613" s="4" t="str">
        <f t="shared" si="127"/>
        <v>Q1</v>
      </c>
      <c r="E613" s="4">
        <v>45323</v>
      </c>
      <c r="F613" s="10">
        <f t="shared" si="128"/>
        <v>0</v>
      </c>
      <c r="G613" s="3" t="s">
        <v>640</v>
      </c>
      <c r="H613" s="3" t="s">
        <v>652</v>
      </c>
      <c r="I613" s="3" t="s">
        <v>689</v>
      </c>
      <c r="J613" t="str">
        <f t="shared" si="129"/>
        <v>Americas &gt; USA &gt; Austin</v>
      </c>
      <c r="K613" s="3" t="s">
        <v>696</v>
      </c>
      <c r="L613" s="3" t="s">
        <v>702</v>
      </c>
      <c r="M613" s="3" t="s">
        <v>714</v>
      </c>
      <c r="N613" s="3" t="s">
        <v>720</v>
      </c>
      <c r="O613" s="3" t="s">
        <v>1334</v>
      </c>
      <c r="P613" s="6">
        <v>714.43</v>
      </c>
      <c r="Q613" s="6">
        <v>1595.52</v>
      </c>
      <c r="R613" s="6" t="str">
        <f t="shared" si="130"/>
        <v>Medium</v>
      </c>
      <c r="S613" s="6">
        <v>0.19400000000000001</v>
      </c>
      <c r="T613" s="6">
        <v>14</v>
      </c>
      <c r="U613">
        <f t="shared" si="131"/>
        <v>18003.847679999999</v>
      </c>
      <c r="V613">
        <f t="shared" si="136"/>
        <v>95879.290179999996</v>
      </c>
      <c r="W613">
        <f t="shared" si="132"/>
        <v>10002.019999999999</v>
      </c>
      <c r="X613" s="6">
        <f t="shared" si="133"/>
        <v>8001.8276800000003</v>
      </c>
      <c r="Y613">
        <f t="shared" si="134"/>
        <v>0.44445097638151093</v>
      </c>
      <c r="Z613">
        <v>202402</v>
      </c>
      <c r="AA613" s="18">
        <v>202301</v>
      </c>
      <c r="AB613" t="str">
        <v>Feb-2023</v>
      </c>
      <c r="AC613">
        <f t="shared" si="135"/>
        <v>13</v>
      </c>
      <c r="AD613" t="str">
        <f t="shared" si="137"/>
        <v>On Time</v>
      </c>
      <c r="AE613">
        <f t="shared" si="138"/>
        <v>1</v>
      </c>
      <c r="AF613">
        <f t="shared" si="139"/>
        <v>0</v>
      </c>
    </row>
    <row r="614" spans="1:32" x14ac:dyDescent="0.25">
      <c r="A614" s="3" t="s">
        <v>618</v>
      </c>
      <c r="B614" s="4">
        <v>45584</v>
      </c>
      <c r="C614" s="4" t="str">
        <f t="shared" si="126"/>
        <v>Oct-2024</v>
      </c>
      <c r="D614" s="4" t="str">
        <f t="shared" si="127"/>
        <v>Q4</v>
      </c>
      <c r="E614" s="4">
        <v>45602</v>
      </c>
      <c r="F614" s="10">
        <f t="shared" si="128"/>
        <v>18</v>
      </c>
      <c r="G614" s="3" t="s">
        <v>640</v>
      </c>
      <c r="H614" s="3" t="s">
        <v>652</v>
      </c>
      <c r="I614" s="3" t="s">
        <v>669</v>
      </c>
      <c r="J614" t="str">
        <f t="shared" si="129"/>
        <v>Americas &gt; USA &gt; Chicago</v>
      </c>
      <c r="K614" s="3" t="s">
        <v>694</v>
      </c>
      <c r="L614" s="3" t="s">
        <v>1413</v>
      </c>
      <c r="M614" s="3" t="s">
        <v>704</v>
      </c>
      <c r="N614" s="3" t="s">
        <v>724</v>
      </c>
      <c r="O614" s="3" t="s">
        <v>1335</v>
      </c>
      <c r="P614" s="6">
        <v>942.02</v>
      </c>
      <c r="Q614" s="6">
        <v>1028.46</v>
      </c>
      <c r="R614" s="6" t="str">
        <f t="shared" si="130"/>
        <v>Medium</v>
      </c>
      <c r="S614" s="6">
        <v>0</v>
      </c>
      <c r="T614" s="6">
        <v>9</v>
      </c>
      <c r="U614">
        <f t="shared" si="131"/>
        <v>9256.14</v>
      </c>
      <c r="V614">
        <f t="shared" si="136"/>
        <v>95879.290179999996</v>
      </c>
      <c r="W614">
        <f t="shared" si="132"/>
        <v>8478.18</v>
      </c>
      <c r="X614" s="6">
        <f t="shared" si="133"/>
        <v>777.95999999999913</v>
      </c>
      <c r="Y614">
        <f t="shared" si="134"/>
        <v>8.4047994088248354E-2</v>
      </c>
      <c r="Z614">
        <v>202410</v>
      </c>
      <c r="AA614" s="18">
        <v>202301</v>
      </c>
      <c r="AB614" t="str">
        <v>Oct-2023</v>
      </c>
      <c r="AC614">
        <f t="shared" si="135"/>
        <v>21</v>
      </c>
      <c r="AD614" t="str">
        <f t="shared" si="137"/>
        <v>Late</v>
      </c>
      <c r="AE614">
        <f t="shared" si="138"/>
        <v>0</v>
      </c>
      <c r="AF614">
        <f t="shared" si="139"/>
        <v>0</v>
      </c>
    </row>
    <row r="615" spans="1:32" x14ac:dyDescent="0.25">
      <c r="A615" s="3" t="s">
        <v>619</v>
      </c>
      <c r="B615" s="4">
        <v>45468</v>
      </c>
      <c r="C615" s="4" t="str">
        <f t="shared" si="126"/>
        <v>Jun-2024</v>
      </c>
      <c r="D615" s="4" t="str">
        <f t="shared" si="127"/>
        <v>Q2</v>
      </c>
      <c r="E615" s="4">
        <v>45473</v>
      </c>
      <c r="F615" s="10">
        <f t="shared" si="128"/>
        <v>5</v>
      </c>
      <c r="G615" s="3" t="s">
        <v>638</v>
      </c>
      <c r="H615" s="3" t="s">
        <v>642</v>
      </c>
      <c r="I615" s="3" t="s">
        <v>654</v>
      </c>
      <c r="J615" t="str">
        <f t="shared" si="129"/>
        <v>Africa &gt; Kenya &gt; Kisumu</v>
      </c>
      <c r="K615" s="3" t="s">
        <v>694</v>
      </c>
      <c r="L615" s="3" t="s">
        <v>703</v>
      </c>
      <c r="M615" s="3" t="s">
        <v>716</v>
      </c>
      <c r="N615" s="3" t="s">
        <v>721</v>
      </c>
      <c r="O615" s="3" t="s">
        <v>1336</v>
      </c>
      <c r="P615" s="6">
        <v>1323.55</v>
      </c>
      <c r="Q615" s="6">
        <v>3230.35</v>
      </c>
      <c r="R615" s="6" t="str">
        <f t="shared" si="130"/>
        <v>High</v>
      </c>
      <c r="S615" s="6">
        <v>2.1999999999999999E-2</v>
      </c>
      <c r="T615" s="6">
        <v>26</v>
      </c>
      <c r="U615">
        <f t="shared" si="131"/>
        <v>82141.339799999987</v>
      </c>
      <c r="V615">
        <f t="shared" si="136"/>
        <v>95879.290179999996</v>
      </c>
      <c r="W615">
        <f t="shared" si="132"/>
        <v>34412.299999999996</v>
      </c>
      <c r="X615" s="6">
        <f t="shared" si="133"/>
        <v>47729.039799999991</v>
      </c>
      <c r="Y615">
        <f t="shared" si="134"/>
        <v>0.58105991351263542</v>
      </c>
      <c r="Z615">
        <v>202406</v>
      </c>
      <c r="AA615" s="18">
        <v>202301</v>
      </c>
      <c r="AB615" t="str">
        <v>Jun-2023</v>
      </c>
      <c r="AC615">
        <f t="shared" si="135"/>
        <v>17</v>
      </c>
      <c r="AD615" t="str">
        <f t="shared" si="137"/>
        <v>On Time</v>
      </c>
      <c r="AE615">
        <f t="shared" si="138"/>
        <v>1</v>
      </c>
      <c r="AF615">
        <f t="shared" si="139"/>
        <v>0</v>
      </c>
    </row>
    <row r="616" spans="1:32" x14ac:dyDescent="0.25">
      <c r="A616" s="3" t="s">
        <v>620</v>
      </c>
      <c r="B616" s="4">
        <v>45137</v>
      </c>
      <c r="C616" s="4" t="str">
        <f t="shared" si="126"/>
        <v>Jul-2023</v>
      </c>
      <c r="D616" s="4" t="str">
        <f t="shared" si="127"/>
        <v>Q3</v>
      </c>
      <c r="E616" s="4">
        <v>45157</v>
      </c>
      <c r="F616" s="10">
        <f t="shared" si="128"/>
        <v>20</v>
      </c>
      <c r="G616" s="3" t="s">
        <v>641</v>
      </c>
      <c r="H616" s="3" t="s">
        <v>649</v>
      </c>
      <c r="I616" s="3" t="s">
        <v>682</v>
      </c>
      <c r="J616" t="str">
        <f t="shared" si="129"/>
        <v>Europe &gt; France &gt; Paris</v>
      </c>
      <c r="K616" s="3" t="s">
        <v>698</v>
      </c>
      <c r="L616" s="3" t="s">
        <v>701</v>
      </c>
      <c r="M616" s="3" t="s">
        <v>707</v>
      </c>
      <c r="N616" s="3" t="s">
        <v>721</v>
      </c>
      <c r="O616" s="3" t="s">
        <v>1337</v>
      </c>
      <c r="P616" s="6">
        <v>1418.51</v>
      </c>
      <c r="Q616" s="6">
        <v>2789.61</v>
      </c>
      <c r="R616" s="6" t="str">
        <f t="shared" si="130"/>
        <v>High</v>
      </c>
      <c r="S616" s="6">
        <v>0.17100000000000001</v>
      </c>
      <c r="T616" s="6">
        <v>8</v>
      </c>
      <c r="U616">
        <f t="shared" si="131"/>
        <v>18500.693520000001</v>
      </c>
      <c r="V616">
        <f t="shared" si="136"/>
        <v>95879.290179999996</v>
      </c>
      <c r="W616">
        <f t="shared" si="132"/>
        <v>11348.08</v>
      </c>
      <c r="X616" s="6">
        <f t="shared" si="133"/>
        <v>7152.6135200000008</v>
      </c>
      <c r="Y616">
        <f t="shared" si="134"/>
        <v>0.38661326464695689</v>
      </c>
      <c r="Z616">
        <v>202307</v>
      </c>
      <c r="AA616" s="18">
        <v>202301</v>
      </c>
      <c r="AB616" t="str">
        <v>Jul-2023</v>
      </c>
      <c r="AC616">
        <f t="shared" si="135"/>
        <v>6</v>
      </c>
      <c r="AD616" t="str">
        <f t="shared" si="137"/>
        <v>Late</v>
      </c>
      <c r="AE616">
        <f t="shared" si="138"/>
        <v>0</v>
      </c>
      <c r="AF616">
        <f t="shared" si="139"/>
        <v>0</v>
      </c>
    </row>
    <row r="617" spans="1:32" x14ac:dyDescent="0.25">
      <c r="A617" s="3" t="s">
        <v>621</v>
      </c>
      <c r="B617" s="4">
        <v>45727</v>
      </c>
      <c r="C617" s="4" t="str">
        <f t="shared" si="126"/>
        <v>Mar-2025</v>
      </c>
      <c r="D617" s="4" t="str">
        <f t="shared" si="127"/>
        <v>Q1</v>
      </c>
      <c r="E617" s="4">
        <v>45743</v>
      </c>
      <c r="F617" s="10">
        <f t="shared" si="128"/>
        <v>16</v>
      </c>
      <c r="G617" s="3" t="s">
        <v>639</v>
      </c>
      <c r="H617" s="3" t="s">
        <v>644</v>
      </c>
      <c r="I617" s="3" t="s">
        <v>681</v>
      </c>
      <c r="J617" t="str">
        <f t="shared" si="129"/>
        <v>Asia &gt; Japan &gt; Tokyo</v>
      </c>
      <c r="K617" s="3" t="s">
        <v>698</v>
      </c>
      <c r="L617" s="3" t="s">
        <v>702</v>
      </c>
      <c r="M617" s="3" t="s">
        <v>709</v>
      </c>
      <c r="N617" s="3" t="s">
        <v>720</v>
      </c>
      <c r="O617" s="3" t="s">
        <v>1338</v>
      </c>
      <c r="P617" s="6">
        <v>1317.58</v>
      </c>
      <c r="Q617" s="6">
        <v>1897.74</v>
      </c>
      <c r="R617" s="6" t="str">
        <f t="shared" si="130"/>
        <v>High</v>
      </c>
      <c r="S617" s="6">
        <v>8.1000000000000003E-2</v>
      </c>
      <c r="T617" s="6">
        <v>6</v>
      </c>
      <c r="U617">
        <f t="shared" si="131"/>
        <v>10464.138360000001</v>
      </c>
      <c r="V617">
        <f t="shared" si="136"/>
        <v>95879.290179999996</v>
      </c>
      <c r="W617">
        <f t="shared" si="132"/>
        <v>7905.48</v>
      </c>
      <c r="X617" s="6">
        <f t="shared" si="133"/>
        <v>2558.6583600000013</v>
      </c>
      <c r="Y617">
        <f t="shared" si="134"/>
        <v>0.24451687009230266</v>
      </c>
      <c r="Z617">
        <v>202503</v>
      </c>
      <c r="AA617" s="18">
        <v>202303</v>
      </c>
      <c r="AB617" t="str">
        <v>Mar-2023</v>
      </c>
      <c r="AC617">
        <f t="shared" si="135"/>
        <v>24</v>
      </c>
      <c r="AD617" t="str">
        <f t="shared" si="137"/>
        <v>Late</v>
      </c>
      <c r="AE617">
        <f t="shared" si="138"/>
        <v>0</v>
      </c>
      <c r="AF617">
        <f t="shared" si="139"/>
        <v>0</v>
      </c>
    </row>
    <row r="618" spans="1:32" x14ac:dyDescent="0.25">
      <c r="A618" s="3" t="s">
        <v>622</v>
      </c>
      <c r="B618" s="4">
        <v>45208</v>
      </c>
      <c r="C618" s="4" t="str">
        <f t="shared" si="126"/>
        <v>Oct-2023</v>
      </c>
      <c r="D618" s="4" t="str">
        <f t="shared" si="127"/>
        <v>Q4</v>
      </c>
      <c r="E618" s="4">
        <v>45210</v>
      </c>
      <c r="F618" s="10">
        <f t="shared" si="128"/>
        <v>2</v>
      </c>
      <c r="G618" s="3" t="s">
        <v>638</v>
      </c>
      <c r="H618" s="3" t="s">
        <v>643</v>
      </c>
      <c r="I618" s="3" t="s">
        <v>655</v>
      </c>
      <c r="J618" t="str">
        <f t="shared" si="129"/>
        <v>Africa &gt; Nigeria &gt; Port Harcourt</v>
      </c>
      <c r="K618" s="3" t="s">
        <v>694</v>
      </c>
      <c r="L618" s="3" t="s">
        <v>701</v>
      </c>
      <c r="M618" s="3" t="s">
        <v>715</v>
      </c>
      <c r="N618" s="3" t="s">
        <v>721</v>
      </c>
      <c r="O618" s="3" t="s">
        <v>1339</v>
      </c>
      <c r="P618" s="6">
        <v>391.16</v>
      </c>
      <c r="Q618" s="6">
        <v>902.47</v>
      </c>
      <c r="R618" s="6" t="str">
        <f t="shared" si="130"/>
        <v>Low</v>
      </c>
      <c r="S618" s="6">
        <v>4.0000000000000001E-3</v>
      </c>
      <c r="T618" s="6">
        <v>12</v>
      </c>
      <c r="U618">
        <f t="shared" si="131"/>
        <v>10786.32144</v>
      </c>
      <c r="V618">
        <f t="shared" si="136"/>
        <v>95879.290179999996</v>
      </c>
      <c r="W618">
        <f t="shared" si="132"/>
        <v>4693.92</v>
      </c>
      <c r="X618" s="6">
        <f t="shared" si="133"/>
        <v>6092.4014399999996</v>
      </c>
      <c r="Y618">
        <f t="shared" si="134"/>
        <v>0.56482661618139207</v>
      </c>
      <c r="Z618">
        <v>202310</v>
      </c>
      <c r="AA618" s="18">
        <v>202301</v>
      </c>
      <c r="AB618" t="str">
        <v>Oct-2023</v>
      </c>
      <c r="AC618">
        <f t="shared" si="135"/>
        <v>9</v>
      </c>
      <c r="AD618" t="str">
        <f t="shared" si="137"/>
        <v>On Time</v>
      </c>
      <c r="AE618">
        <f t="shared" si="138"/>
        <v>1</v>
      </c>
      <c r="AF618">
        <f t="shared" si="139"/>
        <v>0</v>
      </c>
    </row>
    <row r="619" spans="1:32" x14ac:dyDescent="0.25">
      <c r="A619" s="3" t="s">
        <v>623</v>
      </c>
      <c r="B619" s="4">
        <v>45643</v>
      </c>
      <c r="C619" s="4" t="str">
        <f t="shared" si="126"/>
        <v>Dec-2024</v>
      </c>
      <c r="D619" s="4" t="str">
        <f t="shared" si="127"/>
        <v>Q4</v>
      </c>
      <c r="E619" s="4">
        <v>45673</v>
      </c>
      <c r="F619" s="10">
        <f t="shared" si="128"/>
        <v>30</v>
      </c>
      <c r="G619" s="3" t="s">
        <v>641</v>
      </c>
      <c r="H619" s="3" t="s">
        <v>650</v>
      </c>
      <c r="I619" s="3" t="s">
        <v>685</v>
      </c>
      <c r="J619" t="str">
        <f t="shared" si="129"/>
        <v>Europe &gt; United Kingdom &gt; Manchester</v>
      </c>
      <c r="K619" s="3" t="s">
        <v>693</v>
      </c>
      <c r="L619" s="3" t="s">
        <v>699</v>
      </c>
      <c r="M619" s="3" t="s">
        <v>718</v>
      </c>
      <c r="N619" s="3" t="s">
        <v>724</v>
      </c>
      <c r="O619" s="3" t="s">
        <v>1340</v>
      </c>
      <c r="P619" s="6">
        <v>722.87</v>
      </c>
      <c r="Q619" s="6">
        <v>33.659999999999997</v>
      </c>
      <c r="R619" s="6" t="str">
        <f t="shared" si="130"/>
        <v>Medium</v>
      </c>
      <c r="S619" s="6">
        <v>0.10199999999999999</v>
      </c>
      <c r="T619" s="6">
        <v>28</v>
      </c>
      <c r="U619">
        <f t="shared" si="131"/>
        <v>846.34703999999988</v>
      </c>
      <c r="V619">
        <f t="shared" si="136"/>
        <v>95879.290179999996</v>
      </c>
      <c r="W619">
        <f t="shared" si="132"/>
        <v>20240.36</v>
      </c>
      <c r="X619" s="6">
        <f t="shared" si="133"/>
        <v>-19394.01296</v>
      </c>
      <c r="Y619">
        <f t="shared" si="134"/>
        <v>-22.914965189693348</v>
      </c>
      <c r="Z619">
        <v>202412</v>
      </c>
      <c r="AA619" s="18">
        <v>202301</v>
      </c>
      <c r="AB619" t="str">
        <v>Dec-2023</v>
      </c>
      <c r="AC619">
        <f t="shared" si="135"/>
        <v>23</v>
      </c>
      <c r="AD619" t="str">
        <f t="shared" si="137"/>
        <v>Late</v>
      </c>
      <c r="AE619">
        <f t="shared" si="138"/>
        <v>0</v>
      </c>
      <c r="AF619">
        <f t="shared" si="139"/>
        <v>0</v>
      </c>
    </row>
    <row r="620" spans="1:32" x14ac:dyDescent="0.25">
      <c r="A620" s="3" t="s">
        <v>624</v>
      </c>
      <c r="B620" s="4">
        <v>45849</v>
      </c>
      <c r="C620" s="4" t="str">
        <f t="shared" si="126"/>
        <v>Jul-2025</v>
      </c>
      <c r="D620" s="4" t="str">
        <f t="shared" si="127"/>
        <v>Q3</v>
      </c>
      <c r="E620" s="4">
        <v>45854</v>
      </c>
      <c r="F620" s="10">
        <f t="shared" si="128"/>
        <v>5</v>
      </c>
      <c r="G620" s="3" t="s">
        <v>641</v>
      </c>
      <c r="H620" s="3" t="s">
        <v>650</v>
      </c>
      <c r="I620" s="3" t="s">
        <v>675</v>
      </c>
      <c r="J620" t="str">
        <f t="shared" si="129"/>
        <v>Europe &gt; United Kingdom &gt; London</v>
      </c>
      <c r="K620" s="3" t="s">
        <v>698</v>
      </c>
      <c r="L620" s="3" t="s">
        <v>700</v>
      </c>
      <c r="M620" s="3" t="s">
        <v>715</v>
      </c>
      <c r="N620" s="3" t="s">
        <v>720</v>
      </c>
      <c r="O620" s="3" t="s">
        <v>1341</v>
      </c>
      <c r="P620" s="6">
        <v>930.03</v>
      </c>
      <c r="Q620" s="6">
        <v>1086.68</v>
      </c>
      <c r="R620" s="6" t="str">
        <f t="shared" si="130"/>
        <v>Medium</v>
      </c>
      <c r="S620" s="6">
        <v>0.109</v>
      </c>
      <c r="T620" s="6">
        <v>26</v>
      </c>
      <c r="U620">
        <f t="shared" si="131"/>
        <v>25174.028880000002</v>
      </c>
      <c r="V620">
        <f t="shared" si="136"/>
        <v>95879.290179999996</v>
      </c>
      <c r="W620">
        <f t="shared" si="132"/>
        <v>24180.78</v>
      </c>
      <c r="X620" s="6">
        <f t="shared" si="133"/>
        <v>993.24888000000283</v>
      </c>
      <c r="Y620">
        <f t="shared" si="134"/>
        <v>3.9455300728168656E-2</v>
      </c>
      <c r="Z620">
        <v>202507</v>
      </c>
      <c r="AA620" s="18">
        <v>202301</v>
      </c>
      <c r="AB620" t="str">
        <v>Jul-2023</v>
      </c>
      <c r="AC620">
        <f t="shared" si="135"/>
        <v>30</v>
      </c>
      <c r="AD620" t="str">
        <f t="shared" si="137"/>
        <v>On Time</v>
      </c>
      <c r="AE620">
        <f t="shared" si="138"/>
        <v>1</v>
      </c>
      <c r="AF620">
        <f t="shared" si="139"/>
        <v>0</v>
      </c>
    </row>
    <row r="621" spans="1:32" x14ac:dyDescent="0.25">
      <c r="A621" s="3" t="s">
        <v>625</v>
      </c>
      <c r="B621" s="4">
        <v>45578</v>
      </c>
      <c r="C621" s="4" t="str">
        <f t="shared" si="126"/>
        <v>Oct-2024</v>
      </c>
      <c r="D621" s="4" t="str">
        <f t="shared" si="127"/>
        <v>Q4</v>
      </c>
      <c r="E621" s="4">
        <v>45589</v>
      </c>
      <c r="F621" s="10">
        <f t="shared" si="128"/>
        <v>11</v>
      </c>
      <c r="G621" s="3" t="s">
        <v>641</v>
      </c>
      <c r="H621" s="3" t="s">
        <v>649</v>
      </c>
      <c r="I621" s="3" t="s">
        <v>682</v>
      </c>
      <c r="J621" t="str">
        <f t="shared" si="129"/>
        <v>Europe &gt; France &gt; Paris</v>
      </c>
      <c r="K621" s="3" t="s">
        <v>694</v>
      </c>
      <c r="L621" s="3" t="s">
        <v>702</v>
      </c>
      <c r="M621" s="3" t="s">
        <v>713</v>
      </c>
      <c r="N621" s="3" t="s">
        <v>719</v>
      </c>
      <c r="O621" s="3" t="s">
        <v>1342</v>
      </c>
      <c r="P621" s="6">
        <v>816.7</v>
      </c>
      <c r="Q621" s="6">
        <v>1010.75</v>
      </c>
      <c r="R621" s="6" t="str">
        <f t="shared" si="130"/>
        <v>Medium</v>
      </c>
      <c r="S621" s="6">
        <v>4.7E-2</v>
      </c>
      <c r="T621" s="6">
        <v>43</v>
      </c>
      <c r="U621">
        <f t="shared" si="131"/>
        <v>41419.524249999995</v>
      </c>
      <c r="V621">
        <f t="shared" si="136"/>
        <v>95879.290179999996</v>
      </c>
      <c r="W621">
        <f t="shared" si="132"/>
        <v>35118.1</v>
      </c>
      <c r="X621" s="6">
        <f t="shared" si="133"/>
        <v>6301.4242499999964</v>
      </c>
      <c r="Y621">
        <f t="shared" si="134"/>
        <v>0.15213656757537472</v>
      </c>
      <c r="Z621">
        <v>202410</v>
      </c>
      <c r="AA621" s="18">
        <v>202301</v>
      </c>
      <c r="AB621" t="str">
        <v>Oct-2023</v>
      </c>
      <c r="AC621">
        <f t="shared" si="135"/>
        <v>21</v>
      </c>
      <c r="AD621" t="str">
        <f t="shared" si="137"/>
        <v>Late</v>
      </c>
      <c r="AE621">
        <f t="shared" si="138"/>
        <v>0</v>
      </c>
      <c r="AF621">
        <f t="shared" si="139"/>
        <v>0</v>
      </c>
    </row>
    <row r="622" spans="1:32" x14ac:dyDescent="0.25">
      <c r="A622" s="3" t="s">
        <v>626</v>
      </c>
      <c r="B622" s="4">
        <v>45177</v>
      </c>
      <c r="C622" s="4" t="str">
        <f t="shared" si="126"/>
        <v>Sept-2023</v>
      </c>
      <c r="D622" s="4" t="str">
        <f t="shared" si="127"/>
        <v>Q3</v>
      </c>
      <c r="E622" s="4">
        <v>45183</v>
      </c>
      <c r="F622" s="10">
        <f t="shared" si="128"/>
        <v>6</v>
      </c>
      <c r="G622" s="3" t="s">
        <v>638</v>
      </c>
      <c r="H622" s="3" t="s">
        <v>642</v>
      </c>
      <c r="I622" s="3" t="s">
        <v>670</v>
      </c>
      <c r="J622" t="str">
        <f t="shared" si="129"/>
        <v>Africa &gt; Kenya &gt; Nakuru</v>
      </c>
      <c r="K622" s="3" t="s">
        <v>694</v>
      </c>
      <c r="L622" s="3" t="s">
        <v>703</v>
      </c>
      <c r="M622" s="3" t="s">
        <v>706</v>
      </c>
      <c r="N622" s="3" t="s">
        <v>725</v>
      </c>
      <c r="O622" s="3" t="s">
        <v>1343</v>
      </c>
      <c r="P622" s="6">
        <v>251.03</v>
      </c>
      <c r="Q622" s="6">
        <v>411.48</v>
      </c>
      <c r="R622" s="6" t="str">
        <f t="shared" si="130"/>
        <v>Low</v>
      </c>
      <c r="S622" s="6">
        <v>0.16500000000000001</v>
      </c>
      <c r="T622" s="6">
        <v>3</v>
      </c>
      <c r="U622">
        <f t="shared" si="131"/>
        <v>1030.7574</v>
      </c>
      <c r="V622">
        <f t="shared" si="136"/>
        <v>54459.765930000001</v>
      </c>
      <c r="W622">
        <f t="shared" si="132"/>
        <v>753.09</v>
      </c>
      <c r="X622" s="6">
        <f t="shared" si="133"/>
        <v>277.66739999999993</v>
      </c>
      <c r="Y622">
        <f t="shared" si="134"/>
        <v>0.26938191275658069</v>
      </c>
      <c r="Z622">
        <v>202309</v>
      </c>
      <c r="AA622" s="18">
        <v>202301</v>
      </c>
      <c r="AB622" t="str">
        <v>Sept-2023</v>
      </c>
      <c r="AC622">
        <f t="shared" si="135"/>
        <v>8</v>
      </c>
      <c r="AD622" t="str">
        <f t="shared" si="137"/>
        <v>On Time</v>
      </c>
      <c r="AE622">
        <f t="shared" si="138"/>
        <v>1</v>
      </c>
      <c r="AF622">
        <f t="shared" si="139"/>
        <v>0</v>
      </c>
    </row>
    <row r="623" spans="1:32" x14ac:dyDescent="0.25">
      <c r="A623" s="3" t="s">
        <v>627</v>
      </c>
      <c r="B623" s="4">
        <v>45764</v>
      </c>
      <c r="C623" s="4" t="str">
        <f t="shared" si="126"/>
        <v>Apr-2025</v>
      </c>
      <c r="D623" s="4" t="str">
        <f t="shared" si="127"/>
        <v>Q2</v>
      </c>
      <c r="E623" s="4">
        <v>45780</v>
      </c>
      <c r="F623" s="10">
        <f t="shared" si="128"/>
        <v>16</v>
      </c>
      <c r="G623" s="3" t="s">
        <v>640</v>
      </c>
      <c r="H623" s="3" t="s">
        <v>647</v>
      </c>
      <c r="I623" s="3" t="s">
        <v>684</v>
      </c>
      <c r="J623" t="str">
        <f t="shared" si="129"/>
        <v>Americas &gt; Brazil &gt; Rio de Janeiro</v>
      </c>
      <c r="K623" s="3" t="s">
        <v>696</v>
      </c>
      <c r="L623" s="3" t="s">
        <v>701</v>
      </c>
      <c r="M623" s="3" t="s">
        <v>705</v>
      </c>
      <c r="N623" s="3" t="s">
        <v>721</v>
      </c>
      <c r="O623" s="3" t="s">
        <v>1344</v>
      </c>
      <c r="P623" s="6">
        <v>168.68</v>
      </c>
      <c r="Q623" s="6">
        <v>413.34</v>
      </c>
      <c r="R623" s="6" t="str">
        <f t="shared" si="130"/>
        <v>Low</v>
      </c>
      <c r="S623" s="6">
        <v>0.186</v>
      </c>
      <c r="T623" s="6">
        <v>7</v>
      </c>
      <c r="U623">
        <f t="shared" si="131"/>
        <v>2355.2113199999999</v>
      </c>
      <c r="V623">
        <f t="shared" si="136"/>
        <v>54459.765930000001</v>
      </c>
      <c r="W623">
        <f t="shared" si="132"/>
        <v>1180.76</v>
      </c>
      <c r="X623" s="6">
        <f t="shared" si="133"/>
        <v>1174.4513199999999</v>
      </c>
      <c r="Y623">
        <f t="shared" si="134"/>
        <v>0.49866069767361682</v>
      </c>
      <c r="Z623">
        <v>202504</v>
      </c>
      <c r="AA623" s="18">
        <v>202301</v>
      </c>
      <c r="AB623" t="str">
        <v>Apr-2023</v>
      </c>
      <c r="AC623">
        <f t="shared" si="135"/>
        <v>27</v>
      </c>
      <c r="AD623" t="str">
        <f t="shared" si="137"/>
        <v>Late</v>
      </c>
      <c r="AE623">
        <f t="shared" si="138"/>
        <v>0</v>
      </c>
      <c r="AF623">
        <f t="shared" si="139"/>
        <v>0</v>
      </c>
    </row>
    <row r="624" spans="1:32" x14ac:dyDescent="0.25">
      <c r="A624" s="3" t="s">
        <v>628</v>
      </c>
      <c r="B624" s="4">
        <v>45501</v>
      </c>
      <c r="C624" s="4" t="str">
        <f t="shared" si="126"/>
        <v>Jul-2024</v>
      </c>
      <c r="D624" s="4" t="str">
        <f t="shared" si="127"/>
        <v>Q3</v>
      </c>
      <c r="E624" s="4">
        <v>45527</v>
      </c>
      <c r="F624" s="10">
        <f t="shared" si="128"/>
        <v>26</v>
      </c>
      <c r="G624" s="3" t="s">
        <v>639</v>
      </c>
      <c r="H624" s="3" t="s">
        <v>646</v>
      </c>
      <c r="I624" s="3" t="s">
        <v>688</v>
      </c>
      <c r="J624" t="str">
        <f t="shared" si="129"/>
        <v>Asia &gt; India &gt; Hyderabad</v>
      </c>
      <c r="K624" s="3" t="s">
        <v>693</v>
      </c>
      <c r="L624" s="3" t="s">
        <v>699</v>
      </c>
      <c r="M624" s="3" t="s">
        <v>705</v>
      </c>
      <c r="N624" s="3" t="s">
        <v>721</v>
      </c>
      <c r="O624" s="3" t="s">
        <v>1345</v>
      </c>
      <c r="P624" s="6">
        <v>1339.24</v>
      </c>
      <c r="Q624" s="6">
        <v>1558.89</v>
      </c>
      <c r="R624" s="6" t="str">
        <f t="shared" si="130"/>
        <v>High</v>
      </c>
      <c r="S624" s="6">
        <v>0.192</v>
      </c>
      <c r="T624" s="6">
        <v>24</v>
      </c>
      <c r="U624">
        <f t="shared" si="131"/>
        <v>30229.994880000002</v>
      </c>
      <c r="V624">
        <f t="shared" si="136"/>
        <v>54459.765930000001</v>
      </c>
      <c r="W624">
        <f t="shared" si="132"/>
        <v>32141.760000000002</v>
      </c>
      <c r="X624" s="6">
        <f t="shared" si="133"/>
        <v>-1911.76512</v>
      </c>
      <c r="Y624">
        <f t="shared" si="134"/>
        <v>-6.3240669659021781E-2</v>
      </c>
      <c r="Z624">
        <v>202407</v>
      </c>
      <c r="AA624" s="18">
        <v>202301</v>
      </c>
      <c r="AB624" t="str">
        <v>Jul-2023</v>
      </c>
      <c r="AC624">
        <f t="shared" si="135"/>
        <v>18</v>
      </c>
      <c r="AD624" t="str">
        <f t="shared" si="137"/>
        <v>Late</v>
      </c>
      <c r="AE624">
        <f t="shared" si="138"/>
        <v>0</v>
      </c>
      <c r="AF624">
        <f t="shared" si="139"/>
        <v>0</v>
      </c>
    </row>
    <row r="625" spans="1:32" x14ac:dyDescent="0.25">
      <c r="A625" s="3" t="s">
        <v>629</v>
      </c>
      <c r="B625" s="4">
        <v>45857</v>
      </c>
      <c r="C625" s="4" t="str">
        <f t="shared" si="126"/>
        <v>Jul-2025</v>
      </c>
      <c r="D625" s="4" t="str">
        <f t="shared" si="127"/>
        <v>Q3</v>
      </c>
      <c r="E625" s="4">
        <v>45869</v>
      </c>
      <c r="F625" s="10">
        <f t="shared" si="128"/>
        <v>12</v>
      </c>
      <c r="G625" s="3" t="s">
        <v>638</v>
      </c>
      <c r="H625" s="3" t="s">
        <v>642</v>
      </c>
      <c r="I625" s="3" t="s">
        <v>656</v>
      </c>
      <c r="J625" t="str">
        <f t="shared" si="129"/>
        <v>Africa &gt; Kenya &gt; Nairobi</v>
      </c>
      <c r="K625" s="3" t="s">
        <v>697</v>
      </c>
      <c r="L625" s="3" t="s">
        <v>701</v>
      </c>
      <c r="M625" s="3" t="s">
        <v>711</v>
      </c>
      <c r="N625" s="3" t="s">
        <v>725</v>
      </c>
      <c r="O625" s="3" t="s">
        <v>1346</v>
      </c>
      <c r="P625" s="6">
        <v>619.64</v>
      </c>
      <c r="Q625" s="6">
        <v>861.16</v>
      </c>
      <c r="R625" s="6" t="str">
        <f t="shared" si="130"/>
        <v>Medium</v>
      </c>
      <c r="S625" s="6">
        <v>0.113</v>
      </c>
      <c r="T625" s="6">
        <v>14</v>
      </c>
      <c r="U625">
        <f t="shared" si="131"/>
        <v>10693.88488</v>
      </c>
      <c r="V625">
        <f t="shared" si="136"/>
        <v>54459.765930000001</v>
      </c>
      <c r="W625">
        <f t="shared" si="132"/>
        <v>8674.9599999999991</v>
      </c>
      <c r="X625" s="6">
        <f t="shared" si="133"/>
        <v>2018.9248800000005</v>
      </c>
      <c r="Y625">
        <f t="shared" si="134"/>
        <v>0.18879246435276761</v>
      </c>
      <c r="Z625">
        <v>202507</v>
      </c>
      <c r="AA625" s="18">
        <v>202301</v>
      </c>
      <c r="AB625" t="str">
        <v>Jul-2023</v>
      </c>
      <c r="AC625">
        <f t="shared" si="135"/>
        <v>30</v>
      </c>
      <c r="AD625" t="str">
        <f t="shared" si="137"/>
        <v>Late</v>
      </c>
      <c r="AE625">
        <f t="shared" si="138"/>
        <v>0</v>
      </c>
      <c r="AF625">
        <f t="shared" si="139"/>
        <v>0</v>
      </c>
    </row>
    <row r="626" spans="1:32" x14ac:dyDescent="0.25">
      <c r="A626" s="3" t="s">
        <v>630</v>
      </c>
      <c r="B626" s="4">
        <v>45141</v>
      </c>
      <c r="C626" s="4" t="str">
        <f t="shared" si="126"/>
        <v>Aug-2023</v>
      </c>
      <c r="D626" s="4" t="str">
        <f t="shared" si="127"/>
        <v>Q3</v>
      </c>
      <c r="E626" s="4">
        <v>45142</v>
      </c>
      <c r="F626" s="10">
        <f t="shared" si="128"/>
        <v>1</v>
      </c>
      <c r="G626" s="3" t="s">
        <v>639</v>
      </c>
      <c r="H626" s="3" t="s">
        <v>651</v>
      </c>
      <c r="I626" s="3" t="s">
        <v>677</v>
      </c>
      <c r="J626" t="str">
        <f t="shared" si="129"/>
        <v>Asia &gt; China &gt; Shanghai</v>
      </c>
      <c r="K626" s="3" t="s">
        <v>695</v>
      </c>
      <c r="L626" s="3" t="s">
        <v>703</v>
      </c>
      <c r="M626" s="3" t="s">
        <v>705</v>
      </c>
      <c r="N626" s="3" t="s">
        <v>721</v>
      </c>
      <c r="O626" s="3" t="s">
        <v>1347</v>
      </c>
      <c r="P626" s="6">
        <v>1021.97</v>
      </c>
      <c r="Q626" s="6">
        <v>2296.25</v>
      </c>
      <c r="R626" s="6" t="str">
        <f t="shared" si="130"/>
        <v>High</v>
      </c>
      <c r="S626" s="6">
        <v>0.161</v>
      </c>
      <c r="T626" s="6">
        <v>26</v>
      </c>
      <c r="U626">
        <f t="shared" si="131"/>
        <v>50090.397499999999</v>
      </c>
      <c r="V626">
        <f t="shared" si="136"/>
        <v>54459.765930000001</v>
      </c>
      <c r="W626">
        <f t="shared" si="132"/>
        <v>26571.22</v>
      </c>
      <c r="X626" s="6">
        <f t="shared" si="133"/>
        <v>23519.177499999998</v>
      </c>
      <c r="Y626">
        <f t="shared" si="134"/>
        <v>0.46953465482081669</v>
      </c>
      <c r="Z626">
        <v>202308</v>
      </c>
      <c r="AA626" s="18">
        <v>202301</v>
      </c>
      <c r="AB626" t="str">
        <v>Aug-2023</v>
      </c>
      <c r="AC626">
        <f t="shared" si="135"/>
        <v>7</v>
      </c>
      <c r="AD626" t="str">
        <f t="shared" si="137"/>
        <v>On Time</v>
      </c>
      <c r="AE626">
        <f t="shared" si="138"/>
        <v>1</v>
      </c>
      <c r="AF626">
        <f t="shared" si="139"/>
        <v>0</v>
      </c>
    </row>
    <row r="627" spans="1:32" x14ac:dyDescent="0.25">
      <c r="A627" s="3" t="s">
        <v>631</v>
      </c>
      <c r="B627" s="4">
        <v>45249</v>
      </c>
      <c r="C627" s="4" t="str">
        <f t="shared" si="126"/>
        <v>Nov-2023</v>
      </c>
      <c r="D627" s="4" t="str">
        <f t="shared" si="127"/>
        <v>Q4</v>
      </c>
      <c r="E627" s="4">
        <v>45272</v>
      </c>
      <c r="F627" s="10">
        <f t="shared" si="128"/>
        <v>23</v>
      </c>
      <c r="G627" s="3" t="s">
        <v>639</v>
      </c>
      <c r="H627" s="3" t="s">
        <v>646</v>
      </c>
      <c r="I627" s="3" t="s">
        <v>672</v>
      </c>
      <c r="J627" t="str">
        <f t="shared" si="129"/>
        <v>Asia &gt; India &gt; Delhi</v>
      </c>
      <c r="K627" s="3" t="s">
        <v>697</v>
      </c>
      <c r="L627" s="3" t="s">
        <v>703</v>
      </c>
      <c r="M627" s="3" t="s">
        <v>704</v>
      </c>
      <c r="N627" s="3" t="s">
        <v>721</v>
      </c>
      <c r="O627" s="3" t="s">
        <v>1348</v>
      </c>
      <c r="P627" s="6">
        <v>1349.04</v>
      </c>
      <c r="Q627" s="6">
        <v>2636.6</v>
      </c>
      <c r="R627" s="6" t="str">
        <f t="shared" si="130"/>
        <v>High</v>
      </c>
      <c r="S627" s="6">
        <v>0.114</v>
      </c>
      <c r="T627" s="6">
        <v>14</v>
      </c>
      <c r="U627">
        <f t="shared" si="131"/>
        <v>32704.386400000003</v>
      </c>
      <c r="V627">
        <f t="shared" si="136"/>
        <v>54459.765930000001</v>
      </c>
      <c r="W627">
        <f t="shared" si="132"/>
        <v>18886.559999999998</v>
      </c>
      <c r="X627" s="6">
        <f t="shared" si="133"/>
        <v>13817.826400000005</v>
      </c>
      <c r="Y627">
        <f t="shared" si="134"/>
        <v>0.42250682312143928</v>
      </c>
      <c r="Z627">
        <v>202311</v>
      </c>
      <c r="AA627" s="18">
        <v>202301</v>
      </c>
      <c r="AB627" t="str">
        <v>Nov-2023</v>
      </c>
      <c r="AC627">
        <f t="shared" si="135"/>
        <v>10</v>
      </c>
      <c r="AD627" t="str">
        <f t="shared" si="137"/>
        <v>Late</v>
      </c>
      <c r="AE627">
        <f t="shared" si="138"/>
        <v>0</v>
      </c>
      <c r="AF627">
        <f t="shared" si="139"/>
        <v>0</v>
      </c>
    </row>
    <row r="628" spans="1:32" x14ac:dyDescent="0.25">
      <c r="A628" s="3" t="s">
        <v>632</v>
      </c>
      <c r="B628" s="4">
        <v>45282</v>
      </c>
      <c r="C628" s="4" t="str">
        <f t="shared" si="126"/>
        <v>Dec-2023</v>
      </c>
      <c r="D628" s="4" t="str">
        <f t="shared" si="127"/>
        <v>Q4</v>
      </c>
      <c r="E628" s="4">
        <v>45307</v>
      </c>
      <c r="F628" s="10">
        <f t="shared" si="128"/>
        <v>25</v>
      </c>
      <c r="G628" s="3" t="s">
        <v>639</v>
      </c>
      <c r="H628" s="3" t="s">
        <v>646</v>
      </c>
      <c r="I628" s="3" t="s">
        <v>688</v>
      </c>
      <c r="J628" t="str">
        <f t="shared" si="129"/>
        <v>Asia &gt; India &gt; Hyderabad</v>
      </c>
      <c r="K628" s="3" t="s">
        <v>697</v>
      </c>
      <c r="L628" s="3" t="s">
        <v>699</v>
      </c>
      <c r="M628" s="3" t="s">
        <v>712</v>
      </c>
      <c r="N628" s="3" t="s">
        <v>719</v>
      </c>
      <c r="O628" s="3" t="s">
        <v>1349</v>
      </c>
      <c r="P628" s="6">
        <v>1346.81</v>
      </c>
      <c r="Q628" s="6">
        <v>978.09</v>
      </c>
      <c r="R628" s="6" t="str">
        <f t="shared" si="130"/>
        <v>High</v>
      </c>
      <c r="S628" s="6">
        <v>0.159</v>
      </c>
      <c r="T628" s="6">
        <v>17</v>
      </c>
      <c r="U628">
        <f t="shared" si="131"/>
        <v>13983.752729999998</v>
      </c>
      <c r="V628">
        <f t="shared" si="136"/>
        <v>54459.765930000001</v>
      </c>
      <c r="W628">
        <f t="shared" si="132"/>
        <v>22895.77</v>
      </c>
      <c r="X628" s="6">
        <f t="shared" si="133"/>
        <v>-8912.0172700000021</v>
      </c>
      <c r="Y628">
        <f t="shared" si="134"/>
        <v>-0.6373122753293996</v>
      </c>
      <c r="Z628">
        <v>202312</v>
      </c>
      <c r="AA628" s="18">
        <v>202301</v>
      </c>
      <c r="AB628" t="str">
        <v>Dec-2023</v>
      </c>
      <c r="AC628">
        <f t="shared" si="135"/>
        <v>11</v>
      </c>
      <c r="AD628" t="str">
        <f t="shared" si="137"/>
        <v>Late</v>
      </c>
      <c r="AE628">
        <f t="shared" si="138"/>
        <v>0</v>
      </c>
      <c r="AF628">
        <f t="shared" si="139"/>
        <v>0</v>
      </c>
    </row>
    <row r="629" spans="1:32" x14ac:dyDescent="0.25">
      <c r="A629" s="3" t="s">
        <v>633</v>
      </c>
      <c r="B629" s="4">
        <v>45141</v>
      </c>
      <c r="C629" s="4" t="str">
        <f t="shared" si="126"/>
        <v>Aug-2023</v>
      </c>
      <c r="D629" s="4" t="str">
        <f t="shared" si="127"/>
        <v>Q3</v>
      </c>
      <c r="E629" s="4">
        <v>45168</v>
      </c>
      <c r="F629" s="10">
        <f t="shared" si="128"/>
        <v>27</v>
      </c>
      <c r="G629" s="3" t="s">
        <v>639</v>
      </c>
      <c r="H629" s="3" t="s">
        <v>651</v>
      </c>
      <c r="I629" s="3" t="s">
        <v>677</v>
      </c>
      <c r="J629" t="str">
        <f t="shared" si="129"/>
        <v>Asia &gt; China &gt; Shanghai</v>
      </c>
      <c r="K629" s="3" t="s">
        <v>696</v>
      </c>
      <c r="L629" s="3" t="s">
        <v>702</v>
      </c>
      <c r="M629" s="3" t="s">
        <v>717</v>
      </c>
      <c r="N629" s="3" t="s">
        <v>724</v>
      </c>
      <c r="O629" s="3" t="s">
        <v>1350</v>
      </c>
      <c r="P629" s="6">
        <v>226.04</v>
      </c>
      <c r="Q629" s="6">
        <v>545.72</v>
      </c>
      <c r="R629" s="6" t="str">
        <f t="shared" si="130"/>
        <v>Low</v>
      </c>
      <c r="S629" s="6">
        <v>0.151</v>
      </c>
      <c r="T629" s="6">
        <v>11</v>
      </c>
      <c r="U629">
        <f t="shared" si="131"/>
        <v>5096.4790800000001</v>
      </c>
      <c r="V629">
        <f t="shared" si="136"/>
        <v>40476.013200000001</v>
      </c>
      <c r="W629">
        <f t="shared" si="132"/>
        <v>2486.44</v>
      </c>
      <c r="X629" s="6">
        <f t="shared" si="133"/>
        <v>2610.03908</v>
      </c>
      <c r="Y629">
        <f t="shared" si="134"/>
        <v>0.51212592831834014</v>
      </c>
      <c r="Z629">
        <v>202308</v>
      </c>
      <c r="AA629" s="18">
        <v>202301</v>
      </c>
      <c r="AB629" t="str">
        <v>Aug-2023</v>
      </c>
      <c r="AC629">
        <f t="shared" si="135"/>
        <v>7</v>
      </c>
      <c r="AD629" t="str">
        <f t="shared" si="137"/>
        <v>Late</v>
      </c>
      <c r="AE629">
        <f t="shared" si="138"/>
        <v>0</v>
      </c>
      <c r="AF629">
        <f t="shared" si="139"/>
        <v>0</v>
      </c>
    </row>
    <row r="630" spans="1:32" x14ac:dyDescent="0.25">
      <c r="A630" s="3" t="s">
        <v>634</v>
      </c>
      <c r="B630" s="4">
        <v>45100</v>
      </c>
      <c r="C630" s="4" t="str">
        <f t="shared" si="126"/>
        <v>Jun-2023</v>
      </c>
      <c r="D630" s="4" t="str">
        <f t="shared" si="127"/>
        <v>Q2</v>
      </c>
      <c r="E630" s="4">
        <v>45125</v>
      </c>
      <c r="F630" s="10">
        <f t="shared" si="128"/>
        <v>25</v>
      </c>
      <c r="G630" s="3" t="s">
        <v>640</v>
      </c>
      <c r="H630" s="3" t="s">
        <v>645</v>
      </c>
      <c r="I630" s="3" t="s">
        <v>680</v>
      </c>
      <c r="J630" t="str">
        <f t="shared" si="129"/>
        <v>Americas &gt; Canada &gt; Vancouver</v>
      </c>
      <c r="K630" s="3" t="s">
        <v>698</v>
      </c>
      <c r="L630" s="3" t="s">
        <v>700</v>
      </c>
      <c r="M630" s="3" t="s">
        <v>717</v>
      </c>
      <c r="N630" s="3" t="s">
        <v>722</v>
      </c>
      <c r="O630" s="3" t="s">
        <v>1351</v>
      </c>
      <c r="P630" s="6">
        <v>807.02</v>
      </c>
      <c r="Q630" s="6">
        <v>1435.54</v>
      </c>
      <c r="R630" s="6" t="str">
        <f t="shared" si="130"/>
        <v>Medium</v>
      </c>
      <c r="S630" s="6">
        <v>0</v>
      </c>
      <c r="T630" s="6">
        <v>23</v>
      </c>
      <c r="U630">
        <f t="shared" si="131"/>
        <v>33017.42</v>
      </c>
      <c r="V630">
        <f t="shared" si="136"/>
        <v>40476.013200000001</v>
      </c>
      <c r="W630">
        <f t="shared" si="132"/>
        <v>18561.46</v>
      </c>
      <c r="X630" s="6">
        <f t="shared" si="133"/>
        <v>14455.96</v>
      </c>
      <c r="Y630">
        <f t="shared" si="134"/>
        <v>0.43782827368098415</v>
      </c>
      <c r="Z630">
        <v>202306</v>
      </c>
      <c r="AA630" s="18">
        <v>202301</v>
      </c>
      <c r="AB630" t="str">
        <v>Jun-2023</v>
      </c>
      <c r="AC630">
        <f t="shared" si="135"/>
        <v>5</v>
      </c>
      <c r="AD630" t="str">
        <f t="shared" si="137"/>
        <v>Late</v>
      </c>
      <c r="AE630">
        <f t="shared" si="138"/>
        <v>0</v>
      </c>
      <c r="AF630">
        <f t="shared" si="139"/>
        <v>0</v>
      </c>
    </row>
    <row r="631" spans="1:32" x14ac:dyDescent="0.25">
      <c r="A631" s="3" t="s">
        <v>635</v>
      </c>
      <c r="B631" s="4">
        <v>45267</v>
      </c>
      <c r="C631" s="4" t="str">
        <f t="shared" si="126"/>
        <v>Dec-2023</v>
      </c>
      <c r="D631" s="4" t="str">
        <f t="shared" si="127"/>
        <v>Q4</v>
      </c>
      <c r="E631" s="4">
        <v>45293</v>
      </c>
      <c r="F631" s="10">
        <f t="shared" si="128"/>
        <v>26</v>
      </c>
      <c r="G631" s="3" t="s">
        <v>641</v>
      </c>
      <c r="H631" s="3" t="s">
        <v>648</v>
      </c>
      <c r="I631" s="3" t="s">
        <v>690</v>
      </c>
      <c r="J631" t="str">
        <f t="shared" si="129"/>
        <v>Europe &gt; Germany &gt; Frankfurt</v>
      </c>
      <c r="K631" s="3" t="s">
        <v>698</v>
      </c>
      <c r="L631" s="3" t="s">
        <v>702</v>
      </c>
      <c r="M631" s="3" t="s">
        <v>710</v>
      </c>
      <c r="N631" s="3" t="s">
        <v>719</v>
      </c>
      <c r="O631" s="3" t="s">
        <v>1352</v>
      </c>
      <c r="P631" s="6">
        <v>1071.99</v>
      </c>
      <c r="Q631" s="6">
        <v>2397.3000000000002</v>
      </c>
      <c r="R631" s="6" t="str">
        <f t="shared" si="130"/>
        <v>High</v>
      </c>
      <c r="S631" s="6">
        <v>6.2E-2</v>
      </c>
      <c r="T631" s="6">
        <v>18</v>
      </c>
      <c r="U631">
        <f t="shared" si="131"/>
        <v>40476.013200000001</v>
      </c>
      <c r="V631">
        <f t="shared" si="136"/>
        <v>40476.013200000001</v>
      </c>
      <c r="W631">
        <f t="shared" si="132"/>
        <v>19295.82</v>
      </c>
      <c r="X631" s="6">
        <f t="shared" si="133"/>
        <v>21180.193200000002</v>
      </c>
      <c r="Y631">
        <f t="shared" si="134"/>
        <v>0.52327765324476183</v>
      </c>
      <c r="Z631">
        <v>202312</v>
      </c>
      <c r="AA631" s="18">
        <v>202301</v>
      </c>
      <c r="AB631" t="str">
        <v>Dec-2023</v>
      </c>
      <c r="AC631">
        <f t="shared" si="135"/>
        <v>11</v>
      </c>
      <c r="AD631" t="str">
        <f t="shared" si="137"/>
        <v>Late</v>
      </c>
      <c r="AE631">
        <f t="shared" si="138"/>
        <v>0</v>
      </c>
      <c r="AF631">
        <f t="shared" si="139"/>
        <v>0</v>
      </c>
    </row>
    <row r="632" spans="1:32" x14ac:dyDescent="0.25">
      <c r="A632" s="3" t="s">
        <v>636</v>
      </c>
      <c r="B632" s="4">
        <v>45249</v>
      </c>
      <c r="C632" s="4" t="str">
        <f t="shared" si="126"/>
        <v>Nov-2023</v>
      </c>
      <c r="D632" s="4" t="str">
        <f t="shared" si="127"/>
        <v>Q4</v>
      </c>
      <c r="E632" s="4">
        <v>45279</v>
      </c>
      <c r="F632" s="10">
        <f t="shared" si="128"/>
        <v>30</v>
      </c>
      <c r="G632" s="3" t="s">
        <v>639</v>
      </c>
      <c r="H632" s="3" t="s">
        <v>644</v>
      </c>
      <c r="I632" s="3" t="s">
        <v>686</v>
      </c>
      <c r="J632" t="str">
        <f t="shared" si="129"/>
        <v>Asia &gt; Japan &gt; Nagoya</v>
      </c>
      <c r="K632" s="3" t="s">
        <v>696</v>
      </c>
      <c r="L632" s="3" t="s">
        <v>699</v>
      </c>
      <c r="M632" s="3" t="s">
        <v>1413</v>
      </c>
      <c r="N632" s="3" t="s">
        <v>722</v>
      </c>
      <c r="O632" s="3" t="s">
        <v>1353</v>
      </c>
      <c r="P632" s="6">
        <v>807.11</v>
      </c>
      <c r="Q632" s="6">
        <v>1853.86</v>
      </c>
      <c r="R632" s="6" t="str">
        <f t="shared" si="130"/>
        <v>Medium</v>
      </c>
      <c r="S632" s="6">
        <v>0.13900000000000001</v>
      </c>
      <c r="T632" s="6">
        <v>8</v>
      </c>
      <c r="U632">
        <f t="shared" si="131"/>
        <v>12769.38768</v>
      </c>
      <c r="V632">
        <f t="shared" si="136"/>
        <v>0</v>
      </c>
      <c r="W632">
        <f t="shared" si="132"/>
        <v>6456.88</v>
      </c>
      <c r="X632" s="6">
        <f t="shared" si="133"/>
        <v>6312.5076799999997</v>
      </c>
      <c r="Y632">
        <f t="shared" si="134"/>
        <v>0.49434693645388639</v>
      </c>
      <c r="Z632">
        <v>202311</v>
      </c>
      <c r="AA632" s="18">
        <v>202303</v>
      </c>
      <c r="AB632" t="str">
        <v>Nov-2023</v>
      </c>
      <c r="AC632">
        <f t="shared" si="135"/>
        <v>8</v>
      </c>
      <c r="AD632" t="str">
        <f t="shared" si="137"/>
        <v>Late</v>
      </c>
      <c r="AE632">
        <f t="shared" si="138"/>
        <v>0</v>
      </c>
      <c r="AF632">
        <f t="shared" si="139"/>
        <v>0</v>
      </c>
    </row>
    <row r="633" spans="1:32" x14ac:dyDescent="0.25">
      <c r="A633" s="3" t="s">
        <v>637</v>
      </c>
      <c r="B633" s="4">
        <v>45716</v>
      </c>
      <c r="C633" s="4" t="str">
        <f t="shared" si="126"/>
        <v>Feb-2025</v>
      </c>
      <c r="D633" s="4" t="str">
        <f t="shared" si="127"/>
        <v>Q1</v>
      </c>
      <c r="E633" s="4">
        <v>45726</v>
      </c>
      <c r="F633" s="10">
        <f t="shared" si="128"/>
        <v>10</v>
      </c>
      <c r="G633" s="3" t="s">
        <v>639</v>
      </c>
      <c r="H633" s="3" t="s">
        <v>644</v>
      </c>
      <c r="I633" s="3" t="s">
        <v>658</v>
      </c>
      <c r="J633" t="str">
        <f t="shared" si="129"/>
        <v>Asia &gt; Japan &gt; Osaka</v>
      </c>
      <c r="K633" s="3" t="s">
        <v>694</v>
      </c>
      <c r="L633" s="3" t="s">
        <v>702</v>
      </c>
      <c r="M633" s="3" t="s">
        <v>717</v>
      </c>
      <c r="N633" s="3" t="s">
        <v>723</v>
      </c>
      <c r="O633" s="3" t="s">
        <v>1354</v>
      </c>
      <c r="P633" s="6">
        <v>51.86</v>
      </c>
      <c r="Q633" s="6">
        <v>45.98</v>
      </c>
      <c r="R633" s="6" t="str">
        <f t="shared" si="130"/>
        <v>Low</v>
      </c>
      <c r="S633" s="6">
        <v>0.17299999999999999</v>
      </c>
      <c r="T633" s="6">
        <v>7</v>
      </c>
      <c r="U633">
        <f t="shared" si="131"/>
        <v>266.17821999999995</v>
      </c>
      <c r="V633">
        <f t="shared" si="136"/>
        <v>0</v>
      </c>
      <c r="W633">
        <f t="shared" si="132"/>
        <v>363.02</v>
      </c>
      <c r="X633" s="6">
        <f t="shared" si="133"/>
        <v>-96.841780000000028</v>
      </c>
      <c r="Y633">
        <f t="shared" si="134"/>
        <v>-0.3638230806412337</v>
      </c>
      <c r="Z633">
        <v>202502</v>
      </c>
      <c r="AA633" s="18">
        <v>202303</v>
      </c>
      <c r="AB633" t="str">
        <v>Feb-2023</v>
      </c>
      <c r="AC633">
        <f t="shared" si="135"/>
        <v>23</v>
      </c>
      <c r="AD633" t="str">
        <f t="shared" si="137"/>
        <v>Late</v>
      </c>
      <c r="AE633">
        <f t="shared" si="138"/>
        <v>0</v>
      </c>
      <c r="AF633">
        <f t="shared" si="139"/>
        <v>0</v>
      </c>
    </row>
    <row r="634" spans="1:32" x14ac:dyDescent="0.25">
      <c r="AA634" s="18"/>
      <c r="AB634"/>
    </row>
    <row r="635" spans="1:32" x14ac:dyDescent="0.25">
      <c r="AA635" s="18"/>
      <c r="AB635"/>
    </row>
    <row r="636" spans="1:32" x14ac:dyDescent="0.25">
      <c r="AA636" s="18"/>
      <c r="AB636"/>
    </row>
    <row r="637" spans="1:32" x14ac:dyDescent="0.25">
      <c r="AA637" s="18"/>
      <c r="AB637"/>
    </row>
    <row r="638" spans="1:32" x14ac:dyDescent="0.25">
      <c r="AA638" s="18"/>
      <c r="AB638"/>
    </row>
    <row r="639" spans="1:32" x14ac:dyDescent="0.25">
      <c r="AA639" s="18"/>
      <c r="AB639"/>
    </row>
    <row r="640" spans="1:32" x14ac:dyDescent="0.25">
      <c r="AA640" s="18"/>
      <c r="AB640"/>
    </row>
    <row r="641" spans="27:28" x14ac:dyDescent="0.25">
      <c r="AA641" s="18"/>
      <c r="AB641"/>
    </row>
    <row r="642" spans="27:28" x14ac:dyDescent="0.25">
      <c r="AA642" s="18"/>
      <c r="AB642"/>
    </row>
  </sheetData>
  <autoFilter ref="U1:U1264" xr:uid="{00000000-0001-0000-0000-000000000000}"/>
  <conditionalFormatting sqref="J1 I1:I1048576 L1:M1048576">
    <cfRule type="containsBlanks" dxfId="0" priority="2">
      <formula>LEN(TRIM(I1))=0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22B95-FD87-4ADF-9DB0-2F641748EF8D}">
  <dimension ref="A1:AF633"/>
  <sheetViews>
    <sheetView workbookViewId="0">
      <pane ySplit="1" topLeftCell="A566" activePane="bottomLeft" state="frozen"/>
      <selection activeCell="U1" sqref="U1"/>
      <selection pane="bottomLeft" activeCell="AL629" sqref="AL629"/>
    </sheetView>
  </sheetViews>
  <sheetFormatPr defaultRowHeight="15" x14ac:dyDescent="0.25"/>
  <cols>
    <col min="1" max="1" width="16.42578125" bestFit="1" customWidth="1"/>
    <col min="2" max="2" width="13" style="4" bestFit="1" customWidth="1"/>
    <col min="3" max="3" width="9.7109375" bestFit="1" customWidth="1"/>
    <col min="4" max="4" width="11" bestFit="1" customWidth="1"/>
    <col min="5" max="5" width="16.140625" style="4" bestFit="1" customWidth="1"/>
    <col min="6" max="6" width="17" bestFit="1" customWidth="1"/>
    <col min="7" max="7" width="9.42578125" bestFit="1" customWidth="1"/>
    <col min="8" max="8" width="15.42578125" bestFit="1" customWidth="1"/>
    <col min="9" max="9" width="13.5703125" bestFit="1" customWidth="1"/>
    <col min="10" max="10" width="38" hidden="1" customWidth="1"/>
    <col min="11" max="11" width="20.42578125" bestFit="1" customWidth="1"/>
    <col min="12" max="12" width="12.7109375" bestFit="1" customWidth="1"/>
    <col min="13" max="13" width="14" bestFit="1" customWidth="1"/>
    <col min="14" max="14" width="18.5703125" bestFit="1" customWidth="1"/>
    <col min="15" max="15" width="10.28515625" bestFit="1" customWidth="1"/>
    <col min="16" max="16" width="11.42578125" bestFit="1" customWidth="1"/>
    <col min="17" max="17" width="12" bestFit="1" customWidth="1"/>
    <col min="18" max="18" width="13.42578125" bestFit="1" customWidth="1"/>
    <col min="19" max="19" width="14.140625" style="31" bestFit="1" customWidth="1"/>
    <col min="20" max="20" width="11" bestFit="1" customWidth="1"/>
    <col min="21" max="21" width="16.7109375" bestFit="1" customWidth="1"/>
    <col min="22" max="22" width="19.5703125" bestFit="1" customWidth="1"/>
    <col min="23" max="23" width="16" bestFit="1" customWidth="1"/>
    <col min="24" max="24" width="13.7109375" bestFit="1" customWidth="1"/>
    <col min="25" max="25" width="12.7109375" style="31" bestFit="1" customWidth="1"/>
    <col min="26" max="26" width="18.5703125" hidden="1" customWidth="1"/>
    <col min="27" max="27" width="23.85546875" hidden="1" customWidth="1"/>
    <col min="28" max="28" width="20.5703125" hidden="1" customWidth="1"/>
    <col min="29" max="29" width="18.85546875" hidden="1" customWidth="1"/>
    <col min="30" max="30" width="10.7109375" hidden="1" customWidth="1"/>
    <col min="31" max="31" width="18.28515625" customWidth="1"/>
    <col min="32" max="32" width="15.5703125" customWidth="1"/>
  </cols>
  <sheetData>
    <row r="1" spans="1:32" x14ac:dyDescent="0.25">
      <c r="A1" t="s">
        <v>0</v>
      </c>
      <c r="B1" s="4" t="s">
        <v>1424</v>
      </c>
      <c r="C1" t="s">
        <v>1418</v>
      </c>
      <c r="D1" t="s">
        <v>1419</v>
      </c>
      <c r="E1" s="4" t="s">
        <v>1414</v>
      </c>
      <c r="F1" t="s">
        <v>1415</v>
      </c>
      <c r="G1" t="s">
        <v>1</v>
      </c>
      <c r="H1" t="s">
        <v>2</v>
      </c>
      <c r="I1" t="s">
        <v>3</v>
      </c>
      <c r="J1" t="s">
        <v>1420</v>
      </c>
      <c r="K1" t="s">
        <v>1425</v>
      </c>
      <c r="L1" t="s">
        <v>4</v>
      </c>
      <c r="M1" t="s">
        <v>5</v>
      </c>
      <c r="N1" t="s">
        <v>1426</v>
      </c>
      <c r="O1" t="s">
        <v>6</v>
      </c>
      <c r="P1" t="s">
        <v>1427</v>
      </c>
      <c r="Q1" t="s">
        <v>1428</v>
      </c>
      <c r="R1" t="s">
        <v>1423</v>
      </c>
      <c r="S1" s="31" t="s">
        <v>1433</v>
      </c>
      <c r="T1" t="s">
        <v>7</v>
      </c>
      <c r="U1" t="s">
        <v>1429</v>
      </c>
      <c r="V1" t="s">
        <v>1442</v>
      </c>
      <c r="W1" t="s">
        <v>1430</v>
      </c>
      <c r="X1" t="s">
        <v>1431</v>
      </c>
      <c r="Y1" s="31" t="s">
        <v>1432</v>
      </c>
      <c r="Z1" t="s">
        <v>1436</v>
      </c>
      <c r="AA1" t="s">
        <v>1439</v>
      </c>
      <c r="AB1" t="s">
        <v>1440</v>
      </c>
      <c r="AC1" t="s">
        <v>1437</v>
      </c>
      <c r="AD1" t="s">
        <v>1483</v>
      </c>
      <c r="AE1" t="s">
        <v>1485</v>
      </c>
      <c r="AF1" t="s">
        <v>1487</v>
      </c>
    </row>
    <row r="2" spans="1:32" x14ac:dyDescent="0.25">
      <c r="A2" t="s">
        <v>1416</v>
      </c>
      <c r="B2" s="4">
        <v>45362</v>
      </c>
      <c r="C2" t="s">
        <v>1470</v>
      </c>
      <c r="D2" t="s">
        <v>1479</v>
      </c>
      <c r="E2" s="4">
        <v>45388</v>
      </c>
      <c r="F2">
        <v>26</v>
      </c>
      <c r="G2" t="s">
        <v>638</v>
      </c>
      <c r="H2" t="s">
        <v>642</v>
      </c>
      <c r="I2" t="s">
        <v>654</v>
      </c>
      <c r="J2" t="s">
        <v>1489</v>
      </c>
      <c r="K2" t="s">
        <v>693</v>
      </c>
      <c r="L2" t="s">
        <v>699</v>
      </c>
      <c r="M2" t="s">
        <v>704</v>
      </c>
      <c r="N2" t="s">
        <v>719</v>
      </c>
      <c r="O2" t="s">
        <v>1441</v>
      </c>
      <c r="P2">
        <v>279.24</v>
      </c>
      <c r="Q2">
        <v>608.9</v>
      </c>
      <c r="R2" t="s">
        <v>1490</v>
      </c>
      <c r="S2" s="31">
        <v>0.112</v>
      </c>
      <c r="T2">
        <v>9</v>
      </c>
      <c r="U2">
        <v>4866.3287999999993</v>
      </c>
      <c r="V2">
        <v>1545646.9975800004</v>
      </c>
      <c r="W2">
        <v>2513.16</v>
      </c>
      <c r="X2">
        <v>2353.1687999999995</v>
      </c>
      <c r="Y2" s="31">
        <v>0.48356140670149533</v>
      </c>
      <c r="Z2">
        <v>202403</v>
      </c>
      <c r="AA2">
        <v>202301</v>
      </c>
      <c r="AB2" t="s">
        <v>1469</v>
      </c>
      <c r="AC2">
        <v>14</v>
      </c>
      <c r="AD2" t="s">
        <v>1484</v>
      </c>
      <c r="AE2">
        <v>0</v>
      </c>
      <c r="AF2">
        <v>0</v>
      </c>
    </row>
    <row r="3" spans="1:32" x14ac:dyDescent="0.25">
      <c r="A3" t="s">
        <v>8</v>
      </c>
      <c r="B3" s="4">
        <v>45588</v>
      </c>
      <c r="C3" t="s">
        <v>1464</v>
      </c>
      <c r="D3" t="s">
        <v>1482</v>
      </c>
      <c r="E3" s="4">
        <v>45589</v>
      </c>
      <c r="F3">
        <v>1</v>
      </c>
      <c r="G3" t="s">
        <v>638</v>
      </c>
      <c r="H3" t="s">
        <v>643</v>
      </c>
      <c r="I3" t="s">
        <v>655</v>
      </c>
      <c r="J3" t="s">
        <v>1491</v>
      </c>
      <c r="K3" t="s">
        <v>694</v>
      </c>
      <c r="L3" t="s">
        <v>700</v>
      </c>
      <c r="M3" t="s">
        <v>705</v>
      </c>
      <c r="N3" t="s">
        <v>720</v>
      </c>
      <c r="O3" t="s">
        <v>726</v>
      </c>
      <c r="P3">
        <v>1084.3900000000001</v>
      </c>
      <c r="Q3">
        <v>759.33</v>
      </c>
      <c r="R3" t="s">
        <v>1492</v>
      </c>
      <c r="S3" s="31">
        <v>0.23699999999999999</v>
      </c>
      <c r="T3">
        <v>31</v>
      </c>
      <c r="U3">
        <v>17960.432489999999</v>
      </c>
      <c r="V3">
        <v>1540780.6687800002</v>
      </c>
      <c r="W3">
        <v>33616.090000000004</v>
      </c>
      <c r="X3">
        <v>-15655.657510000005</v>
      </c>
      <c r="Y3" s="31">
        <v>-0.87167486187856302</v>
      </c>
      <c r="Z3">
        <v>202410</v>
      </c>
      <c r="AA3">
        <v>202301</v>
      </c>
      <c r="AB3" t="s">
        <v>1476</v>
      </c>
      <c r="AC3">
        <v>21</v>
      </c>
      <c r="AD3" t="s">
        <v>1483</v>
      </c>
      <c r="AE3">
        <v>1</v>
      </c>
      <c r="AF3">
        <v>1</v>
      </c>
    </row>
    <row r="4" spans="1:32" x14ac:dyDescent="0.25">
      <c r="A4" t="s">
        <v>9</v>
      </c>
      <c r="B4" s="4">
        <v>44985</v>
      </c>
      <c r="C4" t="s">
        <v>1451</v>
      </c>
      <c r="D4" t="s">
        <v>1479</v>
      </c>
      <c r="E4" s="4">
        <v>45010</v>
      </c>
      <c r="F4">
        <v>25</v>
      </c>
      <c r="G4" t="s">
        <v>638</v>
      </c>
      <c r="H4" t="s">
        <v>642</v>
      </c>
      <c r="I4" t="s">
        <v>656</v>
      </c>
      <c r="J4" t="s">
        <v>1493</v>
      </c>
      <c r="K4" t="s">
        <v>693</v>
      </c>
      <c r="L4" t="s">
        <v>699</v>
      </c>
      <c r="M4" t="s">
        <v>706</v>
      </c>
      <c r="N4" t="s">
        <v>721</v>
      </c>
      <c r="O4" t="s">
        <v>727</v>
      </c>
      <c r="P4">
        <v>1460.76</v>
      </c>
      <c r="Q4">
        <v>30.66</v>
      </c>
      <c r="R4" t="s">
        <v>1492</v>
      </c>
      <c r="S4" s="31">
        <v>0.13100000000000001</v>
      </c>
      <c r="T4">
        <v>12</v>
      </c>
      <c r="U4">
        <v>319.72248000000002</v>
      </c>
      <c r="V4">
        <v>1540780.6687800002</v>
      </c>
      <c r="W4">
        <v>17529.12</v>
      </c>
      <c r="X4">
        <v>-17209.397519999999</v>
      </c>
      <c r="Y4" s="31">
        <v>-53.826047890032626</v>
      </c>
      <c r="Z4">
        <v>202302</v>
      </c>
      <c r="AA4">
        <v>202301</v>
      </c>
      <c r="AB4" t="s">
        <v>1451</v>
      </c>
      <c r="AC4">
        <v>1</v>
      </c>
      <c r="AD4" t="s">
        <v>1484</v>
      </c>
      <c r="AE4">
        <v>0</v>
      </c>
      <c r="AF4">
        <v>0</v>
      </c>
    </row>
    <row r="5" spans="1:32" x14ac:dyDescent="0.25">
      <c r="A5" t="s">
        <v>10</v>
      </c>
      <c r="B5" s="4">
        <v>45745</v>
      </c>
      <c r="C5" t="s">
        <v>1461</v>
      </c>
      <c r="D5" t="s">
        <v>1479</v>
      </c>
      <c r="E5" s="4">
        <v>45749</v>
      </c>
      <c r="F5">
        <v>4</v>
      </c>
      <c r="G5" t="s">
        <v>638</v>
      </c>
      <c r="H5" t="s">
        <v>643</v>
      </c>
      <c r="I5" t="s">
        <v>657</v>
      </c>
      <c r="J5" t="s">
        <v>1494</v>
      </c>
      <c r="K5" t="s">
        <v>695</v>
      </c>
      <c r="L5" t="s">
        <v>701</v>
      </c>
      <c r="M5" t="s">
        <v>707</v>
      </c>
      <c r="N5" t="s">
        <v>722</v>
      </c>
      <c r="O5" t="s">
        <v>728</v>
      </c>
      <c r="P5">
        <v>259.93</v>
      </c>
      <c r="Q5">
        <v>255.94</v>
      </c>
      <c r="R5" t="s">
        <v>1490</v>
      </c>
      <c r="S5" s="31">
        <v>7.1999999999999995E-2</v>
      </c>
      <c r="T5">
        <v>22</v>
      </c>
      <c r="U5">
        <v>5225.2710400000005</v>
      </c>
      <c r="V5">
        <v>1540780.6687800002</v>
      </c>
      <c r="W5">
        <v>5718.46</v>
      </c>
      <c r="X5">
        <v>-493.1889599999995</v>
      </c>
      <c r="Y5" s="31">
        <v>-9.4385335463861311E-2</v>
      </c>
      <c r="Z5">
        <v>202503</v>
      </c>
      <c r="AA5">
        <v>202301</v>
      </c>
      <c r="AB5" t="s">
        <v>1469</v>
      </c>
      <c r="AC5">
        <v>26</v>
      </c>
      <c r="AD5" t="s">
        <v>1483</v>
      </c>
      <c r="AE5">
        <v>1</v>
      </c>
      <c r="AF5">
        <v>0</v>
      </c>
    </row>
    <row r="6" spans="1:32" x14ac:dyDescent="0.25">
      <c r="A6" t="s">
        <v>11</v>
      </c>
      <c r="B6" s="4">
        <v>45266</v>
      </c>
      <c r="C6" t="s">
        <v>1450</v>
      </c>
      <c r="D6" t="s">
        <v>1482</v>
      </c>
      <c r="E6" s="4">
        <v>45291</v>
      </c>
      <c r="F6">
        <v>25</v>
      </c>
      <c r="G6" t="s">
        <v>639</v>
      </c>
      <c r="H6" t="s">
        <v>644</v>
      </c>
      <c r="I6" t="s">
        <v>658</v>
      </c>
      <c r="J6" t="s">
        <v>1495</v>
      </c>
      <c r="K6" t="s">
        <v>696</v>
      </c>
      <c r="L6" t="s">
        <v>699</v>
      </c>
      <c r="M6" t="s">
        <v>708</v>
      </c>
      <c r="N6" t="s">
        <v>720</v>
      </c>
      <c r="O6" t="s">
        <v>729</v>
      </c>
      <c r="P6">
        <v>663.03</v>
      </c>
      <c r="Q6">
        <v>813.51</v>
      </c>
      <c r="R6" t="s">
        <v>1496</v>
      </c>
      <c r="S6" s="31">
        <v>0.10199999999999999</v>
      </c>
      <c r="T6">
        <v>15</v>
      </c>
      <c r="U6">
        <v>10957.9797</v>
      </c>
      <c r="V6">
        <v>1540780.6687800002</v>
      </c>
      <c r="W6">
        <v>9945.4499999999989</v>
      </c>
      <c r="X6">
        <v>1012.529700000001</v>
      </c>
      <c r="Y6" s="31">
        <v>9.2401129379715952E-2</v>
      </c>
      <c r="Z6">
        <v>202312</v>
      </c>
      <c r="AA6">
        <v>202303</v>
      </c>
      <c r="AB6" t="s">
        <v>1450</v>
      </c>
      <c r="AC6">
        <v>9</v>
      </c>
      <c r="AD6" t="s">
        <v>1484</v>
      </c>
      <c r="AE6">
        <v>0</v>
      </c>
      <c r="AF6">
        <v>0</v>
      </c>
    </row>
    <row r="7" spans="1:32" x14ac:dyDescent="0.25">
      <c r="A7" t="s">
        <v>12</v>
      </c>
      <c r="B7" s="4">
        <v>44928</v>
      </c>
      <c r="C7" t="s">
        <v>1477</v>
      </c>
      <c r="D7" t="s">
        <v>1479</v>
      </c>
      <c r="E7" s="4">
        <v>44931</v>
      </c>
      <c r="F7">
        <v>3</v>
      </c>
      <c r="G7" t="s">
        <v>640</v>
      </c>
      <c r="H7" t="s">
        <v>645</v>
      </c>
      <c r="I7" t="s">
        <v>659</v>
      </c>
      <c r="J7" t="s">
        <v>1497</v>
      </c>
      <c r="K7" t="s">
        <v>693</v>
      </c>
      <c r="L7" t="s">
        <v>702</v>
      </c>
      <c r="M7" t="s">
        <v>709</v>
      </c>
      <c r="N7" t="s">
        <v>723</v>
      </c>
      <c r="O7" t="s">
        <v>730</v>
      </c>
      <c r="P7">
        <v>315.87</v>
      </c>
      <c r="Q7">
        <v>591.67999999999995</v>
      </c>
      <c r="R7" t="s">
        <v>1490</v>
      </c>
      <c r="S7" s="31">
        <v>0</v>
      </c>
      <c r="T7">
        <v>7</v>
      </c>
      <c r="U7">
        <v>4141.7599999999993</v>
      </c>
      <c r="V7">
        <v>1540780.6687800002</v>
      </c>
      <c r="W7">
        <v>2211.09</v>
      </c>
      <c r="X7">
        <v>1930.6699999999992</v>
      </c>
      <c r="Y7" s="31">
        <v>0.46614724175229844</v>
      </c>
      <c r="Z7">
        <v>202301</v>
      </c>
      <c r="AA7">
        <v>202301</v>
      </c>
      <c r="AB7" t="s">
        <v>1477</v>
      </c>
      <c r="AC7">
        <v>0</v>
      </c>
      <c r="AD7" t="s">
        <v>1483</v>
      </c>
      <c r="AE7">
        <v>1</v>
      </c>
      <c r="AF7">
        <v>0</v>
      </c>
    </row>
    <row r="8" spans="1:32" x14ac:dyDescent="0.25">
      <c r="A8" t="s">
        <v>13</v>
      </c>
      <c r="B8" s="4">
        <v>45653</v>
      </c>
      <c r="C8" t="s">
        <v>1478</v>
      </c>
      <c r="D8" t="s">
        <v>1482</v>
      </c>
      <c r="E8" s="4">
        <v>45671</v>
      </c>
      <c r="F8">
        <v>18</v>
      </c>
      <c r="G8" t="s">
        <v>639</v>
      </c>
      <c r="H8" t="s">
        <v>646</v>
      </c>
      <c r="I8" t="s">
        <v>660</v>
      </c>
      <c r="J8" t="s">
        <v>1498</v>
      </c>
      <c r="K8" t="s">
        <v>697</v>
      </c>
      <c r="L8" t="s">
        <v>701</v>
      </c>
      <c r="M8" t="s">
        <v>710</v>
      </c>
      <c r="N8" t="s">
        <v>724</v>
      </c>
      <c r="O8" t="s">
        <v>731</v>
      </c>
      <c r="P8">
        <v>586.07000000000005</v>
      </c>
      <c r="Q8">
        <v>845.97</v>
      </c>
      <c r="R8" t="s">
        <v>1496</v>
      </c>
      <c r="S8" s="31">
        <v>0.14699999999999999</v>
      </c>
      <c r="T8">
        <v>4</v>
      </c>
      <c r="U8">
        <v>2886.4496399999998</v>
      </c>
      <c r="V8">
        <v>1540780.6687800002</v>
      </c>
      <c r="W8">
        <v>2344.2800000000002</v>
      </c>
      <c r="X8">
        <v>542.16963999999962</v>
      </c>
      <c r="Y8" s="31">
        <v>0.18783270370862928</v>
      </c>
      <c r="Z8">
        <v>202412</v>
      </c>
      <c r="AA8">
        <v>202301</v>
      </c>
      <c r="AB8" t="s">
        <v>1450</v>
      </c>
      <c r="AC8">
        <v>23</v>
      </c>
      <c r="AD8" t="s">
        <v>1484</v>
      </c>
      <c r="AE8">
        <v>0</v>
      </c>
      <c r="AF8">
        <v>0</v>
      </c>
    </row>
    <row r="9" spans="1:32" x14ac:dyDescent="0.25">
      <c r="A9" t="s">
        <v>14</v>
      </c>
      <c r="B9" s="4">
        <v>44941</v>
      </c>
      <c r="C9" t="s">
        <v>1477</v>
      </c>
      <c r="D9" t="s">
        <v>1479</v>
      </c>
      <c r="E9" s="4">
        <v>44943</v>
      </c>
      <c r="F9">
        <v>2</v>
      </c>
      <c r="G9" t="s">
        <v>638</v>
      </c>
      <c r="H9" t="s">
        <v>643</v>
      </c>
      <c r="I9" t="s">
        <v>661</v>
      </c>
      <c r="J9" t="s">
        <v>1499</v>
      </c>
      <c r="K9" t="s">
        <v>694</v>
      </c>
      <c r="L9" t="s">
        <v>700</v>
      </c>
      <c r="M9" t="s">
        <v>711</v>
      </c>
      <c r="N9" t="s">
        <v>720</v>
      </c>
      <c r="O9" t="s">
        <v>732</v>
      </c>
      <c r="P9">
        <v>28.38</v>
      </c>
      <c r="Q9">
        <v>47.22</v>
      </c>
      <c r="R9" t="s">
        <v>1490</v>
      </c>
      <c r="S9" s="31">
        <v>0.19400000000000001</v>
      </c>
      <c r="T9">
        <v>18</v>
      </c>
      <c r="U9">
        <v>685.06776000000002</v>
      </c>
      <c r="V9">
        <v>1540780.6687800002</v>
      </c>
      <c r="W9">
        <v>510.84</v>
      </c>
      <c r="X9">
        <v>174.22776000000005</v>
      </c>
      <c r="Y9" s="31">
        <v>0.25432193743871417</v>
      </c>
      <c r="Z9">
        <v>202301</v>
      </c>
      <c r="AA9">
        <v>202301</v>
      </c>
      <c r="AB9" t="s">
        <v>1477</v>
      </c>
      <c r="AC9">
        <v>0</v>
      </c>
      <c r="AD9" t="s">
        <v>1483</v>
      </c>
      <c r="AE9">
        <v>1</v>
      </c>
      <c r="AF9">
        <v>0</v>
      </c>
    </row>
    <row r="10" spans="1:32" x14ac:dyDescent="0.25">
      <c r="A10" t="s">
        <v>15</v>
      </c>
      <c r="B10" s="4">
        <v>45416</v>
      </c>
      <c r="C10" t="s">
        <v>1463</v>
      </c>
      <c r="D10" t="s">
        <v>1480</v>
      </c>
      <c r="E10" s="4">
        <v>45441</v>
      </c>
      <c r="F10">
        <v>25</v>
      </c>
      <c r="G10" t="s">
        <v>638</v>
      </c>
      <c r="H10" t="s">
        <v>643</v>
      </c>
      <c r="I10" t="s">
        <v>661</v>
      </c>
      <c r="J10" t="s">
        <v>1499</v>
      </c>
      <c r="K10" t="s">
        <v>695</v>
      </c>
      <c r="L10" t="s">
        <v>701</v>
      </c>
      <c r="M10" t="s">
        <v>711</v>
      </c>
      <c r="N10" t="s">
        <v>724</v>
      </c>
      <c r="O10" t="s">
        <v>733</v>
      </c>
      <c r="P10">
        <v>1295.3399999999999</v>
      </c>
      <c r="Q10">
        <v>2530.81</v>
      </c>
      <c r="R10" t="s">
        <v>1492</v>
      </c>
      <c r="S10" s="31">
        <v>3.1E-2</v>
      </c>
      <c r="T10">
        <v>6</v>
      </c>
      <c r="U10">
        <v>14714.12934</v>
      </c>
      <c r="V10">
        <v>1540780.6687800002</v>
      </c>
      <c r="W10">
        <v>7772.0399999999991</v>
      </c>
      <c r="X10">
        <v>6942.0893400000004</v>
      </c>
      <c r="Y10" s="31">
        <v>0.4717974933880798</v>
      </c>
      <c r="Z10">
        <v>202405</v>
      </c>
      <c r="AA10">
        <v>202301</v>
      </c>
      <c r="AB10" t="s">
        <v>1462</v>
      </c>
      <c r="AC10">
        <v>16</v>
      </c>
      <c r="AD10" t="s">
        <v>1484</v>
      </c>
      <c r="AE10">
        <v>0</v>
      </c>
      <c r="AF10">
        <v>0</v>
      </c>
    </row>
    <row r="11" spans="1:32" x14ac:dyDescent="0.25">
      <c r="A11" t="s">
        <v>16</v>
      </c>
      <c r="B11" s="4">
        <v>45798</v>
      </c>
      <c r="C11" t="s">
        <v>1471</v>
      </c>
      <c r="D11" t="s">
        <v>1480</v>
      </c>
      <c r="E11" s="4">
        <v>45817</v>
      </c>
      <c r="F11">
        <v>19</v>
      </c>
      <c r="G11" t="s">
        <v>640</v>
      </c>
      <c r="H11" t="s">
        <v>647</v>
      </c>
      <c r="I11" t="s">
        <v>662</v>
      </c>
      <c r="J11" t="s">
        <v>1500</v>
      </c>
      <c r="K11" t="s">
        <v>695</v>
      </c>
      <c r="L11" t="s">
        <v>700</v>
      </c>
      <c r="M11" t="s">
        <v>712</v>
      </c>
      <c r="N11" t="s">
        <v>719</v>
      </c>
      <c r="O11" t="s">
        <v>734</v>
      </c>
      <c r="P11">
        <v>1331.38</v>
      </c>
      <c r="Q11">
        <v>2309.56</v>
      </c>
      <c r="R11" t="s">
        <v>1492</v>
      </c>
      <c r="S11" s="31">
        <v>0.14899999999999999</v>
      </c>
      <c r="T11">
        <v>31</v>
      </c>
      <c r="U11">
        <v>60928.502359999999</v>
      </c>
      <c r="V11">
        <v>1540780.6687800002</v>
      </c>
      <c r="W11">
        <v>41272.780000000006</v>
      </c>
      <c r="X11">
        <v>19655.722359999992</v>
      </c>
      <c r="Y11" s="31">
        <v>0.32260307735553528</v>
      </c>
      <c r="Z11">
        <v>202505</v>
      </c>
      <c r="AA11">
        <v>202301</v>
      </c>
      <c r="AB11" t="s">
        <v>1462</v>
      </c>
      <c r="AC11">
        <v>28</v>
      </c>
      <c r="AD11" t="s">
        <v>1484</v>
      </c>
      <c r="AE11">
        <v>0</v>
      </c>
      <c r="AF11">
        <v>0</v>
      </c>
    </row>
    <row r="12" spans="1:32" x14ac:dyDescent="0.25">
      <c r="A12" t="s">
        <v>17</v>
      </c>
      <c r="B12" s="4">
        <v>45319</v>
      </c>
      <c r="C12" t="s">
        <v>1454</v>
      </c>
      <c r="D12" t="s">
        <v>1479</v>
      </c>
      <c r="E12" s="4">
        <v>45331</v>
      </c>
      <c r="F12">
        <v>12</v>
      </c>
      <c r="G12" t="s">
        <v>641</v>
      </c>
      <c r="H12" t="s">
        <v>648</v>
      </c>
      <c r="I12" t="s">
        <v>663</v>
      </c>
      <c r="J12" t="s">
        <v>1501</v>
      </c>
      <c r="K12" t="s">
        <v>693</v>
      </c>
      <c r="L12" t="s">
        <v>700</v>
      </c>
      <c r="M12" t="s">
        <v>707</v>
      </c>
      <c r="N12" t="s">
        <v>725</v>
      </c>
      <c r="O12" t="s">
        <v>735</v>
      </c>
      <c r="P12">
        <v>644.16999999999996</v>
      </c>
      <c r="Q12">
        <v>700.12</v>
      </c>
      <c r="R12" t="s">
        <v>1496</v>
      </c>
      <c r="S12" s="31">
        <v>6.0000000000000001E-3</v>
      </c>
      <c r="T12">
        <v>23</v>
      </c>
      <c r="U12">
        <v>16006.14344</v>
      </c>
      <c r="V12">
        <v>1479852.1664200001</v>
      </c>
      <c r="W12">
        <v>14815.91</v>
      </c>
      <c r="X12">
        <v>1190.23344</v>
      </c>
      <c r="Y12" s="31">
        <v>7.436103796405813E-2</v>
      </c>
      <c r="Z12">
        <v>202401</v>
      </c>
      <c r="AA12">
        <v>202301</v>
      </c>
      <c r="AB12" t="s">
        <v>1477</v>
      </c>
      <c r="AC12">
        <v>12</v>
      </c>
      <c r="AD12" t="s">
        <v>1484</v>
      </c>
      <c r="AE12">
        <v>0</v>
      </c>
      <c r="AF12">
        <v>0</v>
      </c>
    </row>
    <row r="13" spans="1:32" x14ac:dyDescent="0.25">
      <c r="A13" t="s">
        <v>18</v>
      </c>
      <c r="B13" s="4">
        <v>45660</v>
      </c>
      <c r="C13" t="s">
        <v>1455</v>
      </c>
      <c r="D13" t="s">
        <v>1479</v>
      </c>
      <c r="E13" s="4">
        <v>45680</v>
      </c>
      <c r="F13">
        <v>20</v>
      </c>
      <c r="G13" t="s">
        <v>639</v>
      </c>
      <c r="H13" t="s">
        <v>644</v>
      </c>
      <c r="I13" t="s">
        <v>658</v>
      </c>
      <c r="J13" t="s">
        <v>1495</v>
      </c>
      <c r="K13" t="s">
        <v>693</v>
      </c>
      <c r="L13" t="s">
        <v>702</v>
      </c>
      <c r="M13" t="s">
        <v>713</v>
      </c>
      <c r="N13" t="s">
        <v>722</v>
      </c>
      <c r="O13" t="s">
        <v>736</v>
      </c>
      <c r="P13">
        <v>908.6</v>
      </c>
      <c r="Q13">
        <v>691.37</v>
      </c>
      <c r="R13" t="s">
        <v>1496</v>
      </c>
      <c r="S13" s="31">
        <v>0.25</v>
      </c>
      <c r="T13">
        <v>20</v>
      </c>
      <c r="U13">
        <v>10370.549999999999</v>
      </c>
      <c r="V13">
        <v>1479852.1664200001</v>
      </c>
      <c r="W13">
        <v>18172</v>
      </c>
      <c r="X13">
        <v>-7801.4500000000007</v>
      </c>
      <c r="Y13" s="31">
        <v>-0.75226964818645115</v>
      </c>
      <c r="Z13">
        <v>202501</v>
      </c>
      <c r="AA13">
        <v>202303</v>
      </c>
      <c r="AB13" t="s">
        <v>1477</v>
      </c>
      <c r="AC13">
        <v>22</v>
      </c>
      <c r="AD13" t="s">
        <v>1484</v>
      </c>
      <c r="AE13">
        <v>0</v>
      </c>
      <c r="AF13">
        <v>1</v>
      </c>
    </row>
    <row r="14" spans="1:32" x14ac:dyDescent="0.25">
      <c r="A14" t="s">
        <v>19</v>
      </c>
      <c r="B14" s="4">
        <v>45722</v>
      </c>
      <c r="C14" t="s">
        <v>1461</v>
      </c>
      <c r="D14" t="s">
        <v>1479</v>
      </c>
      <c r="E14" s="4">
        <v>45747</v>
      </c>
      <c r="F14">
        <v>25</v>
      </c>
      <c r="G14" t="s">
        <v>640</v>
      </c>
      <c r="H14" t="s">
        <v>647</v>
      </c>
      <c r="I14" t="s">
        <v>664</v>
      </c>
      <c r="J14" t="s">
        <v>1502</v>
      </c>
      <c r="K14" t="s">
        <v>695</v>
      </c>
      <c r="L14" t="s">
        <v>700</v>
      </c>
      <c r="M14" t="s">
        <v>705</v>
      </c>
      <c r="N14" t="s">
        <v>719</v>
      </c>
      <c r="O14" t="s">
        <v>737</v>
      </c>
      <c r="P14">
        <v>331.57</v>
      </c>
      <c r="Q14">
        <v>548.4</v>
      </c>
      <c r="R14" t="s">
        <v>1490</v>
      </c>
      <c r="S14" s="31">
        <v>9.4E-2</v>
      </c>
      <c r="T14">
        <v>10</v>
      </c>
      <c r="U14">
        <v>4968.5039999999999</v>
      </c>
      <c r="V14">
        <v>1479852.1664200001</v>
      </c>
      <c r="W14">
        <v>3315.7</v>
      </c>
      <c r="X14">
        <v>1652.8040000000001</v>
      </c>
      <c r="Y14" s="31">
        <v>0.33265626836568918</v>
      </c>
      <c r="Z14">
        <v>202503</v>
      </c>
      <c r="AA14">
        <v>202301</v>
      </c>
      <c r="AB14" t="s">
        <v>1469</v>
      </c>
      <c r="AC14">
        <v>26</v>
      </c>
      <c r="AD14" t="s">
        <v>1484</v>
      </c>
      <c r="AE14">
        <v>0</v>
      </c>
      <c r="AF14">
        <v>0</v>
      </c>
    </row>
    <row r="15" spans="1:32" x14ac:dyDescent="0.25">
      <c r="A15" t="s">
        <v>20</v>
      </c>
      <c r="B15" s="4">
        <v>45311</v>
      </c>
      <c r="C15" t="s">
        <v>1454</v>
      </c>
      <c r="D15" t="s">
        <v>1479</v>
      </c>
      <c r="E15" s="4">
        <v>45335</v>
      </c>
      <c r="F15">
        <v>24</v>
      </c>
      <c r="G15" t="s">
        <v>641</v>
      </c>
      <c r="H15" t="s">
        <v>649</v>
      </c>
      <c r="I15" t="s">
        <v>665</v>
      </c>
      <c r="J15" t="s">
        <v>1503</v>
      </c>
      <c r="K15" t="s">
        <v>693</v>
      </c>
      <c r="L15" t="s">
        <v>699</v>
      </c>
      <c r="M15" t="s">
        <v>714</v>
      </c>
      <c r="N15" t="s">
        <v>720</v>
      </c>
      <c r="O15" t="s">
        <v>738</v>
      </c>
      <c r="P15">
        <v>643.53</v>
      </c>
      <c r="Q15">
        <v>1439.01</v>
      </c>
      <c r="R15" t="s">
        <v>1496</v>
      </c>
      <c r="S15" s="31">
        <v>0</v>
      </c>
      <c r="T15">
        <v>15</v>
      </c>
      <c r="U15">
        <v>21585.15</v>
      </c>
      <c r="V15">
        <v>1474883.6624200002</v>
      </c>
      <c r="W15">
        <v>9652.9499999999989</v>
      </c>
      <c r="X15">
        <v>11932.200000000003</v>
      </c>
      <c r="Y15" s="31">
        <v>0.55279671440782208</v>
      </c>
      <c r="Z15">
        <v>202401</v>
      </c>
      <c r="AA15">
        <v>202301</v>
      </c>
      <c r="AB15" t="s">
        <v>1477</v>
      </c>
      <c r="AC15">
        <v>12</v>
      </c>
      <c r="AD15" t="s">
        <v>1484</v>
      </c>
      <c r="AE15">
        <v>0</v>
      </c>
      <c r="AF15">
        <v>0</v>
      </c>
    </row>
    <row r="16" spans="1:32" x14ac:dyDescent="0.25">
      <c r="A16" t="s">
        <v>21</v>
      </c>
      <c r="B16" s="4">
        <v>45901</v>
      </c>
      <c r="C16" t="s">
        <v>1467</v>
      </c>
      <c r="D16" t="s">
        <v>1481</v>
      </c>
      <c r="E16" s="4">
        <v>45930</v>
      </c>
      <c r="F16">
        <v>29</v>
      </c>
      <c r="G16" t="s">
        <v>640</v>
      </c>
      <c r="H16" t="s">
        <v>647</v>
      </c>
      <c r="I16" t="s">
        <v>664</v>
      </c>
      <c r="J16" t="s">
        <v>1502</v>
      </c>
      <c r="K16" t="s">
        <v>694</v>
      </c>
      <c r="L16" t="s">
        <v>699</v>
      </c>
      <c r="M16" t="s">
        <v>715</v>
      </c>
      <c r="N16" t="s">
        <v>725</v>
      </c>
      <c r="O16" t="s">
        <v>739</v>
      </c>
      <c r="P16">
        <v>780.59</v>
      </c>
      <c r="Q16">
        <v>631.57000000000005</v>
      </c>
      <c r="R16" t="s">
        <v>1496</v>
      </c>
      <c r="S16" s="31">
        <v>0</v>
      </c>
      <c r="T16">
        <v>12</v>
      </c>
      <c r="U16">
        <v>7578.84</v>
      </c>
      <c r="V16">
        <v>1474883.6624200002</v>
      </c>
      <c r="W16">
        <v>9367.08</v>
      </c>
      <c r="X16">
        <v>-1788.2399999999998</v>
      </c>
      <c r="Y16" s="31">
        <v>-0.23595167598207639</v>
      </c>
      <c r="Z16">
        <v>202509</v>
      </c>
      <c r="AA16">
        <v>202301</v>
      </c>
      <c r="AB16" t="s">
        <v>1465</v>
      </c>
      <c r="AC16">
        <v>32</v>
      </c>
      <c r="AD16" t="s">
        <v>1484</v>
      </c>
      <c r="AE16">
        <v>0</v>
      </c>
      <c r="AF16">
        <v>0</v>
      </c>
    </row>
    <row r="17" spans="1:32" x14ac:dyDescent="0.25">
      <c r="A17" t="s">
        <v>22</v>
      </c>
      <c r="B17" s="4">
        <v>45039</v>
      </c>
      <c r="C17" t="s">
        <v>1446</v>
      </c>
      <c r="D17" t="s">
        <v>1480</v>
      </c>
      <c r="E17" s="4">
        <v>45040</v>
      </c>
      <c r="F17">
        <v>1</v>
      </c>
      <c r="G17" t="s">
        <v>638</v>
      </c>
      <c r="H17" t="s">
        <v>642</v>
      </c>
      <c r="I17" t="s">
        <v>656</v>
      </c>
      <c r="J17" t="s">
        <v>1493</v>
      </c>
      <c r="K17" t="s">
        <v>697</v>
      </c>
      <c r="L17" t="s">
        <v>703</v>
      </c>
      <c r="M17" t="s">
        <v>710</v>
      </c>
      <c r="N17" t="s">
        <v>723</v>
      </c>
      <c r="O17" t="s">
        <v>740</v>
      </c>
      <c r="P17">
        <v>756.51</v>
      </c>
      <c r="Q17">
        <v>850.8</v>
      </c>
      <c r="R17" t="s">
        <v>1496</v>
      </c>
      <c r="S17" s="31">
        <v>7.3999999999999996E-2</v>
      </c>
      <c r="T17">
        <v>9</v>
      </c>
      <c r="U17">
        <v>7090.5672000000004</v>
      </c>
      <c r="V17">
        <v>1474883.6624200002</v>
      </c>
      <c r="W17">
        <v>6808.59</v>
      </c>
      <c r="X17">
        <v>281.97720000000027</v>
      </c>
      <c r="Y17" s="31">
        <v>3.9767932810791252E-2</v>
      </c>
      <c r="Z17">
        <v>202304</v>
      </c>
      <c r="AA17">
        <v>202301</v>
      </c>
      <c r="AB17" t="s">
        <v>1446</v>
      </c>
      <c r="AC17">
        <v>3</v>
      </c>
      <c r="AD17" t="s">
        <v>1483</v>
      </c>
      <c r="AE17">
        <v>1</v>
      </c>
      <c r="AF17">
        <v>0</v>
      </c>
    </row>
    <row r="18" spans="1:32" x14ac:dyDescent="0.25">
      <c r="A18" t="s">
        <v>23</v>
      </c>
      <c r="B18" s="4">
        <v>45636</v>
      </c>
      <c r="C18" t="s">
        <v>1478</v>
      </c>
      <c r="D18" t="s">
        <v>1482</v>
      </c>
      <c r="E18" s="4">
        <v>45665</v>
      </c>
      <c r="F18">
        <v>29</v>
      </c>
      <c r="G18" t="s">
        <v>641</v>
      </c>
      <c r="H18" t="s">
        <v>649</v>
      </c>
      <c r="I18" t="s">
        <v>665</v>
      </c>
      <c r="J18" t="s">
        <v>1503</v>
      </c>
      <c r="K18" t="s">
        <v>697</v>
      </c>
      <c r="L18" t="s">
        <v>699</v>
      </c>
      <c r="M18" t="s">
        <v>715</v>
      </c>
      <c r="N18" t="s">
        <v>720</v>
      </c>
      <c r="O18" t="s">
        <v>741</v>
      </c>
      <c r="P18">
        <v>891.08</v>
      </c>
      <c r="Q18">
        <v>1040.0999999999999</v>
      </c>
      <c r="R18" t="s">
        <v>1496</v>
      </c>
      <c r="S18" s="31">
        <v>0.109</v>
      </c>
      <c r="T18">
        <v>28</v>
      </c>
      <c r="U18">
        <v>25948.414799999995</v>
      </c>
      <c r="V18">
        <v>1474883.6624200002</v>
      </c>
      <c r="W18">
        <v>24950.240000000002</v>
      </c>
      <c r="X18">
        <v>998.17479999999341</v>
      </c>
      <c r="Y18" s="31">
        <v>3.8467660074556598E-2</v>
      </c>
      <c r="Z18">
        <v>202412</v>
      </c>
      <c r="AA18">
        <v>202301</v>
      </c>
      <c r="AB18" t="s">
        <v>1450</v>
      </c>
      <c r="AC18">
        <v>23</v>
      </c>
      <c r="AD18" t="s">
        <v>1484</v>
      </c>
      <c r="AE18">
        <v>0</v>
      </c>
      <c r="AF18">
        <v>0</v>
      </c>
    </row>
    <row r="19" spans="1:32" x14ac:dyDescent="0.25">
      <c r="A19" t="s">
        <v>24</v>
      </c>
      <c r="B19" s="4">
        <v>45908</v>
      </c>
      <c r="C19" t="s">
        <v>1467</v>
      </c>
      <c r="D19" t="s">
        <v>1481</v>
      </c>
      <c r="E19" s="4">
        <v>45916</v>
      </c>
      <c r="F19">
        <v>8</v>
      </c>
      <c r="G19" t="s">
        <v>639</v>
      </c>
      <c r="H19" t="s">
        <v>644</v>
      </c>
      <c r="I19" t="s">
        <v>658</v>
      </c>
      <c r="J19" t="s">
        <v>1495</v>
      </c>
      <c r="K19" t="s">
        <v>693</v>
      </c>
      <c r="L19" t="s">
        <v>702</v>
      </c>
      <c r="M19" t="s">
        <v>704</v>
      </c>
      <c r="N19" t="s">
        <v>722</v>
      </c>
      <c r="O19" t="s">
        <v>742</v>
      </c>
      <c r="P19">
        <v>1225.57</v>
      </c>
      <c r="Q19">
        <v>2705.57</v>
      </c>
      <c r="R19" t="s">
        <v>1492</v>
      </c>
      <c r="S19" s="31">
        <v>0.183</v>
      </c>
      <c r="T19">
        <v>16</v>
      </c>
      <c r="U19">
        <v>35367.211040000002</v>
      </c>
      <c r="V19">
        <v>1474883.6624200002</v>
      </c>
      <c r="W19">
        <v>19609.12</v>
      </c>
      <c r="X19">
        <v>15758.091040000003</v>
      </c>
      <c r="Y19" s="31">
        <v>0.44555650775453404</v>
      </c>
      <c r="Z19">
        <v>202509</v>
      </c>
      <c r="AA19">
        <v>202303</v>
      </c>
      <c r="AB19" t="s">
        <v>1465</v>
      </c>
      <c r="AC19">
        <v>30</v>
      </c>
      <c r="AD19" t="s">
        <v>1484</v>
      </c>
      <c r="AE19">
        <v>0</v>
      </c>
      <c r="AF19">
        <v>0</v>
      </c>
    </row>
    <row r="20" spans="1:32" x14ac:dyDescent="0.25">
      <c r="A20" t="s">
        <v>25</v>
      </c>
      <c r="B20" s="4">
        <v>45858</v>
      </c>
      <c r="C20" t="s">
        <v>1457</v>
      </c>
      <c r="D20" t="s">
        <v>1481</v>
      </c>
      <c r="E20" s="4">
        <v>45874</v>
      </c>
      <c r="F20">
        <v>16</v>
      </c>
      <c r="G20" t="s">
        <v>640</v>
      </c>
      <c r="H20" t="s">
        <v>647</v>
      </c>
      <c r="I20" t="s">
        <v>664</v>
      </c>
      <c r="J20" t="s">
        <v>1502</v>
      </c>
      <c r="K20" t="s">
        <v>698</v>
      </c>
      <c r="L20" t="s">
        <v>701</v>
      </c>
      <c r="M20" t="s">
        <v>707</v>
      </c>
      <c r="N20" t="s">
        <v>725</v>
      </c>
      <c r="O20" t="s">
        <v>743</v>
      </c>
      <c r="P20">
        <v>1068.17</v>
      </c>
      <c r="Q20">
        <v>2375.37</v>
      </c>
      <c r="R20" t="s">
        <v>1492</v>
      </c>
      <c r="S20" s="31">
        <v>0.109</v>
      </c>
      <c r="T20">
        <v>18</v>
      </c>
      <c r="U20">
        <v>38096.18406</v>
      </c>
      <c r="V20">
        <v>1474883.6624200002</v>
      </c>
      <c r="W20">
        <v>19227.060000000001</v>
      </c>
      <c r="X20">
        <v>18869.124059999998</v>
      </c>
      <c r="Y20" s="31">
        <v>0.49530220744108822</v>
      </c>
      <c r="Z20">
        <v>202507</v>
      </c>
      <c r="AA20">
        <v>202301</v>
      </c>
      <c r="AB20" t="s">
        <v>1468</v>
      </c>
      <c r="AC20">
        <v>30</v>
      </c>
      <c r="AD20" t="s">
        <v>1484</v>
      </c>
      <c r="AE20">
        <v>0</v>
      </c>
      <c r="AF20">
        <v>0</v>
      </c>
    </row>
    <row r="21" spans="1:32" x14ac:dyDescent="0.25">
      <c r="A21" t="s">
        <v>26</v>
      </c>
      <c r="B21" s="4">
        <v>45798</v>
      </c>
      <c r="C21" t="s">
        <v>1471</v>
      </c>
      <c r="D21" t="s">
        <v>1480</v>
      </c>
      <c r="E21" s="4">
        <v>45800</v>
      </c>
      <c r="F21">
        <v>2</v>
      </c>
      <c r="G21" t="s">
        <v>641</v>
      </c>
      <c r="H21" t="s">
        <v>650</v>
      </c>
      <c r="I21" t="s">
        <v>666</v>
      </c>
      <c r="J21" t="s">
        <v>1504</v>
      </c>
      <c r="K21" t="s">
        <v>698</v>
      </c>
      <c r="L21" t="s">
        <v>700</v>
      </c>
      <c r="M21" t="s">
        <v>716</v>
      </c>
      <c r="N21" t="s">
        <v>723</v>
      </c>
      <c r="O21" t="s">
        <v>744</v>
      </c>
      <c r="P21">
        <v>1015.16</v>
      </c>
      <c r="Q21">
        <v>2148.14</v>
      </c>
      <c r="R21" t="s">
        <v>1492</v>
      </c>
      <c r="S21" s="31">
        <v>3.7999999999999999E-2</v>
      </c>
      <c r="T21">
        <v>19</v>
      </c>
      <c r="U21">
        <v>39263.702919999996</v>
      </c>
      <c r="V21">
        <v>1474883.6624200002</v>
      </c>
      <c r="W21">
        <v>19288.04</v>
      </c>
      <c r="X21">
        <v>19975.662919999995</v>
      </c>
      <c r="Y21" s="31">
        <v>0.50875647059322227</v>
      </c>
      <c r="Z21">
        <v>202505</v>
      </c>
      <c r="AA21">
        <v>202301</v>
      </c>
      <c r="AB21" t="s">
        <v>1462</v>
      </c>
      <c r="AC21">
        <v>28</v>
      </c>
      <c r="AD21" t="s">
        <v>1483</v>
      </c>
      <c r="AE21">
        <v>1</v>
      </c>
      <c r="AF21">
        <v>0</v>
      </c>
    </row>
    <row r="22" spans="1:32" x14ac:dyDescent="0.25">
      <c r="A22" t="s">
        <v>27</v>
      </c>
      <c r="B22" s="4">
        <v>45498</v>
      </c>
      <c r="C22" t="s">
        <v>1456</v>
      </c>
      <c r="D22" t="s">
        <v>1481</v>
      </c>
      <c r="E22" s="4">
        <v>45499</v>
      </c>
      <c r="F22">
        <v>1</v>
      </c>
      <c r="G22" t="s">
        <v>638</v>
      </c>
      <c r="H22" t="s">
        <v>642</v>
      </c>
      <c r="I22" t="s">
        <v>667</v>
      </c>
      <c r="J22" t="s">
        <v>1505</v>
      </c>
      <c r="K22" t="s">
        <v>695</v>
      </c>
      <c r="L22" t="s">
        <v>703</v>
      </c>
      <c r="M22" t="s">
        <v>705</v>
      </c>
      <c r="N22" t="s">
        <v>723</v>
      </c>
      <c r="O22" t="s">
        <v>745</v>
      </c>
      <c r="P22">
        <v>1494.4</v>
      </c>
      <c r="Q22">
        <v>3661.07</v>
      </c>
      <c r="R22" t="s">
        <v>1492</v>
      </c>
      <c r="S22" s="31">
        <v>7.1999999999999995E-2</v>
      </c>
      <c r="T22">
        <v>7</v>
      </c>
      <c r="U22">
        <v>23782.310720000001</v>
      </c>
      <c r="V22">
        <v>1474883.6624200002</v>
      </c>
      <c r="W22">
        <v>10460.800000000001</v>
      </c>
      <c r="X22">
        <v>13321.51072</v>
      </c>
      <c r="Y22" s="31">
        <v>0.56014366630897339</v>
      </c>
      <c r="Z22">
        <v>202407</v>
      </c>
      <c r="AA22">
        <v>202301</v>
      </c>
      <c r="AB22" t="s">
        <v>1468</v>
      </c>
      <c r="AC22">
        <v>18</v>
      </c>
      <c r="AD22" t="s">
        <v>1483</v>
      </c>
      <c r="AE22">
        <v>1</v>
      </c>
      <c r="AF22">
        <v>0</v>
      </c>
    </row>
    <row r="23" spans="1:32" x14ac:dyDescent="0.25">
      <c r="A23" t="s">
        <v>28</v>
      </c>
      <c r="B23" s="4">
        <v>45057</v>
      </c>
      <c r="C23" t="s">
        <v>1462</v>
      </c>
      <c r="D23" t="s">
        <v>1480</v>
      </c>
      <c r="E23" s="4">
        <v>45074</v>
      </c>
      <c r="F23">
        <v>17</v>
      </c>
      <c r="G23" t="s">
        <v>639</v>
      </c>
      <c r="H23" t="s">
        <v>651</v>
      </c>
      <c r="I23" t="s">
        <v>668</v>
      </c>
      <c r="J23" t="s">
        <v>1506</v>
      </c>
      <c r="K23" t="s">
        <v>698</v>
      </c>
      <c r="L23" t="s">
        <v>701</v>
      </c>
      <c r="M23" t="s">
        <v>710</v>
      </c>
      <c r="N23" t="s">
        <v>721</v>
      </c>
      <c r="O23" t="s">
        <v>746</v>
      </c>
      <c r="P23">
        <v>1331.19</v>
      </c>
      <c r="Q23">
        <v>2903.09</v>
      </c>
      <c r="R23" t="s">
        <v>1492</v>
      </c>
      <c r="S23" s="31">
        <v>0.14299999999999999</v>
      </c>
      <c r="T23">
        <v>8</v>
      </c>
      <c r="U23">
        <v>19903.585040000002</v>
      </c>
      <c r="V23">
        <v>1474883.6624200002</v>
      </c>
      <c r="W23">
        <v>10649.52</v>
      </c>
      <c r="X23">
        <v>9254.0650400000013</v>
      </c>
      <c r="Y23" s="31">
        <v>0.46494463290920784</v>
      </c>
      <c r="Z23">
        <v>202305</v>
      </c>
      <c r="AA23">
        <v>202301</v>
      </c>
      <c r="AB23" t="s">
        <v>1462</v>
      </c>
      <c r="AC23">
        <v>4</v>
      </c>
      <c r="AD23" t="s">
        <v>1484</v>
      </c>
      <c r="AE23">
        <v>0</v>
      </c>
      <c r="AF23">
        <v>0</v>
      </c>
    </row>
    <row r="24" spans="1:32" x14ac:dyDescent="0.25">
      <c r="A24" t="s">
        <v>29</v>
      </c>
      <c r="B24" s="4">
        <v>45822</v>
      </c>
      <c r="C24" t="s">
        <v>1460</v>
      </c>
      <c r="D24" t="s">
        <v>1480</v>
      </c>
      <c r="E24" s="4">
        <v>45837</v>
      </c>
      <c r="F24">
        <v>15</v>
      </c>
      <c r="G24" t="s">
        <v>638</v>
      </c>
      <c r="H24" t="s">
        <v>643</v>
      </c>
      <c r="I24" t="s">
        <v>655</v>
      </c>
      <c r="J24" t="s">
        <v>1491</v>
      </c>
      <c r="K24" t="s">
        <v>696</v>
      </c>
      <c r="L24" t="s">
        <v>701</v>
      </c>
      <c r="M24" t="s">
        <v>716</v>
      </c>
      <c r="N24" t="s">
        <v>725</v>
      </c>
      <c r="O24" t="s">
        <v>747</v>
      </c>
      <c r="P24">
        <v>730.99</v>
      </c>
      <c r="Q24">
        <v>1242.8399999999999</v>
      </c>
      <c r="R24" t="s">
        <v>1496</v>
      </c>
      <c r="S24" s="31">
        <v>0.12</v>
      </c>
      <c r="T24">
        <v>10</v>
      </c>
      <c r="U24">
        <v>10936.992</v>
      </c>
      <c r="V24">
        <v>1474883.6624200002</v>
      </c>
      <c r="W24">
        <v>7309.9</v>
      </c>
      <c r="X24">
        <v>3627.0920000000006</v>
      </c>
      <c r="Y24" s="31">
        <v>0.33163524303574515</v>
      </c>
      <c r="Z24">
        <v>202506</v>
      </c>
      <c r="AA24">
        <v>202301</v>
      </c>
      <c r="AB24" t="s">
        <v>1458</v>
      </c>
      <c r="AC24">
        <v>29</v>
      </c>
      <c r="AD24" t="s">
        <v>1484</v>
      </c>
      <c r="AE24">
        <v>0</v>
      </c>
      <c r="AF24">
        <v>0</v>
      </c>
    </row>
    <row r="25" spans="1:32" x14ac:dyDescent="0.25">
      <c r="A25" t="s">
        <v>30</v>
      </c>
      <c r="B25" s="4">
        <v>45430</v>
      </c>
      <c r="C25" t="s">
        <v>1463</v>
      </c>
      <c r="D25" t="s">
        <v>1480</v>
      </c>
      <c r="E25" s="4">
        <v>45435</v>
      </c>
      <c r="F25">
        <v>5</v>
      </c>
      <c r="G25" t="s">
        <v>640</v>
      </c>
      <c r="H25" t="s">
        <v>652</v>
      </c>
      <c r="I25" t="s">
        <v>669</v>
      </c>
      <c r="J25" t="s">
        <v>1507</v>
      </c>
      <c r="K25" t="s">
        <v>698</v>
      </c>
      <c r="L25" t="s">
        <v>699</v>
      </c>
      <c r="M25" t="s">
        <v>714</v>
      </c>
      <c r="N25" t="s">
        <v>723</v>
      </c>
      <c r="O25" t="s">
        <v>748</v>
      </c>
      <c r="P25">
        <v>1274.5899999999999</v>
      </c>
      <c r="Q25">
        <v>2553.69</v>
      </c>
      <c r="R25" t="s">
        <v>1492</v>
      </c>
      <c r="S25" s="31">
        <v>0.01</v>
      </c>
      <c r="T25">
        <v>8</v>
      </c>
      <c r="U25">
        <v>20225.2248</v>
      </c>
      <c r="V25">
        <v>1474883.6624200002</v>
      </c>
      <c r="W25">
        <v>10196.719999999999</v>
      </c>
      <c r="X25">
        <v>10028.504800000001</v>
      </c>
      <c r="Y25" s="31">
        <v>0.49584145042481803</v>
      </c>
      <c r="Z25">
        <v>202405</v>
      </c>
      <c r="AA25">
        <v>202301</v>
      </c>
      <c r="AB25" t="s">
        <v>1462</v>
      </c>
      <c r="AC25">
        <v>16</v>
      </c>
      <c r="AD25" t="s">
        <v>1483</v>
      </c>
      <c r="AE25">
        <v>1</v>
      </c>
      <c r="AF25">
        <v>0</v>
      </c>
    </row>
    <row r="26" spans="1:32" x14ac:dyDescent="0.25">
      <c r="A26" t="s">
        <v>31</v>
      </c>
      <c r="B26" s="4">
        <v>44964</v>
      </c>
      <c r="C26" t="s">
        <v>1451</v>
      </c>
      <c r="D26" t="s">
        <v>1479</v>
      </c>
      <c r="E26" s="4">
        <v>44969</v>
      </c>
      <c r="F26">
        <v>5</v>
      </c>
      <c r="G26" t="s">
        <v>640</v>
      </c>
      <c r="H26" t="s">
        <v>647</v>
      </c>
      <c r="I26" t="s">
        <v>662</v>
      </c>
      <c r="J26" t="s">
        <v>1500</v>
      </c>
      <c r="K26" t="s">
        <v>694</v>
      </c>
      <c r="L26" t="s">
        <v>700</v>
      </c>
      <c r="M26" t="s">
        <v>717</v>
      </c>
      <c r="N26" t="s">
        <v>719</v>
      </c>
      <c r="O26" t="s">
        <v>749</v>
      </c>
      <c r="P26">
        <v>948.55</v>
      </c>
      <c r="Q26">
        <v>2089.16</v>
      </c>
      <c r="R26" t="s">
        <v>1496</v>
      </c>
      <c r="S26" s="31">
        <v>7.0000000000000001E-3</v>
      </c>
      <c r="T26">
        <v>12</v>
      </c>
      <c r="U26">
        <v>24894.430559999997</v>
      </c>
      <c r="V26">
        <v>1474883.6624200002</v>
      </c>
      <c r="W26">
        <v>11382.599999999999</v>
      </c>
      <c r="X26">
        <v>13511.830559999999</v>
      </c>
      <c r="Y26" s="31">
        <v>0.54276519912492427</v>
      </c>
      <c r="Z26">
        <v>202302</v>
      </c>
      <c r="AA26">
        <v>202301</v>
      </c>
      <c r="AB26" t="s">
        <v>1451</v>
      </c>
      <c r="AC26">
        <v>1</v>
      </c>
      <c r="AD26" t="s">
        <v>1483</v>
      </c>
      <c r="AE26">
        <v>1</v>
      </c>
      <c r="AF26">
        <v>0</v>
      </c>
    </row>
    <row r="27" spans="1:32" x14ac:dyDescent="0.25">
      <c r="A27" t="s">
        <v>32</v>
      </c>
      <c r="B27" s="4">
        <v>45473</v>
      </c>
      <c r="C27" t="s">
        <v>1459</v>
      </c>
      <c r="D27" t="s">
        <v>1480</v>
      </c>
      <c r="E27" s="4">
        <v>45487</v>
      </c>
      <c r="F27">
        <v>14</v>
      </c>
      <c r="G27" t="s">
        <v>640</v>
      </c>
      <c r="H27" t="s">
        <v>647</v>
      </c>
      <c r="I27" t="s">
        <v>664</v>
      </c>
      <c r="J27" t="s">
        <v>1502</v>
      </c>
      <c r="K27" t="s">
        <v>694</v>
      </c>
      <c r="L27" t="s">
        <v>699</v>
      </c>
      <c r="M27" t="s">
        <v>704</v>
      </c>
      <c r="N27" t="s">
        <v>725</v>
      </c>
      <c r="O27" t="s">
        <v>750</v>
      </c>
      <c r="P27">
        <v>1491.85</v>
      </c>
      <c r="Q27">
        <v>2583.02</v>
      </c>
      <c r="R27" t="s">
        <v>1492</v>
      </c>
      <c r="S27" s="31">
        <v>0.16800000000000001</v>
      </c>
      <c r="T27">
        <v>4</v>
      </c>
      <c r="U27">
        <v>8596.2905599999995</v>
      </c>
      <c r="V27">
        <v>1449989.2318600002</v>
      </c>
      <c r="W27">
        <v>5967.4</v>
      </c>
      <c r="X27">
        <v>2628.8905599999998</v>
      </c>
      <c r="Y27" s="31">
        <v>0.30581685689321325</v>
      </c>
      <c r="Z27">
        <v>202406</v>
      </c>
      <c r="AA27">
        <v>202301</v>
      </c>
      <c r="AB27" t="s">
        <v>1458</v>
      </c>
      <c r="AC27">
        <v>17</v>
      </c>
      <c r="AD27" t="s">
        <v>1484</v>
      </c>
      <c r="AE27">
        <v>0</v>
      </c>
      <c r="AF27">
        <v>0</v>
      </c>
    </row>
    <row r="28" spans="1:32" x14ac:dyDescent="0.25">
      <c r="A28" t="s">
        <v>33</v>
      </c>
      <c r="B28" s="4">
        <v>45626</v>
      </c>
      <c r="C28" t="s">
        <v>1472</v>
      </c>
      <c r="D28" t="s">
        <v>1482</v>
      </c>
      <c r="E28" s="4">
        <v>45656</v>
      </c>
      <c r="F28">
        <v>30</v>
      </c>
      <c r="G28" t="s">
        <v>641</v>
      </c>
      <c r="H28" t="s">
        <v>649</v>
      </c>
      <c r="I28" t="s">
        <v>665</v>
      </c>
      <c r="J28" t="s">
        <v>1503</v>
      </c>
      <c r="K28" t="s">
        <v>696</v>
      </c>
      <c r="L28" t="s">
        <v>701</v>
      </c>
      <c r="M28" t="s">
        <v>713</v>
      </c>
      <c r="N28" t="s">
        <v>720</v>
      </c>
      <c r="O28" t="s">
        <v>751</v>
      </c>
      <c r="P28">
        <v>117.64</v>
      </c>
      <c r="Q28">
        <v>175.67</v>
      </c>
      <c r="R28" t="s">
        <v>1490</v>
      </c>
      <c r="S28" s="31">
        <v>0</v>
      </c>
      <c r="T28">
        <v>10</v>
      </c>
      <c r="U28">
        <v>1756.6999999999998</v>
      </c>
      <c r="V28">
        <v>1449989.2318600002</v>
      </c>
      <c r="W28">
        <v>1176.4000000000001</v>
      </c>
      <c r="X28">
        <v>580.29999999999973</v>
      </c>
      <c r="Y28" s="31">
        <v>0.33033528775545046</v>
      </c>
      <c r="Z28">
        <v>202411</v>
      </c>
      <c r="AA28">
        <v>202301</v>
      </c>
      <c r="AB28" t="s">
        <v>1475</v>
      </c>
      <c r="AC28">
        <v>22</v>
      </c>
      <c r="AD28" t="s">
        <v>1484</v>
      </c>
      <c r="AE28">
        <v>0</v>
      </c>
      <c r="AF28">
        <v>0</v>
      </c>
    </row>
    <row r="29" spans="1:32" x14ac:dyDescent="0.25">
      <c r="A29" t="s">
        <v>34</v>
      </c>
      <c r="B29" s="4">
        <v>45492</v>
      </c>
      <c r="C29" t="s">
        <v>1456</v>
      </c>
      <c r="D29" t="s">
        <v>1481</v>
      </c>
      <c r="E29" s="4">
        <v>45492</v>
      </c>
      <c r="F29">
        <v>0</v>
      </c>
      <c r="G29" t="s">
        <v>638</v>
      </c>
      <c r="H29" t="s">
        <v>642</v>
      </c>
      <c r="I29" t="s">
        <v>654</v>
      </c>
      <c r="J29" t="s">
        <v>1489</v>
      </c>
      <c r="K29" t="s">
        <v>697</v>
      </c>
      <c r="L29" t="s">
        <v>699</v>
      </c>
      <c r="M29" t="s">
        <v>712</v>
      </c>
      <c r="N29" t="s">
        <v>722</v>
      </c>
      <c r="O29" t="s">
        <v>752</v>
      </c>
      <c r="P29">
        <v>857.24</v>
      </c>
      <c r="Q29">
        <v>758.23</v>
      </c>
      <c r="R29" t="s">
        <v>1496</v>
      </c>
      <c r="S29" s="31">
        <v>0.125</v>
      </c>
      <c r="T29">
        <v>6</v>
      </c>
      <c r="U29">
        <v>3980.7075</v>
      </c>
      <c r="V29">
        <v>1449989.2318600002</v>
      </c>
      <c r="W29">
        <v>5143.4400000000005</v>
      </c>
      <c r="X29">
        <v>-1162.7325000000005</v>
      </c>
      <c r="Y29" s="31">
        <v>-0.29209192084572921</v>
      </c>
      <c r="Z29">
        <v>202407</v>
      </c>
      <c r="AA29">
        <v>202301</v>
      </c>
      <c r="AB29" t="s">
        <v>1468</v>
      </c>
      <c r="AC29">
        <v>18</v>
      </c>
      <c r="AD29" t="s">
        <v>1483</v>
      </c>
      <c r="AE29">
        <v>1</v>
      </c>
      <c r="AF29">
        <v>0</v>
      </c>
    </row>
    <row r="30" spans="1:32" x14ac:dyDescent="0.25">
      <c r="A30" t="s">
        <v>35</v>
      </c>
      <c r="B30" s="4">
        <v>45030</v>
      </c>
      <c r="C30" t="s">
        <v>1446</v>
      </c>
      <c r="D30" t="s">
        <v>1480</v>
      </c>
      <c r="E30" s="4">
        <v>45060</v>
      </c>
      <c r="F30">
        <v>30</v>
      </c>
      <c r="G30" t="s">
        <v>638</v>
      </c>
      <c r="H30" t="s">
        <v>642</v>
      </c>
      <c r="I30" t="s">
        <v>670</v>
      </c>
      <c r="J30" t="s">
        <v>1508</v>
      </c>
      <c r="K30" t="s">
        <v>696</v>
      </c>
      <c r="L30" t="s">
        <v>701</v>
      </c>
      <c r="M30" t="s">
        <v>716</v>
      </c>
      <c r="N30" t="s">
        <v>722</v>
      </c>
      <c r="O30" t="s">
        <v>753</v>
      </c>
      <c r="P30">
        <v>209.25</v>
      </c>
      <c r="Q30">
        <v>434.8</v>
      </c>
      <c r="R30" t="s">
        <v>1490</v>
      </c>
      <c r="S30" s="31">
        <v>0</v>
      </c>
      <c r="T30">
        <v>9</v>
      </c>
      <c r="U30">
        <v>3913.2000000000003</v>
      </c>
      <c r="V30">
        <v>1449989.2318600002</v>
      </c>
      <c r="W30">
        <v>1883.25</v>
      </c>
      <c r="X30">
        <v>2029.9500000000003</v>
      </c>
      <c r="Y30" s="31">
        <v>0.51874425022999082</v>
      </c>
      <c r="Z30">
        <v>202304</v>
      </c>
      <c r="AA30">
        <v>202301</v>
      </c>
      <c r="AB30" t="s">
        <v>1446</v>
      </c>
      <c r="AC30">
        <v>3</v>
      </c>
      <c r="AD30" t="s">
        <v>1484</v>
      </c>
      <c r="AE30">
        <v>0</v>
      </c>
      <c r="AF30">
        <v>0</v>
      </c>
    </row>
    <row r="31" spans="1:32" x14ac:dyDescent="0.25">
      <c r="A31" t="s">
        <v>36</v>
      </c>
      <c r="B31" s="4">
        <v>45754</v>
      </c>
      <c r="C31" t="s">
        <v>1473</v>
      </c>
      <c r="D31" t="s">
        <v>1480</v>
      </c>
      <c r="E31" s="4">
        <v>45758</v>
      </c>
      <c r="F31">
        <v>4</v>
      </c>
      <c r="G31" t="s">
        <v>641</v>
      </c>
      <c r="H31" t="s">
        <v>649</v>
      </c>
      <c r="I31" t="s">
        <v>671</v>
      </c>
      <c r="J31" t="s">
        <v>1509</v>
      </c>
      <c r="K31" t="s">
        <v>694</v>
      </c>
      <c r="L31" t="s">
        <v>699</v>
      </c>
      <c r="M31" t="s">
        <v>710</v>
      </c>
      <c r="N31" t="s">
        <v>721</v>
      </c>
      <c r="O31" t="s">
        <v>754</v>
      </c>
      <c r="P31">
        <v>754.77</v>
      </c>
      <c r="Q31">
        <v>1666.18</v>
      </c>
      <c r="R31" t="s">
        <v>1496</v>
      </c>
      <c r="S31" s="31">
        <v>0.13900000000000001</v>
      </c>
      <c r="T31">
        <v>14</v>
      </c>
      <c r="U31">
        <v>20084.133720000002</v>
      </c>
      <c r="V31">
        <v>1449989.2318600002</v>
      </c>
      <c r="W31">
        <v>10566.779999999999</v>
      </c>
      <c r="X31">
        <v>9517.3537200000028</v>
      </c>
      <c r="Y31" s="31">
        <v>0.47387424584424653</v>
      </c>
      <c r="Z31">
        <v>202504</v>
      </c>
      <c r="AA31">
        <v>202301</v>
      </c>
      <c r="AB31" t="s">
        <v>1446</v>
      </c>
      <c r="AC31">
        <v>27</v>
      </c>
      <c r="AD31" t="s">
        <v>1483</v>
      </c>
      <c r="AE31">
        <v>1</v>
      </c>
      <c r="AF31">
        <v>0</v>
      </c>
    </row>
    <row r="32" spans="1:32" x14ac:dyDescent="0.25">
      <c r="A32" t="s">
        <v>37</v>
      </c>
      <c r="B32" s="4">
        <v>45653</v>
      </c>
      <c r="C32" t="s">
        <v>1478</v>
      </c>
      <c r="D32" t="s">
        <v>1482</v>
      </c>
      <c r="E32" s="4">
        <v>45672</v>
      </c>
      <c r="F32">
        <v>19</v>
      </c>
      <c r="G32" t="s">
        <v>639</v>
      </c>
      <c r="H32" t="s">
        <v>646</v>
      </c>
      <c r="I32" t="s">
        <v>672</v>
      </c>
      <c r="J32" t="s">
        <v>1510</v>
      </c>
      <c r="K32" t="s">
        <v>695</v>
      </c>
      <c r="L32" t="s">
        <v>702</v>
      </c>
      <c r="M32" t="s">
        <v>707</v>
      </c>
      <c r="N32" t="s">
        <v>719</v>
      </c>
      <c r="O32" t="s">
        <v>755</v>
      </c>
      <c r="P32">
        <v>495.59</v>
      </c>
      <c r="Q32">
        <v>631.78</v>
      </c>
      <c r="R32" t="s">
        <v>1490</v>
      </c>
      <c r="S32" s="31">
        <v>8.6999999999999994E-2</v>
      </c>
      <c r="T32">
        <v>17</v>
      </c>
      <c r="U32">
        <v>9805.8573800000013</v>
      </c>
      <c r="V32">
        <v>1449989.2318600002</v>
      </c>
      <c r="W32">
        <v>8425.0299999999988</v>
      </c>
      <c r="X32">
        <v>1380.8273800000024</v>
      </c>
      <c r="Y32" s="31">
        <v>0.14081658813601899</v>
      </c>
      <c r="Z32">
        <v>202412</v>
      </c>
      <c r="AA32">
        <v>202301</v>
      </c>
      <c r="AB32" t="s">
        <v>1450</v>
      </c>
      <c r="AC32">
        <v>23</v>
      </c>
      <c r="AD32" t="s">
        <v>1484</v>
      </c>
      <c r="AE32">
        <v>0</v>
      </c>
      <c r="AF32">
        <v>0</v>
      </c>
    </row>
    <row r="33" spans="1:32" x14ac:dyDescent="0.25">
      <c r="A33" t="s">
        <v>38</v>
      </c>
      <c r="B33" s="4">
        <v>44980</v>
      </c>
      <c r="C33" t="s">
        <v>1451</v>
      </c>
      <c r="D33" t="s">
        <v>1479</v>
      </c>
      <c r="E33" s="4">
        <v>45010</v>
      </c>
      <c r="F33">
        <v>30</v>
      </c>
      <c r="G33" t="s">
        <v>640</v>
      </c>
      <c r="H33" t="s">
        <v>645</v>
      </c>
      <c r="I33" t="s">
        <v>673</v>
      </c>
      <c r="J33" t="s">
        <v>1511</v>
      </c>
      <c r="K33" t="s">
        <v>698</v>
      </c>
      <c r="L33" t="s">
        <v>700</v>
      </c>
      <c r="M33" t="s">
        <v>718</v>
      </c>
      <c r="N33" t="s">
        <v>722</v>
      </c>
      <c r="O33" t="s">
        <v>756</v>
      </c>
      <c r="P33">
        <v>1242.6600000000001</v>
      </c>
      <c r="Q33">
        <v>1794.07</v>
      </c>
      <c r="R33" t="s">
        <v>1492</v>
      </c>
      <c r="S33" s="31">
        <v>8.8999999999999996E-2</v>
      </c>
      <c r="T33">
        <v>16</v>
      </c>
      <c r="U33">
        <v>26150.364320000001</v>
      </c>
      <c r="V33">
        <v>1440183.3744800002</v>
      </c>
      <c r="W33">
        <v>19882.560000000001</v>
      </c>
      <c r="X33">
        <v>6267.8043199999993</v>
      </c>
      <c r="Y33" s="31">
        <v>0.23968325042440553</v>
      </c>
      <c r="Z33">
        <v>202302</v>
      </c>
      <c r="AA33">
        <v>202301</v>
      </c>
      <c r="AB33" t="s">
        <v>1451</v>
      </c>
      <c r="AC33">
        <v>1</v>
      </c>
      <c r="AD33" t="s">
        <v>1484</v>
      </c>
      <c r="AE33">
        <v>0</v>
      </c>
      <c r="AF33">
        <v>0</v>
      </c>
    </row>
    <row r="34" spans="1:32" x14ac:dyDescent="0.25">
      <c r="A34" t="s">
        <v>39</v>
      </c>
      <c r="B34" s="4">
        <v>45862</v>
      </c>
      <c r="C34" t="s">
        <v>1457</v>
      </c>
      <c r="D34" t="s">
        <v>1481</v>
      </c>
      <c r="E34" s="4">
        <v>45875</v>
      </c>
      <c r="F34">
        <v>13</v>
      </c>
      <c r="G34" t="s">
        <v>638</v>
      </c>
      <c r="H34" t="s">
        <v>653</v>
      </c>
      <c r="I34" t="s">
        <v>674</v>
      </c>
      <c r="J34" t="s">
        <v>1512</v>
      </c>
      <c r="K34" t="s">
        <v>694</v>
      </c>
      <c r="L34" t="s">
        <v>701</v>
      </c>
      <c r="M34" t="s">
        <v>718</v>
      </c>
      <c r="N34" t="s">
        <v>721</v>
      </c>
      <c r="O34" t="s">
        <v>757</v>
      </c>
      <c r="P34">
        <v>1463.9</v>
      </c>
      <c r="Q34">
        <v>2633.02</v>
      </c>
      <c r="R34" t="s">
        <v>1492</v>
      </c>
      <c r="S34" s="31">
        <v>8.4000000000000005E-2</v>
      </c>
      <c r="T34">
        <v>4</v>
      </c>
      <c r="U34">
        <v>9647.3852800000004</v>
      </c>
      <c r="V34">
        <v>1440183.3744800002</v>
      </c>
      <c r="W34">
        <v>5855.6</v>
      </c>
      <c r="X34">
        <v>3791.7852800000001</v>
      </c>
      <c r="Y34" s="31">
        <v>0.39303761277791527</v>
      </c>
      <c r="Z34">
        <v>202507</v>
      </c>
      <c r="AA34">
        <v>202301</v>
      </c>
      <c r="AB34" t="s">
        <v>1468</v>
      </c>
      <c r="AC34">
        <v>30</v>
      </c>
      <c r="AD34" t="s">
        <v>1484</v>
      </c>
      <c r="AE34">
        <v>0</v>
      </c>
      <c r="AF34">
        <v>0</v>
      </c>
    </row>
    <row r="35" spans="1:32" x14ac:dyDescent="0.25">
      <c r="A35" t="s">
        <v>40</v>
      </c>
      <c r="B35" s="4">
        <v>45400</v>
      </c>
      <c r="C35" t="s">
        <v>1447</v>
      </c>
      <c r="D35" t="s">
        <v>1480</v>
      </c>
      <c r="E35" s="4">
        <v>45420</v>
      </c>
      <c r="F35">
        <v>20</v>
      </c>
      <c r="G35" t="s">
        <v>641</v>
      </c>
      <c r="H35" t="s">
        <v>650</v>
      </c>
      <c r="I35" t="s">
        <v>675</v>
      </c>
      <c r="J35" t="s">
        <v>1513</v>
      </c>
      <c r="K35" t="s">
        <v>695</v>
      </c>
      <c r="L35" t="s">
        <v>1413</v>
      </c>
      <c r="M35" t="s">
        <v>718</v>
      </c>
      <c r="N35" t="s">
        <v>723</v>
      </c>
      <c r="O35" t="s">
        <v>758</v>
      </c>
      <c r="P35">
        <v>645.33000000000004</v>
      </c>
      <c r="Q35">
        <v>1321.85</v>
      </c>
      <c r="R35" t="s">
        <v>1496</v>
      </c>
      <c r="S35" s="31">
        <v>0</v>
      </c>
      <c r="T35">
        <v>10</v>
      </c>
      <c r="U35">
        <v>13218.5</v>
      </c>
      <c r="V35">
        <v>1440183.3744800002</v>
      </c>
      <c r="W35">
        <v>6453.3</v>
      </c>
      <c r="X35">
        <v>6765.2</v>
      </c>
      <c r="Y35" s="31">
        <v>0.51179785906116426</v>
      </c>
      <c r="Z35">
        <v>202404</v>
      </c>
      <c r="AA35">
        <v>202301</v>
      </c>
      <c r="AB35" t="s">
        <v>1446</v>
      </c>
      <c r="AC35">
        <v>15</v>
      </c>
      <c r="AD35" t="s">
        <v>1484</v>
      </c>
      <c r="AE35">
        <v>0</v>
      </c>
      <c r="AF35">
        <v>0</v>
      </c>
    </row>
    <row r="36" spans="1:32" x14ac:dyDescent="0.25">
      <c r="A36" t="s">
        <v>41</v>
      </c>
      <c r="B36" s="4">
        <v>45527</v>
      </c>
      <c r="C36" t="s">
        <v>1474</v>
      </c>
      <c r="D36" t="s">
        <v>1481</v>
      </c>
      <c r="E36" s="4">
        <v>45529</v>
      </c>
      <c r="F36">
        <v>2</v>
      </c>
      <c r="G36" t="s">
        <v>638</v>
      </c>
      <c r="H36" t="s">
        <v>653</v>
      </c>
      <c r="I36" t="s">
        <v>674</v>
      </c>
      <c r="J36" t="s">
        <v>1512</v>
      </c>
      <c r="K36" t="s">
        <v>694</v>
      </c>
      <c r="L36" t="s">
        <v>699</v>
      </c>
      <c r="M36" t="s">
        <v>710</v>
      </c>
      <c r="N36" t="s">
        <v>719</v>
      </c>
      <c r="O36" t="s">
        <v>759</v>
      </c>
      <c r="P36">
        <v>1432.52</v>
      </c>
      <c r="Q36">
        <v>3036.87</v>
      </c>
      <c r="R36" t="s">
        <v>1492</v>
      </c>
      <c r="S36" s="31">
        <v>0</v>
      </c>
      <c r="T36">
        <v>9</v>
      </c>
      <c r="U36">
        <v>27331.829999999998</v>
      </c>
      <c r="V36">
        <v>1440183.3744800002</v>
      </c>
      <c r="W36">
        <v>12892.68</v>
      </c>
      <c r="X36">
        <v>14439.149999999998</v>
      </c>
      <c r="Y36" s="31">
        <v>0.52829064135112791</v>
      </c>
      <c r="Z36">
        <v>202408</v>
      </c>
      <c r="AA36">
        <v>202301</v>
      </c>
      <c r="AB36" t="s">
        <v>1448</v>
      </c>
      <c r="AC36">
        <v>19</v>
      </c>
      <c r="AD36" t="s">
        <v>1483</v>
      </c>
      <c r="AE36">
        <v>1</v>
      </c>
      <c r="AF36">
        <v>0</v>
      </c>
    </row>
    <row r="37" spans="1:32" x14ac:dyDescent="0.25">
      <c r="A37" t="s">
        <v>42</v>
      </c>
      <c r="B37" s="4">
        <v>45012</v>
      </c>
      <c r="C37" t="s">
        <v>1469</v>
      </c>
      <c r="D37" t="s">
        <v>1479</v>
      </c>
      <c r="E37" s="4">
        <v>45038</v>
      </c>
      <c r="F37">
        <v>26</v>
      </c>
      <c r="G37" t="s">
        <v>639</v>
      </c>
      <c r="H37" t="s">
        <v>646</v>
      </c>
      <c r="I37" t="s">
        <v>672</v>
      </c>
      <c r="J37" t="s">
        <v>1510</v>
      </c>
      <c r="K37" t="s">
        <v>695</v>
      </c>
      <c r="L37" t="s">
        <v>701</v>
      </c>
      <c r="M37" t="s">
        <v>705</v>
      </c>
      <c r="N37" t="s">
        <v>720</v>
      </c>
      <c r="O37" t="s">
        <v>760</v>
      </c>
      <c r="P37">
        <v>178.53</v>
      </c>
      <c r="Q37">
        <v>199.37</v>
      </c>
      <c r="R37" t="s">
        <v>1490</v>
      </c>
      <c r="S37" s="31">
        <v>0.10100000000000001</v>
      </c>
      <c r="T37">
        <v>37</v>
      </c>
      <c r="U37">
        <v>6631.6443100000006</v>
      </c>
      <c r="V37">
        <v>1412851.5444800002</v>
      </c>
      <c r="W37">
        <v>6605.61</v>
      </c>
      <c r="X37">
        <v>26.034310000000914</v>
      </c>
      <c r="Y37" s="31">
        <v>3.9257699573457538E-3</v>
      </c>
      <c r="Z37">
        <v>202303</v>
      </c>
      <c r="AA37">
        <v>202301</v>
      </c>
      <c r="AB37" t="s">
        <v>1469</v>
      </c>
      <c r="AC37">
        <v>2</v>
      </c>
      <c r="AD37" t="s">
        <v>1484</v>
      </c>
      <c r="AE37">
        <v>0</v>
      </c>
      <c r="AF37">
        <v>0</v>
      </c>
    </row>
    <row r="38" spans="1:32" x14ac:dyDescent="0.25">
      <c r="A38" t="s">
        <v>43</v>
      </c>
      <c r="B38" s="4">
        <v>45358</v>
      </c>
      <c r="C38" t="s">
        <v>1470</v>
      </c>
      <c r="D38" t="s">
        <v>1479</v>
      </c>
      <c r="E38" s="4">
        <v>45376</v>
      </c>
      <c r="F38">
        <v>18</v>
      </c>
      <c r="G38" t="s">
        <v>641</v>
      </c>
      <c r="H38" t="s">
        <v>648</v>
      </c>
      <c r="I38" t="s">
        <v>676</v>
      </c>
      <c r="J38" t="s">
        <v>1514</v>
      </c>
      <c r="K38" t="s">
        <v>693</v>
      </c>
      <c r="L38" t="s">
        <v>700</v>
      </c>
      <c r="M38" t="s">
        <v>709</v>
      </c>
      <c r="N38" t="s">
        <v>719</v>
      </c>
      <c r="O38" t="s">
        <v>761</v>
      </c>
      <c r="P38">
        <v>712.84</v>
      </c>
      <c r="Q38">
        <v>927.51</v>
      </c>
      <c r="R38" t="s">
        <v>1496</v>
      </c>
      <c r="S38" s="31">
        <v>0.24299999999999999</v>
      </c>
      <c r="T38">
        <v>27</v>
      </c>
      <c r="U38">
        <v>18957.37689</v>
      </c>
      <c r="V38">
        <v>1412851.5444800002</v>
      </c>
      <c r="W38">
        <v>19246.68</v>
      </c>
      <c r="X38">
        <v>-289.30311000000074</v>
      </c>
      <c r="Y38" s="31">
        <v>-1.5260714163076427E-2</v>
      </c>
      <c r="Z38">
        <v>202403</v>
      </c>
      <c r="AA38">
        <v>202301</v>
      </c>
      <c r="AB38" t="s">
        <v>1469</v>
      </c>
      <c r="AC38">
        <v>14</v>
      </c>
      <c r="AD38" t="s">
        <v>1484</v>
      </c>
      <c r="AE38">
        <v>0</v>
      </c>
      <c r="AF38">
        <v>1</v>
      </c>
    </row>
    <row r="39" spans="1:32" x14ac:dyDescent="0.25">
      <c r="A39" t="s">
        <v>44</v>
      </c>
      <c r="B39" s="4">
        <v>45832</v>
      </c>
      <c r="C39" t="s">
        <v>1460</v>
      </c>
      <c r="D39" t="s">
        <v>1480</v>
      </c>
      <c r="E39" s="4">
        <v>45848</v>
      </c>
      <c r="F39">
        <v>16</v>
      </c>
      <c r="G39" t="s">
        <v>639</v>
      </c>
      <c r="H39" t="s">
        <v>651</v>
      </c>
      <c r="I39" t="s">
        <v>677</v>
      </c>
      <c r="J39" t="s">
        <v>1515</v>
      </c>
      <c r="K39" t="s">
        <v>698</v>
      </c>
      <c r="L39" t="s">
        <v>703</v>
      </c>
      <c r="M39" t="s">
        <v>717</v>
      </c>
      <c r="N39" t="s">
        <v>719</v>
      </c>
      <c r="O39" t="s">
        <v>762</v>
      </c>
      <c r="P39">
        <v>757.19</v>
      </c>
      <c r="Q39">
        <v>1735.41</v>
      </c>
      <c r="R39" t="s">
        <v>1496</v>
      </c>
      <c r="S39" s="31">
        <v>0.13600000000000001</v>
      </c>
      <c r="T39">
        <v>8</v>
      </c>
      <c r="U39">
        <v>11995.153920000001</v>
      </c>
      <c r="V39">
        <v>1393894.1675900002</v>
      </c>
      <c r="W39">
        <v>6057.52</v>
      </c>
      <c r="X39">
        <v>5937.6339200000002</v>
      </c>
      <c r="Y39" s="31">
        <v>0.4950027285685718</v>
      </c>
      <c r="Z39">
        <v>202506</v>
      </c>
      <c r="AA39">
        <v>202301</v>
      </c>
      <c r="AB39" t="s">
        <v>1458</v>
      </c>
      <c r="AC39">
        <v>29</v>
      </c>
      <c r="AD39" t="s">
        <v>1484</v>
      </c>
      <c r="AE39">
        <v>0</v>
      </c>
      <c r="AF39">
        <v>0</v>
      </c>
    </row>
    <row r="40" spans="1:32" x14ac:dyDescent="0.25">
      <c r="A40" t="s">
        <v>45</v>
      </c>
      <c r="B40" s="4">
        <v>45401</v>
      </c>
      <c r="C40" t="s">
        <v>1447</v>
      </c>
      <c r="D40" t="s">
        <v>1480</v>
      </c>
      <c r="E40" s="4">
        <v>45418</v>
      </c>
      <c r="F40">
        <v>17</v>
      </c>
      <c r="G40" t="s">
        <v>638</v>
      </c>
      <c r="H40" t="s">
        <v>643</v>
      </c>
      <c r="I40" t="s">
        <v>655</v>
      </c>
      <c r="J40" t="s">
        <v>1491</v>
      </c>
      <c r="K40" t="s">
        <v>695</v>
      </c>
      <c r="L40" t="s">
        <v>700</v>
      </c>
      <c r="M40" t="s">
        <v>712</v>
      </c>
      <c r="N40" t="s">
        <v>720</v>
      </c>
      <c r="O40" t="s">
        <v>763</v>
      </c>
      <c r="P40">
        <v>865.33</v>
      </c>
      <c r="Q40">
        <v>1395.64</v>
      </c>
      <c r="R40" t="s">
        <v>1496</v>
      </c>
      <c r="S40" s="31">
        <v>0.17499999999999999</v>
      </c>
      <c r="T40">
        <v>13</v>
      </c>
      <c r="U40">
        <v>14968.239</v>
      </c>
      <c r="V40">
        <v>1381899.01367</v>
      </c>
      <c r="W40">
        <v>11249.29</v>
      </c>
      <c r="X40">
        <v>3718.9489999999987</v>
      </c>
      <c r="Y40" s="31">
        <v>0.24845601409758347</v>
      </c>
      <c r="Z40">
        <v>202404</v>
      </c>
      <c r="AA40">
        <v>202301</v>
      </c>
      <c r="AB40" t="s">
        <v>1446</v>
      </c>
      <c r="AC40">
        <v>15</v>
      </c>
      <c r="AD40" t="s">
        <v>1484</v>
      </c>
      <c r="AE40">
        <v>0</v>
      </c>
      <c r="AF40">
        <v>0</v>
      </c>
    </row>
    <row r="41" spans="1:32" x14ac:dyDescent="0.25">
      <c r="A41" t="s">
        <v>46</v>
      </c>
      <c r="B41" s="4">
        <v>45094</v>
      </c>
      <c r="C41" t="s">
        <v>1458</v>
      </c>
      <c r="D41" t="s">
        <v>1480</v>
      </c>
      <c r="E41" s="4">
        <v>45101</v>
      </c>
      <c r="F41">
        <v>7</v>
      </c>
      <c r="G41" t="s">
        <v>640</v>
      </c>
      <c r="H41" t="s">
        <v>652</v>
      </c>
      <c r="I41" t="s">
        <v>678</v>
      </c>
      <c r="J41" t="s">
        <v>1516</v>
      </c>
      <c r="K41" t="s">
        <v>693</v>
      </c>
      <c r="L41" t="s">
        <v>699</v>
      </c>
      <c r="M41" t="s">
        <v>706</v>
      </c>
      <c r="N41" t="s">
        <v>720</v>
      </c>
      <c r="O41" t="s">
        <v>764</v>
      </c>
      <c r="P41">
        <v>313.99</v>
      </c>
      <c r="Q41">
        <v>454.42</v>
      </c>
      <c r="R41" t="s">
        <v>1490</v>
      </c>
      <c r="S41" s="31">
        <v>0.129</v>
      </c>
      <c r="T41">
        <v>9</v>
      </c>
      <c r="U41">
        <v>3562.1983800000003</v>
      </c>
      <c r="V41">
        <v>1381899.01367</v>
      </c>
      <c r="W41">
        <v>2825.91</v>
      </c>
      <c r="X41">
        <v>736.28838000000042</v>
      </c>
      <c r="Y41" s="31">
        <v>0.20669493988147858</v>
      </c>
      <c r="Z41">
        <v>202306</v>
      </c>
      <c r="AA41">
        <v>202301</v>
      </c>
      <c r="AB41" t="s">
        <v>1458</v>
      </c>
      <c r="AC41">
        <v>5</v>
      </c>
      <c r="AD41" t="s">
        <v>1483</v>
      </c>
      <c r="AE41">
        <v>1</v>
      </c>
      <c r="AF41">
        <v>0</v>
      </c>
    </row>
    <row r="42" spans="1:32" x14ac:dyDescent="0.25">
      <c r="A42" t="s">
        <v>47</v>
      </c>
      <c r="B42" s="4">
        <v>45531</v>
      </c>
      <c r="C42" t="s">
        <v>1474</v>
      </c>
      <c r="D42" t="s">
        <v>1481</v>
      </c>
      <c r="E42" s="4">
        <v>45554</v>
      </c>
      <c r="F42">
        <v>23</v>
      </c>
      <c r="G42" t="s">
        <v>641</v>
      </c>
      <c r="H42" t="s">
        <v>648</v>
      </c>
      <c r="I42" t="s">
        <v>663</v>
      </c>
      <c r="J42" t="s">
        <v>1501</v>
      </c>
      <c r="K42" t="s">
        <v>697</v>
      </c>
      <c r="L42" t="s">
        <v>703</v>
      </c>
      <c r="M42" t="s">
        <v>718</v>
      </c>
      <c r="N42" t="s">
        <v>724</v>
      </c>
      <c r="O42" t="s">
        <v>765</v>
      </c>
      <c r="P42">
        <v>1024.01</v>
      </c>
      <c r="Q42">
        <v>1580.97</v>
      </c>
      <c r="R42" t="s">
        <v>1492</v>
      </c>
      <c r="S42" s="31">
        <v>3.6999999999999998E-2</v>
      </c>
      <c r="T42">
        <v>27</v>
      </c>
      <c r="U42">
        <v>41106.800970000004</v>
      </c>
      <c r="V42">
        <v>1381899.01367</v>
      </c>
      <c r="W42">
        <v>27648.27</v>
      </c>
      <c r="X42">
        <v>13458.530970000003</v>
      </c>
      <c r="Y42" s="31">
        <v>0.3274039976942531</v>
      </c>
      <c r="Z42">
        <v>202408</v>
      </c>
      <c r="AA42">
        <v>202301</v>
      </c>
      <c r="AB42" t="s">
        <v>1448</v>
      </c>
      <c r="AC42">
        <v>19</v>
      </c>
      <c r="AD42" t="s">
        <v>1484</v>
      </c>
      <c r="AE42">
        <v>0</v>
      </c>
      <c r="AF42">
        <v>0</v>
      </c>
    </row>
    <row r="43" spans="1:32" x14ac:dyDescent="0.25">
      <c r="A43" t="s">
        <v>48</v>
      </c>
      <c r="B43" s="4">
        <v>45302</v>
      </c>
      <c r="C43" t="s">
        <v>1454</v>
      </c>
      <c r="D43" t="s">
        <v>1479</v>
      </c>
      <c r="E43" s="4">
        <v>45324</v>
      </c>
      <c r="F43">
        <v>22</v>
      </c>
      <c r="G43" t="s">
        <v>638</v>
      </c>
      <c r="H43" t="s">
        <v>653</v>
      </c>
      <c r="I43" t="s">
        <v>679</v>
      </c>
      <c r="J43" t="s">
        <v>1517</v>
      </c>
      <c r="K43" t="s">
        <v>696</v>
      </c>
      <c r="L43" t="s">
        <v>700</v>
      </c>
      <c r="M43" t="s">
        <v>715</v>
      </c>
      <c r="N43" t="s">
        <v>721</v>
      </c>
      <c r="O43" t="s">
        <v>766</v>
      </c>
      <c r="P43">
        <v>1206.2</v>
      </c>
      <c r="Q43">
        <v>1759.79</v>
      </c>
      <c r="R43" t="s">
        <v>1492</v>
      </c>
      <c r="S43" s="31">
        <v>0</v>
      </c>
      <c r="T43">
        <v>6</v>
      </c>
      <c r="U43">
        <v>10558.74</v>
      </c>
      <c r="V43">
        <v>1381899.01367</v>
      </c>
      <c r="W43">
        <v>7237.2000000000007</v>
      </c>
      <c r="X43">
        <v>3321.5399999999991</v>
      </c>
      <c r="Y43" s="31">
        <v>0.31457730751964713</v>
      </c>
      <c r="Z43">
        <v>202401</v>
      </c>
      <c r="AA43">
        <v>202301</v>
      </c>
      <c r="AB43" t="s">
        <v>1477</v>
      </c>
      <c r="AC43">
        <v>12</v>
      </c>
      <c r="AD43" t="s">
        <v>1484</v>
      </c>
      <c r="AE43">
        <v>0</v>
      </c>
      <c r="AF43">
        <v>0</v>
      </c>
    </row>
    <row r="44" spans="1:32" x14ac:dyDescent="0.25">
      <c r="A44" t="s">
        <v>49</v>
      </c>
      <c r="B44" s="4">
        <v>45590</v>
      </c>
      <c r="C44" t="s">
        <v>1464</v>
      </c>
      <c r="D44" t="s">
        <v>1482</v>
      </c>
      <c r="E44" s="4">
        <v>45610</v>
      </c>
      <c r="F44">
        <v>20</v>
      </c>
      <c r="G44" t="s">
        <v>638</v>
      </c>
      <c r="H44" t="s">
        <v>642</v>
      </c>
      <c r="I44" t="s">
        <v>667</v>
      </c>
      <c r="J44" t="s">
        <v>1505</v>
      </c>
      <c r="K44" t="s">
        <v>693</v>
      </c>
      <c r="L44" t="s">
        <v>703</v>
      </c>
      <c r="M44" t="s">
        <v>714</v>
      </c>
      <c r="N44" t="s">
        <v>720</v>
      </c>
      <c r="O44" t="s">
        <v>767</v>
      </c>
      <c r="P44">
        <v>1396.48</v>
      </c>
      <c r="Q44">
        <v>3204.5</v>
      </c>
      <c r="R44" t="s">
        <v>1492</v>
      </c>
      <c r="S44" s="31">
        <v>0.318</v>
      </c>
      <c r="T44">
        <v>14</v>
      </c>
      <c r="U44">
        <v>30596.565999999999</v>
      </c>
      <c r="V44">
        <v>1381899.01367</v>
      </c>
      <c r="W44">
        <v>19550.72</v>
      </c>
      <c r="X44">
        <v>11045.845999999998</v>
      </c>
      <c r="Y44" s="31">
        <v>0.36101587348070363</v>
      </c>
      <c r="Z44">
        <v>202410</v>
      </c>
      <c r="AA44">
        <v>202301</v>
      </c>
      <c r="AB44" t="s">
        <v>1476</v>
      </c>
      <c r="AC44">
        <v>21</v>
      </c>
      <c r="AD44" t="s">
        <v>1484</v>
      </c>
      <c r="AE44">
        <v>0</v>
      </c>
      <c r="AF44">
        <v>1</v>
      </c>
    </row>
    <row r="45" spans="1:32" x14ac:dyDescent="0.25">
      <c r="A45" t="s">
        <v>50</v>
      </c>
      <c r="B45" s="4">
        <v>45806</v>
      </c>
      <c r="C45" t="s">
        <v>1471</v>
      </c>
      <c r="D45" t="s">
        <v>1480</v>
      </c>
      <c r="E45" s="4">
        <v>45828</v>
      </c>
      <c r="F45">
        <v>22</v>
      </c>
      <c r="G45" t="s">
        <v>641</v>
      </c>
      <c r="H45" t="s">
        <v>648</v>
      </c>
      <c r="I45" t="s">
        <v>663</v>
      </c>
      <c r="J45" t="s">
        <v>1501</v>
      </c>
      <c r="K45" t="s">
        <v>693</v>
      </c>
      <c r="L45" t="s">
        <v>703</v>
      </c>
      <c r="M45" t="s">
        <v>712</v>
      </c>
      <c r="N45" t="s">
        <v>720</v>
      </c>
      <c r="O45" t="s">
        <v>768</v>
      </c>
      <c r="P45">
        <v>483.47</v>
      </c>
      <c r="Q45">
        <v>1135.43</v>
      </c>
      <c r="R45" t="s">
        <v>1490</v>
      </c>
      <c r="S45" s="31">
        <v>0.14599999999999999</v>
      </c>
      <c r="T45">
        <v>11</v>
      </c>
      <c r="U45">
        <v>10666.229420000001</v>
      </c>
      <c r="V45">
        <v>1381899.01367</v>
      </c>
      <c r="W45">
        <v>5318.17</v>
      </c>
      <c r="X45">
        <v>5348.0594200000014</v>
      </c>
      <c r="Y45" s="31">
        <v>0.50140112399719983</v>
      </c>
      <c r="Z45">
        <v>202505</v>
      </c>
      <c r="AA45">
        <v>202301</v>
      </c>
      <c r="AB45" t="s">
        <v>1462</v>
      </c>
      <c r="AC45">
        <v>28</v>
      </c>
      <c r="AD45" t="s">
        <v>1484</v>
      </c>
      <c r="AE45">
        <v>0</v>
      </c>
      <c r="AF45">
        <v>0</v>
      </c>
    </row>
    <row r="46" spans="1:32" x14ac:dyDescent="0.25">
      <c r="A46" t="s">
        <v>51</v>
      </c>
      <c r="B46" s="4">
        <v>45432</v>
      </c>
      <c r="C46" t="s">
        <v>1463</v>
      </c>
      <c r="D46" t="s">
        <v>1480</v>
      </c>
      <c r="E46" s="4">
        <v>45445</v>
      </c>
      <c r="F46">
        <v>13</v>
      </c>
      <c r="G46" t="s">
        <v>640</v>
      </c>
      <c r="H46" t="s">
        <v>645</v>
      </c>
      <c r="I46" t="s">
        <v>680</v>
      </c>
      <c r="J46" t="s">
        <v>1518</v>
      </c>
      <c r="K46" t="s">
        <v>698</v>
      </c>
      <c r="L46" t="s">
        <v>701</v>
      </c>
      <c r="M46" t="s">
        <v>715</v>
      </c>
      <c r="N46" t="s">
        <v>719</v>
      </c>
      <c r="O46" t="s">
        <v>769</v>
      </c>
      <c r="P46">
        <v>675.43</v>
      </c>
      <c r="Q46">
        <v>996.36</v>
      </c>
      <c r="R46" t="s">
        <v>1496</v>
      </c>
      <c r="S46" s="31">
        <v>0.182</v>
      </c>
      <c r="T46">
        <v>22</v>
      </c>
      <c r="U46">
        <v>17930.494560000003</v>
      </c>
      <c r="V46">
        <v>1381899.01367</v>
      </c>
      <c r="W46">
        <v>14859.46</v>
      </c>
      <c r="X46">
        <v>3071.0345600000037</v>
      </c>
      <c r="Y46" s="31">
        <v>0.17127439233332575</v>
      </c>
      <c r="Z46">
        <v>202405</v>
      </c>
      <c r="AA46">
        <v>202301</v>
      </c>
      <c r="AB46" t="s">
        <v>1462</v>
      </c>
      <c r="AC46">
        <v>16</v>
      </c>
      <c r="AD46" t="s">
        <v>1484</v>
      </c>
      <c r="AE46">
        <v>0</v>
      </c>
      <c r="AF46">
        <v>0</v>
      </c>
    </row>
    <row r="47" spans="1:32" x14ac:dyDescent="0.25">
      <c r="A47" t="s">
        <v>52</v>
      </c>
      <c r="B47" s="4">
        <v>45035</v>
      </c>
      <c r="C47" t="s">
        <v>1446</v>
      </c>
      <c r="D47" t="s">
        <v>1480</v>
      </c>
      <c r="E47" s="4">
        <v>45046</v>
      </c>
      <c r="F47">
        <v>11</v>
      </c>
      <c r="G47" t="s">
        <v>639</v>
      </c>
      <c r="H47" t="s">
        <v>646</v>
      </c>
      <c r="I47" t="s">
        <v>672</v>
      </c>
      <c r="J47" t="s">
        <v>1510</v>
      </c>
      <c r="K47" t="s">
        <v>697</v>
      </c>
      <c r="L47" t="s">
        <v>699</v>
      </c>
      <c r="M47" t="s">
        <v>712</v>
      </c>
      <c r="N47" t="s">
        <v>721</v>
      </c>
      <c r="O47" t="s">
        <v>770</v>
      </c>
      <c r="P47">
        <v>826.55</v>
      </c>
      <c r="Q47">
        <v>1397.05</v>
      </c>
      <c r="R47" t="s">
        <v>1496</v>
      </c>
      <c r="S47" s="31">
        <v>0.16900000000000001</v>
      </c>
      <c r="T47">
        <v>28</v>
      </c>
      <c r="U47">
        <v>32506.559399999998</v>
      </c>
      <c r="V47">
        <v>1363968.51911</v>
      </c>
      <c r="W47">
        <v>23143.399999999998</v>
      </c>
      <c r="X47">
        <v>9363.1594000000005</v>
      </c>
      <c r="Y47" s="31">
        <v>0.28803907804527601</v>
      </c>
      <c r="Z47">
        <v>202304</v>
      </c>
      <c r="AA47">
        <v>202301</v>
      </c>
      <c r="AB47" t="s">
        <v>1446</v>
      </c>
      <c r="AC47">
        <v>3</v>
      </c>
      <c r="AD47" t="s">
        <v>1484</v>
      </c>
      <c r="AE47">
        <v>0</v>
      </c>
      <c r="AF47">
        <v>0</v>
      </c>
    </row>
    <row r="48" spans="1:32" x14ac:dyDescent="0.25">
      <c r="A48" t="s">
        <v>53</v>
      </c>
      <c r="B48" s="4">
        <v>45100</v>
      </c>
      <c r="C48" t="s">
        <v>1458</v>
      </c>
      <c r="D48" t="s">
        <v>1480</v>
      </c>
      <c r="E48" s="4">
        <v>45110</v>
      </c>
      <c r="F48">
        <v>10</v>
      </c>
      <c r="G48" t="s">
        <v>638</v>
      </c>
      <c r="H48" t="s">
        <v>643</v>
      </c>
      <c r="I48" t="s">
        <v>661</v>
      </c>
      <c r="J48" t="s">
        <v>1499</v>
      </c>
      <c r="K48" t="s">
        <v>696</v>
      </c>
      <c r="L48" t="s">
        <v>700</v>
      </c>
      <c r="M48" t="s">
        <v>705</v>
      </c>
      <c r="N48" t="s">
        <v>720</v>
      </c>
      <c r="O48" t="s">
        <v>771</v>
      </c>
      <c r="P48">
        <v>337.75</v>
      </c>
      <c r="Q48">
        <v>548.89</v>
      </c>
      <c r="R48" t="s">
        <v>1490</v>
      </c>
      <c r="S48" s="31">
        <v>0</v>
      </c>
      <c r="T48">
        <v>13</v>
      </c>
      <c r="U48">
        <v>7135.57</v>
      </c>
      <c r="V48">
        <v>1363968.51911</v>
      </c>
      <c r="W48">
        <v>4390.75</v>
      </c>
      <c r="X48">
        <v>2744.8199999999997</v>
      </c>
      <c r="Y48" s="31">
        <v>0.38466723751571352</v>
      </c>
      <c r="Z48">
        <v>202306</v>
      </c>
      <c r="AA48">
        <v>202301</v>
      </c>
      <c r="AB48" t="s">
        <v>1458</v>
      </c>
      <c r="AC48">
        <v>5</v>
      </c>
      <c r="AD48" t="s">
        <v>1484</v>
      </c>
      <c r="AE48">
        <v>0</v>
      </c>
      <c r="AF48">
        <v>0</v>
      </c>
    </row>
    <row r="49" spans="1:32" x14ac:dyDescent="0.25">
      <c r="A49" t="s">
        <v>54</v>
      </c>
      <c r="B49" s="4">
        <v>45426</v>
      </c>
      <c r="C49" t="s">
        <v>1463</v>
      </c>
      <c r="D49" t="s">
        <v>1480</v>
      </c>
      <c r="E49" s="4">
        <v>45440</v>
      </c>
      <c r="F49">
        <v>14</v>
      </c>
      <c r="G49" t="s">
        <v>641</v>
      </c>
      <c r="H49" t="s">
        <v>650</v>
      </c>
      <c r="I49" t="s">
        <v>666</v>
      </c>
      <c r="J49" t="s">
        <v>1504</v>
      </c>
      <c r="K49" t="s">
        <v>696</v>
      </c>
      <c r="L49" t="s">
        <v>699</v>
      </c>
      <c r="M49" t="s">
        <v>709</v>
      </c>
      <c r="N49" t="s">
        <v>721</v>
      </c>
      <c r="O49" t="s">
        <v>772</v>
      </c>
      <c r="P49">
        <v>1421.14</v>
      </c>
      <c r="Q49">
        <v>3524</v>
      </c>
      <c r="R49" t="s">
        <v>1492</v>
      </c>
      <c r="S49" s="31">
        <v>0</v>
      </c>
      <c r="T49">
        <v>31</v>
      </c>
      <c r="U49">
        <v>109244</v>
      </c>
      <c r="V49">
        <v>1363968.51911</v>
      </c>
      <c r="W49">
        <v>44055.340000000004</v>
      </c>
      <c r="X49">
        <v>65188.659999999996</v>
      </c>
      <c r="Y49" s="31">
        <v>0.59672531214528945</v>
      </c>
      <c r="Z49">
        <v>202405</v>
      </c>
      <c r="AA49">
        <v>202301</v>
      </c>
      <c r="AB49" t="s">
        <v>1462</v>
      </c>
      <c r="AC49">
        <v>16</v>
      </c>
      <c r="AD49" t="s">
        <v>1484</v>
      </c>
      <c r="AE49">
        <v>0</v>
      </c>
      <c r="AF49">
        <v>0</v>
      </c>
    </row>
    <row r="50" spans="1:32" x14ac:dyDescent="0.25">
      <c r="A50" t="s">
        <v>55</v>
      </c>
      <c r="B50" s="4">
        <v>45579</v>
      </c>
      <c r="C50" t="s">
        <v>1464</v>
      </c>
      <c r="D50" t="s">
        <v>1482</v>
      </c>
      <c r="E50" s="4">
        <v>45604</v>
      </c>
      <c r="F50">
        <v>25</v>
      </c>
      <c r="G50" t="s">
        <v>638</v>
      </c>
      <c r="H50" t="s">
        <v>643</v>
      </c>
      <c r="I50" t="s">
        <v>657</v>
      </c>
      <c r="J50" t="s">
        <v>1494</v>
      </c>
      <c r="K50" t="s">
        <v>698</v>
      </c>
      <c r="L50" t="s">
        <v>700</v>
      </c>
      <c r="M50" t="s">
        <v>711</v>
      </c>
      <c r="N50" t="s">
        <v>721</v>
      </c>
      <c r="O50" t="s">
        <v>773</v>
      </c>
      <c r="P50">
        <v>859.35</v>
      </c>
      <c r="Q50">
        <v>1825.61</v>
      </c>
      <c r="R50" t="s">
        <v>1496</v>
      </c>
      <c r="S50" s="31">
        <v>0.187</v>
      </c>
      <c r="T50">
        <v>24</v>
      </c>
      <c r="U50">
        <v>35621.302319999995</v>
      </c>
      <c r="V50">
        <v>1363968.51911</v>
      </c>
      <c r="W50">
        <v>20624.400000000001</v>
      </c>
      <c r="X50">
        <v>14996.902319999994</v>
      </c>
      <c r="Y50" s="31">
        <v>0.42100937762681989</v>
      </c>
      <c r="Z50">
        <v>202410</v>
      </c>
      <c r="AA50">
        <v>202301</v>
      </c>
      <c r="AB50" t="s">
        <v>1476</v>
      </c>
      <c r="AC50">
        <v>21</v>
      </c>
      <c r="AD50" t="s">
        <v>1484</v>
      </c>
      <c r="AE50">
        <v>0</v>
      </c>
      <c r="AF50">
        <v>0</v>
      </c>
    </row>
    <row r="51" spans="1:32" x14ac:dyDescent="0.25">
      <c r="A51" t="s">
        <v>56</v>
      </c>
      <c r="B51" s="4">
        <v>45117</v>
      </c>
      <c r="C51" t="s">
        <v>1468</v>
      </c>
      <c r="D51" t="s">
        <v>1481</v>
      </c>
      <c r="E51" s="4">
        <v>45139</v>
      </c>
      <c r="F51">
        <v>22</v>
      </c>
      <c r="G51" t="s">
        <v>641</v>
      </c>
      <c r="H51" t="s">
        <v>649</v>
      </c>
      <c r="I51" t="s">
        <v>665</v>
      </c>
      <c r="J51" t="s">
        <v>1503</v>
      </c>
      <c r="K51" t="s">
        <v>696</v>
      </c>
      <c r="L51" t="s">
        <v>701</v>
      </c>
      <c r="M51" t="s">
        <v>709</v>
      </c>
      <c r="N51" t="s">
        <v>720</v>
      </c>
      <c r="O51" t="s">
        <v>774</v>
      </c>
      <c r="P51">
        <v>1303.56</v>
      </c>
      <c r="Q51">
        <v>1791.37</v>
      </c>
      <c r="R51" t="s">
        <v>1492</v>
      </c>
      <c r="S51" s="31">
        <v>0.126</v>
      </c>
      <c r="T51">
        <v>22</v>
      </c>
      <c r="U51">
        <v>34444.462359999998</v>
      </c>
      <c r="V51">
        <v>1363968.51911</v>
      </c>
      <c r="W51">
        <v>28678.32</v>
      </c>
      <c r="X51">
        <v>5766.142359999998</v>
      </c>
      <c r="Y51" s="31">
        <v>0.16740404596055358</v>
      </c>
      <c r="Z51">
        <v>202307</v>
      </c>
      <c r="AA51">
        <v>202301</v>
      </c>
      <c r="AB51" t="s">
        <v>1468</v>
      </c>
      <c r="AC51">
        <v>6</v>
      </c>
      <c r="AD51" t="s">
        <v>1484</v>
      </c>
      <c r="AE51">
        <v>0</v>
      </c>
      <c r="AF51">
        <v>0</v>
      </c>
    </row>
    <row r="52" spans="1:32" x14ac:dyDescent="0.25">
      <c r="A52" t="s">
        <v>57</v>
      </c>
      <c r="B52" s="4">
        <v>45602</v>
      </c>
      <c r="C52" t="s">
        <v>1472</v>
      </c>
      <c r="D52" t="s">
        <v>1482</v>
      </c>
      <c r="E52" s="4">
        <v>45618</v>
      </c>
      <c r="F52">
        <v>16</v>
      </c>
      <c r="G52" t="s">
        <v>640</v>
      </c>
      <c r="H52" t="s">
        <v>645</v>
      </c>
      <c r="I52" t="s">
        <v>659</v>
      </c>
      <c r="J52" t="s">
        <v>1497</v>
      </c>
      <c r="K52" t="s">
        <v>695</v>
      </c>
      <c r="L52" t="s">
        <v>702</v>
      </c>
      <c r="M52" t="s">
        <v>718</v>
      </c>
      <c r="N52" t="s">
        <v>725</v>
      </c>
      <c r="O52" t="s">
        <v>775</v>
      </c>
      <c r="P52">
        <v>1454.11</v>
      </c>
      <c r="Q52">
        <v>2629.75</v>
      </c>
      <c r="R52" t="s">
        <v>1492</v>
      </c>
      <c r="S52" s="31">
        <v>0.29199999999999998</v>
      </c>
      <c r="T52">
        <v>8</v>
      </c>
      <c r="U52">
        <v>14894.903999999999</v>
      </c>
      <c r="V52">
        <v>1363968.51911</v>
      </c>
      <c r="W52">
        <v>11632.88</v>
      </c>
      <c r="X52">
        <v>3262.0239999999994</v>
      </c>
      <c r="Y52" s="31">
        <v>0.21900268709351867</v>
      </c>
      <c r="Z52">
        <v>202411</v>
      </c>
      <c r="AA52">
        <v>202301</v>
      </c>
      <c r="AB52" t="s">
        <v>1475</v>
      </c>
      <c r="AC52">
        <v>22</v>
      </c>
      <c r="AD52" t="s">
        <v>1484</v>
      </c>
      <c r="AE52">
        <v>0</v>
      </c>
      <c r="AF52">
        <v>1</v>
      </c>
    </row>
    <row r="53" spans="1:32" x14ac:dyDescent="0.25">
      <c r="A53" t="s">
        <v>58</v>
      </c>
      <c r="B53" s="4">
        <v>45582</v>
      </c>
      <c r="C53" t="s">
        <v>1464</v>
      </c>
      <c r="D53" t="s">
        <v>1482</v>
      </c>
      <c r="E53" s="4">
        <v>45602</v>
      </c>
      <c r="F53">
        <v>20</v>
      </c>
      <c r="G53" t="s">
        <v>639</v>
      </c>
      <c r="H53" t="s">
        <v>646</v>
      </c>
      <c r="I53" t="s">
        <v>660</v>
      </c>
      <c r="J53" t="s">
        <v>1498</v>
      </c>
      <c r="K53" t="s">
        <v>698</v>
      </c>
      <c r="L53" t="s">
        <v>702</v>
      </c>
      <c r="M53" t="s">
        <v>711</v>
      </c>
      <c r="N53" t="s">
        <v>724</v>
      </c>
      <c r="O53" t="s">
        <v>776</v>
      </c>
      <c r="P53">
        <v>72.94</v>
      </c>
      <c r="Q53">
        <v>106.3</v>
      </c>
      <c r="R53" t="s">
        <v>1490</v>
      </c>
      <c r="S53" s="31">
        <v>0.29499999999999998</v>
      </c>
      <c r="T53">
        <v>8</v>
      </c>
      <c r="U53">
        <v>599.53200000000004</v>
      </c>
      <c r="V53">
        <v>1363968.51911</v>
      </c>
      <c r="W53">
        <v>583.52</v>
      </c>
      <c r="X53">
        <v>16.012000000000057</v>
      </c>
      <c r="Y53" s="31">
        <v>2.6707498515508857E-2</v>
      </c>
      <c r="Z53">
        <v>202410</v>
      </c>
      <c r="AA53">
        <v>202301</v>
      </c>
      <c r="AB53" t="s">
        <v>1476</v>
      </c>
      <c r="AC53">
        <v>21</v>
      </c>
      <c r="AD53" t="s">
        <v>1484</v>
      </c>
      <c r="AE53">
        <v>0</v>
      </c>
      <c r="AF53">
        <v>1</v>
      </c>
    </row>
    <row r="54" spans="1:32" x14ac:dyDescent="0.25">
      <c r="A54" t="s">
        <v>59</v>
      </c>
      <c r="B54" s="4">
        <v>45016</v>
      </c>
      <c r="C54" t="s">
        <v>1469</v>
      </c>
      <c r="D54" t="s">
        <v>1479</v>
      </c>
      <c r="E54" s="4">
        <v>45021</v>
      </c>
      <c r="F54">
        <v>5</v>
      </c>
      <c r="G54" t="s">
        <v>638</v>
      </c>
      <c r="H54" t="s">
        <v>642</v>
      </c>
      <c r="I54" t="s">
        <v>670</v>
      </c>
      <c r="J54" t="s">
        <v>1508</v>
      </c>
      <c r="K54" t="s">
        <v>694</v>
      </c>
      <c r="L54" t="s">
        <v>701</v>
      </c>
      <c r="M54" t="s">
        <v>709</v>
      </c>
      <c r="N54" t="s">
        <v>723</v>
      </c>
      <c r="O54" t="s">
        <v>777</v>
      </c>
      <c r="P54">
        <v>533.26</v>
      </c>
      <c r="Q54">
        <v>385.72</v>
      </c>
      <c r="R54" t="s">
        <v>1496</v>
      </c>
      <c r="S54" s="31">
        <v>0</v>
      </c>
      <c r="T54">
        <v>15</v>
      </c>
      <c r="U54">
        <v>5785.8</v>
      </c>
      <c r="V54">
        <v>1363968.51911</v>
      </c>
      <c r="W54">
        <v>7998.9</v>
      </c>
      <c r="X54">
        <v>-2213.0999999999995</v>
      </c>
      <c r="Y54" s="31">
        <v>-0.38250544436378708</v>
      </c>
      <c r="Z54">
        <v>202303</v>
      </c>
      <c r="AA54">
        <v>202301</v>
      </c>
      <c r="AB54" t="s">
        <v>1469</v>
      </c>
      <c r="AC54">
        <v>2</v>
      </c>
      <c r="AD54" t="s">
        <v>1483</v>
      </c>
      <c r="AE54">
        <v>1</v>
      </c>
      <c r="AF54">
        <v>0</v>
      </c>
    </row>
    <row r="55" spans="1:32" x14ac:dyDescent="0.25">
      <c r="A55" t="s">
        <v>60</v>
      </c>
      <c r="B55" s="4">
        <v>45678</v>
      </c>
      <c r="C55" t="s">
        <v>1455</v>
      </c>
      <c r="D55" t="s">
        <v>1479</v>
      </c>
      <c r="E55" s="4">
        <v>45704</v>
      </c>
      <c r="F55">
        <v>26</v>
      </c>
      <c r="G55" t="s">
        <v>641</v>
      </c>
      <c r="H55" t="s">
        <v>649</v>
      </c>
      <c r="I55" t="s">
        <v>671</v>
      </c>
      <c r="J55" t="s">
        <v>1509</v>
      </c>
      <c r="K55" t="s">
        <v>693</v>
      </c>
      <c r="L55" t="s">
        <v>702</v>
      </c>
      <c r="M55" t="s">
        <v>711</v>
      </c>
      <c r="N55" t="s">
        <v>723</v>
      </c>
      <c r="O55" t="s">
        <v>778</v>
      </c>
      <c r="P55">
        <v>204.11</v>
      </c>
      <c r="Q55">
        <v>236.87</v>
      </c>
      <c r="R55" t="s">
        <v>1490</v>
      </c>
      <c r="S55" s="31">
        <v>0.182</v>
      </c>
      <c r="T55">
        <v>13</v>
      </c>
      <c r="U55">
        <v>2518.8755800000004</v>
      </c>
      <c r="V55">
        <v>1363968.51911</v>
      </c>
      <c r="W55">
        <v>2653.4300000000003</v>
      </c>
      <c r="X55">
        <v>-134.55441999999994</v>
      </c>
      <c r="Y55" s="31">
        <v>-5.3418446337075494E-2</v>
      </c>
      <c r="Z55">
        <v>202501</v>
      </c>
      <c r="AA55">
        <v>202301</v>
      </c>
      <c r="AB55" t="s">
        <v>1477</v>
      </c>
      <c r="AC55">
        <v>24</v>
      </c>
      <c r="AD55" t="s">
        <v>1484</v>
      </c>
      <c r="AE55">
        <v>0</v>
      </c>
      <c r="AF55">
        <v>0</v>
      </c>
    </row>
    <row r="56" spans="1:32" x14ac:dyDescent="0.25">
      <c r="A56" t="s">
        <v>61</v>
      </c>
      <c r="B56" s="4">
        <v>45168</v>
      </c>
      <c r="C56" t="s">
        <v>1448</v>
      </c>
      <c r="D56" t="s">
        <v>1481</v>
      </c>
      <c r="E56" s="4">
        <v>45170</v>
      </c>
      <c r="F56">
        <v>2</v>
      </c>
      <c r="G56" t="s">
        <v>641</v>
      </c>
      <c r="H56" t="s">
        <v>648</v>
      </c>
      <c r="I56" t="s">
        <v>676</v>
      </c>
      <c r="J56" t="s">
        <v>1514</v>
      </c>
      <c r="K56" t="s">
        <v>693</v>
      </c>
      <c r="L56" t="s">
        <v>703</v>
      </c>
      <c r="M56" t="s">
        <v>717</v>
      </c>
      <c r="N56" t="s">
        <v>721</v>
      </c>
      <c r="O56" t="s">
        <v>779</v>
      </c>
      <c r="P56">
        <v>44.42</v>
      </c>
      <c r="Q56">
        <v>41.9</v>
      </c>
      <c r="R56" t="s">
        <v>1490</v>
      </c>
      <c r="S56" s="31">
        <v>0.14399999999999999</v>
      </c>
      <c r="T56">
        <v>6</v>
      </c>
      <c r="U56">
        <v>215.19839999999996</v>
      </c>
      <c r="V56">
        <v>1363968.51911</v>
      </c>
      <c r="W56">
        <v>266.52</v>
      </c>
      <c r="X56">
        <v>-51.321600000000018</v>
      </c>
      <c r="Y56" s="31">
        <v>-0.23848504449847224</v>
      </c>
      <c r="Z56">
        <v>202308</v>
      </c>
      <c r="AA56">
        <v>202301</v>
      </c>
      <c r="AB56" t="s">
        <v>1448</v>
      </c>
      <c r="AC56">
        <v>7</v>
      </c>
      <c r="AD56" t="s">
        <v>1483</v>
      </c>
      <c r="AE56">
        <v>1</v>
      </c>
      <c r="AF56">
        <v>0</v>
      </c>
    </row>
    <row r="57" spans="1:32" x14ac:dyDescent="0.25">
      <c r="A57" t="s">
        <v>62</v>
      </c>
      <c r="B57" s="4">
        <v>45753</v>
      </c>
      <c r="C57" t="s">
        <v>1473</v>
      </c>
      <c r="D57" t="s">
        <v>1480</v>
      </c>
      <c r="E57" s="4">
        <v>45777</v>
      </c>
      <c r="F57">
        <v>24</v>
      </c>
      <c r="G57" t="s">
        <v>640</v>
      </c>
      <c r="H57" t="s">
        <v>647</v>
      </c>
      <c r="I57" t="s">
        <v>664</v>
      </c>
      <c r="J57" t="s">
        <v>1502</v>
      </c>
      <c r="K57" t="s">
        <v>694</v>
      </c>
      <c r="L57" t="s">
        <v>700</v>
      </c>
      <c r="M57" t="s">
        <v>715</v>
      </c>
      <c r="N57" t="s">
        <v>724</v>
      </c>
      <c r="O57" t="s">
        <v>780</v>
      </c>
      <c r="P57">
        <v>855.78</v>
      </c>
      <c r="Q57">
        <v>977.38</v>
      </c>
      <c r="R57" t="s">
        <v>1496</v>
      </c>
      <c r="S57" s="31">
        <v>0.14699999999999999</v>
      </c>
      <c r="T57">
        <v>38</v>
      </c>
      <c r="U57">
        <v>31680.795320000001</v>
      </c>
      <c r="V57">
        <v>1363968.51911</v>
      </c>
      <c r="W57">
        <v>32519.64</v>
      </c>
      <c r="X57">
        <v>-838.84467999999833</v>
      </c>
      <c r="Y57" s="31">
        <v>-2.6478018355506307E-2</v>
      </c>
      <c r="Z57">
        <v>202504</v>
      </c>
      <c r="AA57">
        <v>202301</v>
      </c>
      <c r="AB57" t="s">
        <v>1446</v>
      </c>
      <c r="AC57">
        <v>27</v>
      </c>
      <c r="AD57" t="s">
        <v>1484</v>
      </c>
      <c r="AE57">
        <v>0</v>
      </c>
      <c r="AF57">
        <v>0</v>
      </c>
    </row>
    <row r="58" spans="1:32" x14ac:dyDescent="0.25">
      <c r="A58" t="s">
        <v>63</v>
      </c>
      <c r="B58" s="4">
        <v>45697</v>
      </c>
      <c r="C58" t="s">
        <v>1453</v>
      </c>
      <c r="D58" t="s">
        <v>1479</v>
      </c>
      <c r="E58" s="4">
        <v>45717</v>
      </c>
      <c r="F58">
        <v>20</v>
      </c>
      <c r="G58" t="s">
        <v>640</v>
      </c>
      <c r="H58" t="s">
        <v>647</v>
      </c>
      <c r="I58" t="s">
        <v>662</v>
      </c>
      <c r="J58" t="s">
        <v>1500</v>
      </c>
      <c r="K58" t="s">
        <v>693</v>
      </c>
      <c r="L58" t="s">
        <v>702</v>
      </c>
      <c r="M58" t="s">
        <v>709</v>
      </c>
      <c r="N58" t="s">
        <v>723</v>
      </c>
      <c r="O58" t="s">
        <v>781</v>
      </c>
      <c r="P58">
        <v>1154.6400000000001</v>
      </c>
      <c r="Q58">
        <v>2794.13</v>
      </c>
      <c r="R58" t="s">
        <v>1492</v>
      </c>
      <c r="S58" s="31">
        <v>3.5000000000000003E-2</v>
      </c>
      <c r="T58">
        <v>11</v>
      </c>
      <c r="U58">
        <v>29659.68995</v>
      </c>
      <c r="V58">
        <v>1363968.51911</v>
      </c>
      <c r="W58">
        <v>12701.04</v>
      </c>
      <c r="X58">
        <v>16958.649949999999</v>
      </c>
      <c r="Y58" s="31">
        <v>0.57177435025749479</v>
      </c>
      <c r="Z58">
        <v>202502</v>
      </c>
      <c r="AA58">
        <v>202301</v>
      </c>
      <c r="AB58" t="s">
        <v>1451</v>
      </c>
      <c r="AC58">
        <v>25</v>
      </c>
      <c r="AD58" t="s">
        <v>1484</v>
      </c>
      <c r="AE58">
        <v>0</v>
      </c>
      <c r="AF58">
        <v>0</v>
      </c>
    </row>
    <row r="59" spans="1:32" x14ac:dyDescent="0.25">
      <c r="A59" t="s">
        <v>64</v>
      </c>
      <c r="B59" s="4">
        <v>45643</v>
      </c>
      <c r="C59" t="s">
        <v>1478</v>
      </c>
      <c r="D59" t="s">
        <v>1482</v>
      </c>
      <c r="E59" s="4">
        <v>45644</v>
      </c>
      <c r="F59">
        <v>1</v>
      </c>
      <c r="G59" t="s">
        <v>641</v>
      </c>
      <c r="H59" t="s">
        <v>648</v>
      </c>
      <c r="I59" t="s">
        <v>676</v>
      </c>
      <c r="J59" t="s">
        <v>1514</v>
      </c>
      <c r="K59" t="s">
        <v>694</v>
      </c>
      <c r="L59" t="s">
        <v>699</v>
      </c>
      <c r="M59" t="s">
        <v>708</v>
      </c>
      <c r="N59" t="s">
        <v>725</v>
      </c>
      <c r="O59" t="s">
        <v>782</v>
      </c>
      <c r="P59">
        <v>346.82</v>
      </c>
      <c r="Q59">
        <v>701.95</v>
      </c>
      <c r="R59" t="s">
        <v>1490</v>
      </c>
      <c r="S59" s="31">
        <v>0.14699999999999999</v>
      </c>
      <c r="T59">
        <v>8</v>
      </c>
      <c r="U59">
        <v>4790.1068000000005</v>
      </c>
      <c r="V59">
        <v>1363968.51911</v>
      </c>
      <c r="W59">
        <v>2774.56</v>
      </c>
      <c r="X59">
        <v>2015.5468000000005</v>
      </c>
      <c r="Y59" s="31">
        <v>0.42077283120284509</v>
      </c>
      <c r="Z59">
        <v>202412</v>
      </c>
      <c r="AA59">
        <v>202301</v>
      </c>
      <c r="AB59" t="s">
        <v>1450</v>
      </c>
      <c r="AC59">
        <v>23</v>
      </c>
      <c r="AD59" t="s">
        <v>1483</v>
      </c>
      <c r="AE59">
        <v>1</v>
      </c>
      <c r="AF59">
        <v>0</v>
      </c>
    </row>
    <row r="60" spans="1:32" x14ac:dyDescent="0.25">
      <c r="A60" t="s">
        <v>65</v>
      </c>
      <c r="B60" s="4">
        <v>45817</v>
      </c>
      <c r="C60" t="s">
        <v>1460</v>
      </c>
      <c r="D60" t="s">
        <v>1480</v>
      </c>
      <c r="E60" s="4">
        <v>45826</v>
      </c>
      <c r="F60">
        <v>9</v>
      </c>
      <c r="G60" t="s">
        <v>641</v>
      </c>
      <c r="H60" t="s">
        <v>649</v>
      </c>
      <c r="I60" t="s">
        <v>665</v>
      </c>
      <c r="J60" t="s">
        <v>1503</v>
      </c>
      <c r="K60" t="s">
        <v>697</v>
      </c>
      <c r="L60" t="s">
        <v>701</v>
      </c>
      <c r="M60" t="s">
        <v>714</v>
      </c>
      <c r="N60" t="s">
        <v>725</v>
      </c>
      <c r="O60" t="s">
        <v>783</v>
      </c>
      <c r="P60">
        <v>1225.5</v>
      </c>
      <c r="Q60">
        <v>5.27</v>
      </c>
      <c r="R60" t="s">
        <v>1492</v>
      </c>
      <c r="S60" s="31">
        <v>7.4999999999999997E-2</v>
      </c>
      <c r="T60">
        <v>56</v>
      </c>
      <c r="U60">
        <v>272.98599999999999</v>
      </c>
      <c r="V60">
        <v>1363968.51911</v>
      </c>
      <c r="W60">
        <v>68628</v>
      </c>
      <c r="X60">
        <v>-68355.013999999996</v>
      </c>
      <c r="Y60" s="31">
        <v>-250.39750756449047</v>
      </c>
      <c r="Z60">
        <v>202506</v>
      </c>
      <c r="AA60">
        <v>202301</v>
      </c>
      <c r="AB60" t="s">
        <v>1458</v>
      </c>
      <c r="AC60">
        <v>29</v>
      </c>
      <c r="AD60" t="s">
        <v>1484</v>
      </c>
      <c r="AE60">
        <v>0</v>
      </c>
      <c r="AF60">
        <v>0</v>
      </c>
    </row>
    <row r="61" spans="1:32" x14ac:dyDescent="0.25">
      <c r="A61" t="s">
        <v>66</v>
      </c>
      <c r="B61" s="4">
        <v>45779</v>
      </c>
      <c r="C61" t="s">
        <v>1471</v>
      </c>
      <c r="D61" t="s">
        <v>1480</v>
      </c>
      <c r="E61" s="4">
        <v>45790</v>
      </c>
      <c r="F61">
        <v>11</v>
      </c>
      <c r="G61" t="s">
        <v>638</v>
      </c>
      <c r="H61" t="s">
        <v>642</v>
      </c>
      <c r="I61" t="s">
        <v>670</v>
      </c>
      <c r="J61" t="s">
        <v>1508</v>
      </c>
      <c r="K61" t="s">
        <v>697</v>
      </c>
      <c r="L61" t="s">
        <v>700</v>
      </c>
      <c r="M61" t="s">
        <v>712</v>
      </c>
      <c r="N61" t="s">
        <v>725</v>
      </c>
      <c r="O61" t="s">
        <v>784</v>
      </c>
      <c r="P61">
        <v>1057.5999999999999</v>
      </c>
      <c r="Q61">
        <v>1437.06</v>
      </c>
      <c r="R61" t="s">
        <v>1492</v>
      </c>
      <c r="S61" s="31">
        <v>0.20499999999999999</v>
      </c>
      <c r="T61">
        <v>4</v>
      </c>
      <c r="U61">
        <v>4569.8508000000002</v>
      </c>
      <c r="V61">
        <v>1363968.51911</v>
      </c>
      <c r="W61">
        <v>4230.3999999999996</v>
      </c>
      <c r="X61">
        <v>339.45080000000053</v>
      </c>
      <c r="Y61" s="31">
        <v>7.4280499485891424E-2</v>
      </c>
      <c r="Z61">
        <v>202505</v>
      </c>
      <c r="AA61">
        <v>202301</v>
      </c>
      <c r="AB61" t="s">
        <v>1462</v>
      </c>
      <c r="AC61">
        <v>28</v>
      </c>
      <c r="AD61" t="s">
        <v>1484</v>
      </c>
      <c r="AE61">
        <v>0</v>
      </c>
      <c r="AF61">
        <v>1</v>
      </c>
    </row>
    <row r="62" spans="1:32" x14ac:dyDescent="0.25">
      <c r="A62" t="s">
        <v>67</v>
      </c>
      <c r="B62" s="4">
        <v>45361</v>
      </c>
      <c r="C62" t="s">
        <v>1470</v>
      </c>
      <c r="D62" t="s">
        <v>1479</v>
      </c>
      <c r="E62" s="4">
        <v>45391</v>
      </c>
      <c r="F62">
        <v>30</v>
      </c>
      <c r="G62" t="s">
        <v>641</v>
      </c>
      <c r="H62" t="s">
        <v>649</v>
      </c>
      <c r="I62" t="s">
        <v>671</v>
      </c>
      <c r="J62" t="s">
        <v>1509</v>
      </c>
      <c r="K62" t="s">
        <v>693</v>
      </c>
      <c r="L62" t="s">
        <v>703</v>
      </c>
      <c r="M62" t="s">
        <v>706</v>
      </c>
      <c r="N62" t="s">
        <v>719</v>
      </c>
      <c r="O62" t="s">
        <v>785</v>
      </c>
      <c r="P62">
        <v>1176.56</v>
      </c>
      <c r="Q62">
        <v>1911.89</v>
      </c>
      <c r="R62" t="s">
        <v>1492</v>
      </c>
      <c r="S62" s="31">
        <v>0.11899999999999999</v>
      </c>
      <c r="T62">
        <v>20</v>
      </c>
      <c r="U62">
        <v>33687.501800000005</v>
      </c>
      <c r="V62">
        <v>1363968.51911</v>
      </c>
      <c r="W62">
        <v>23531.199999999997</v>
      </c>
      <c r="X62">
        <v>10156.301800000008</v>
      </c>
      <c r="Y62" s="31">
        <v>0.30148575160892477</v>
      </c>
      <c r="Z62">
        <v>202403</v>
      </c>
      <c r="AA62">
        <v>202301</v>
      </c>
      <c r="AB62" t="s">
        <v>1469</v>
      </c>
      <c r="AC62">
        <v>14</v>
      </c>
      <c r="AD62" t="s">
        <v>1484</v>
      </c>
      <c r="AE62">
        <v>0</v>
      </c>
      <c r="AF62">
        <v>0</v>
      </c>
    </row>
    <row r="63" spans="1:32" x14ac:dyDescent="0.25">
      <c r="A63" t="s">
        <v>68</v>
      </c>
      <c r="B63" s="4">
        <v>45910</v>
      </c>
      <c r="C63" t="s">
        <v>1467</v>
      </c>
      <c r="D63" t="s">
        <v>1481</v>
      </c>
      <c r="E63" s="4">
        <v>45912</v>
      </c>
      <c r="F63">
        <v>2</v>
      </c>
      <c r="G63" t="s">
        <v>639</v>
      </c>
      <c r="H63" t="s">
        <v>644</v>
      </c>
      <c r="I63" t="s">
        <v>681</v>
      </c>
      <c r="J63" t="s">
        <v>1519</v>
      </c>
      <c r="K63" t="s">
        <v>696</v>
      </c>
      <c r="L63" t="s">
        <v>700</v>
      </c>
      <c r="M63" t="s">
        <v>711</v>
      </c>
      <c r="N63" t="s">
        <v>719</v>
      </c>
      <c r="O63" t="s">
        <v>786</v>
      </c>
      <c r="P63">
        <v>1470.15</v>
      </c>
      <c r="Q63">
        <v>2593.7800000000002</v>
      </c>
      <c r="R63" t="s">
        <v>1492</v>
      </c>
      <c r="S63" s="31">
        <v>0.11</v>
      </c>
      <c r="T63">
        <v>12</v>
      </c>
      <c r="U63">
        <v>27701.570400000001</v>
      </c>
      <c r="V63">
        <v>1330281.0173099998</v>
      </c>
      <c r="W63">
        <v>17641.800000000003</v>
      </c>
      <c r="X63">
        <v>10059.770399999998</v>
      </c>
      <c r="Y63" s="31">
        <v>0.36314801849645306</v>
      </c>
      <c r="Z63">
        <v>202509</v>
      </c>
      <c r="AA63">
        <v>202303</v>
      </c>
      <c r="AB63" t="s">
        <v>1465</v>
      </c>
      <c r="AC63">
        <v>30</v>
      </c>
      <c r="AD63" t="s">
        <v>1483</v>
      </c>
      <c r="AE63">
        <v>1</v>
      </c>
      <c r="AF63">
        <v>0</v>
      </c>
    </row>
    <row r="64" spans="1:32" x14ac:dyDescent="0.25">
      <c r="A64" t="s">
        <v>69</v>
      </c>
      <c r="B64" s="4">
        <v>45774</v>
      </c>
      <c r="C64" t="s">
        <v>1473</v>
      </c>
      <c r="D64" t="s">
        <v>1480</v>
      </c>
      <c r="E64" s="4">
        <v>45802</v>
      </c>
      <c r="F64">
        <v>28</v>
      </c>
      <c r="G64" t="s">
        <v>641</v>
      </c>
      <c r="H64" t="s">
        <v>649</v>
      </c>
      <c r="I64" t="s">
        <v>682</v>
      </c>
      <c r="J64" t="s">
        <v>1520</v>
      </c>
      <c r="K64" t="s">
        <v>697</v>
      </c>
      <c r="L64" t="s">
        <v>701</v>
      </c>
      <c r="M64" t="s">
        <v>706</v>
      </c>
      <c r="N64" t="s">
        <v>722</v>
      </c>
      <c r="O64" t="s">
        <v>787</v>
      </c>
      <c r="P64">
        <v>603.45000000000005</v>
      </c>
      <c r="Q64">
        <v>1244.08</v>
      </c>
      <c r="R64" t="s">
        <v>1496</v>
      </c>
      <c r="S64" s="31">
        <v>0.2</v>
      </c>
      <c r="T64">
        <v>11</v>
      </c>
      <c r="U64">
        <v>10947.904</v>
      </c>
      <c r="V64">
        <v>1302579.4469099999</v>
      </c>
      <c r="W64">
        <v>6637.9500000000007</v>
      </c>
      <c r="X64">
        <v>4309.9539999999997</v>
      </c>
      <c r="Y64" s="31">
        <v>0.39367846119220623</v>
      </c>
      <c r="Z64">
        <v>202504</v>
      </c>
      <c r="AA64">
        <v>202301</v>
      </c>
      <c r="AB64" t="s">
        <v>1446</v>
      </c>
      <c r="AC64">
        <v>27</v>
      </c>
      <c r="AD64" t="s">
        <v>1484</v>
      </c>
      <c r="AE64">
        <v>0</v>
      </c>
      <c r="AF64">
        <v>0</v>
      </c>
    </row>
    <row r="65" spans="1:32" x14ac:dyDescent="0.25">
      <c r="A65" t="s">
        <v>70</v>
      </c>
      <c r="B65" s="4">
        <v>45598</v>
      </c>
      <c r="C65" t="s">
        <v>1472</v>
      </c>
      <c r="D65" t="s">
        <v>1482</v>
      </c>
      <c r="E65" s="4">
        <v>45614</v>
      </c>
      <c r="F65">
        <v>16</v>
      </c>
      <c r="G65" t="s">
        <v>639</v>
      </c>
      <c r="H65" t="s">
        <v>646</v>
      </c>
      <c r="I65" t="s">
        <v>683</v>
      </c>
      <c r="J65" t="s">
        <v>1521</v>
      </c>
      <c r="K65" t="s">
        <v>697</v>
      </c>
      <c r="L65" t="s">
        <v>702</v>
      </c>
      <c r="M65" t="s">
        <v>711</v>
      </c>
      <c r="N65" t="s">
        <v>724</v>
      </c>
      <c r="O65" t="s">
        <v>788</v>
      </c>
      <c r="P65">
        <v>1233.58</v>
      </c>
      <c r="Q65">
        <v>1912.51</v>
      </c>
      <c r="R65" t="s">
        <v>1492</v>
      </c>
      <c r="S65" s="31">
        <v>0.255</v>
      </c>
      <c r="T65">
        <v>51</v>
      </c>
      <c r="U65">
        <v>72665.817450000002</v>
      </c>
      <c r="V65">
        <v>1302579.4469099999</v>
      </c>
      <c r="W65">
        <v>62912.579999999994</v>
      </c>
      <c r="X65">
        <v>9753.2374500000078</v>
      </c>
      <c r="Y65" s="31">
        <v>0.134220432553601</v>
      </c>
      <c r="Z65">
        <v>202411</v>
      </c>
      <c r="AA65">
        <v>202301</v>
      </c>
      <c r="AB65" t="s">
        <v>1475</v>
      </c>
      <c r="AC65">
        <v>22</v>
      </c>
      <c r="AD65" t="s">
        <v>1484</v>
      </c>
      <c r="AE65">
        <v>0</v>
      </c>
      <c r="AF65">
        <v>1</v>
      </c>
    </row>
    <row r="66" spans="1:32" x14ac:dyDescent="0.25">
      <c r="A66" t="s">
        <v>71</v>
      </c>
      <c r="B66" s="4">
        <v>44972</v>
      </c>
      <c r="C66" t="s">
        <v>1451</v>
      </c>
      <c r="D66" t="s">
        <v>1479</v>
      </c>
      <c r="E66" s="4">
        <v>44983</v>
      </c>
      <c r="F66">
        <v>11</v>
      </c>
      <c r="G66" t="s">
        <v>638</v>
      </c>
      <c r="H66" t="s">
        <v>653</v>
      </c>
      <c r="I66" t="s">
        <v>674</v>
      </c>
      <c r="J66" t="s">
        <v>1512</v>
      </c>
      <c r="K66" t="s">
        <v>695</v>
      </c>
      <c r="L66" t="s">
        <v>699</v>
      </c>
      <c r="M66" t="s">
        <v>715</v>
      </c>
      <c r="N66" t="s">
        <v>723</v>
      </c>
      <c r="O66" t="s">
        <v>789</v>
      </c>
      <c r="P66">
        <v>498.5</v>
      </c>
      <c r="Q66">
        <v>755.87</v>
      </c>
      <c r="R66" t="s">
        <v>1490</v>
      </c>
      <c r="S66" s="31">
        <v>0.13</v>
      </c>
      <c r="T66">
        <v>40</v>
      </c>
      <c r="U66">
        <v>26304.275999999998</v>
      </c>
      <c r="V66">
        <v>1302579.4469099999</v>
      </c>
      <c r="W66">
        <v>19940</v>
      </c>
      <c r="X66">
        <v>6364.275999999998</v>
      </c>
      <c r="Y66" s="31">
        <v>0.24194834330357537</v>
      </c>
      <c r="Z66">
        <v>202302</v>
      </c>
      <c r="AA66">
        <v>202301</v>
      </c>
      <c r="AB66" t="s">
        <v>1451</v>
      </c>
      <c r="AC66">
        <v>1</v>
      </c>
      <c r="AD66" t="s">
        <v>1484</v>
      </c>
      <c r="AE66">
        <v>0</v>
      </c>
      <c r="AF66">
        <v>0</v>
      </c>
    </row>
    <row r="67" spans="1:32" x14ac:dyDescent="0.25">
      <c r="A67" t="s">
        <v>72</v>
      </c>
      <c r="B67" s="4">
        <v>45263</v>
      </c>
      <c r="C67" t="s">
        <v>1450</v>
      </c>
      <c r="D67" t="s">
        <v>1482</v>
      </c>
      <c r="E67" s="4">
        <v>45286</v>
      </c>
      <c r="F67">
        <v>23</v>
      </c>
      <c r="G67" t="s">
        <v>640</v>
      </c>
      <c r="H67" t="s">
        <v>647</v>
      </c>
      <c r="I67" t="s">
        <v>684</v>
      </c>
      <c r="J67" t="s">
        <v>1522</v>
      </c>
      <c r="K67" t="s">
        <v>694</v>
      </c>
      <c r="L67" t="s">
        <v>699</v>
      </c>
      <c r="M67" t="s">
        <v>711</v>
      </c>
      <c r="N67" t="s">
        <v>722</v>
      </c>
      <c r="O67" t="s">
        <v>790</v>
      </c>
      <c r="P67">
        <v>1303.1099999999999</v>
      </c>
      <c r="Q67">
        <v>1145.67</v>
      </c>
      <c r="R67" t="s">
        <v>1492</v>
      </c>
      <c r="S67" s="31">
        <v>0.184</v>
      </c>
      <c r="T67">
        <v>13</v>
      </c>
      <c r="U67">
        <v>12153.267360000002</v>
      </c>
      <c r="V67">
        <v>1302579.4469099999</v>
      </c>
      <c r="W67">
        <v>16940.43</v>
      </c>
      <c r="X67">
        <v>-4787.1626399999986</v>
      </c>
      <c r="Y67" s="31">
        <v>-0.39389922875851208</v>
      </c>
      <c r="Z67">
        <v>202312</v>
      </c>
      <c r="AA67">
        <v>202301</v>
      </c>
      <c r="AB67" t="s">
        <v>1450</v>
      </c>
      <c r="AC67">
        <v>11</v>
      </c>
      <c r="AD67" t="s">
        <v>1484</v>
      </c>
      <c r="AE67">
        <v>0</v>
      </c>
      <c r="AF67">
        <v>0</v>
      </c>
    </row>
    <row r="68" spans="1:32" x14ac:dyDescent="0.25">
      <c r="A68" t="s">
        <v>73</v>
      </c>
      <c r="B68" s="4">
        <v>45004</v>
      </c>
      <c r="C68" t="s">
        <v>1469</v>
      </c>
      <c r="D68" t="s">
        <v>1479</v>
      </c>
      <c r="E68" s="4">
        <v>45025</v>
      </c>
      <c r="F68">
        <v>21</v>
      </c>
      <c r="G68" t="s">
        <v>641</v>
      </c>
      <c r="H68" t="s">
        <v>650</v>
      </c>
      <c r="I68" t="s">
        <v>685</v>
      </c>
      <c r="J68" t="s">
        <v>1523</v>
      </c>
      <c r="K68" t="s">
        <v>696</v>
      </c>
      <c r="L68" t="s">
        <v>699</v>
      </c>
      <c r="M68" t="s">
        <v>708</v>
      </c>
      <c r="N68" t="s">
        <v>725</v>
      </c>
      <c r="O68" t="s">
        <v>791</v>
      </c>
      <c r="P68">
        <v>1082.17</v>
      </c>
      <c r="Q68">
        <v>1234.0999999999999</v>
      </c>
      <c r="R68" t="s">
        <v>1492</v>
      </c>
      <c r="S68" s="31">
        <v>0.189</v>
      </c>
      <c r="T68">
        <v>16</v>
      </c>
      <c r="U68">
        <v>16013.681599999998</v>
      </c>
      <c r="V68">
        <v>1302579.4469099999</v>
      </c>
      <c r="W68">
        <v>17314.72</v>
      </c>
      <c r="X68">
        <v>-1301.0384000000031</v>
      </c>
      <c r="Y68" s="31">
        <v>-8.124542703534228E-2</v>
      </c>
      <c r="Z68">
        <v>202303</v>
      </c>
      <c r="AA68">
        <v>202301</v>
      </c>
      <c r="AB68" t="s">
        <v>1469</v>
      </c>
      <c r="AC68">
        <v>2</v>
      </c>
      <c r="AD68" t="s">
        <v>1484</v>
      </c>
      <c r="AE68">
        <v>0</v>
      </c>
      <c r="AF68">
        <v>0</v>
      </c>
    </row>
    <row r="69" spans="1:32" x14ac:dyDescent="0.25">
      <c r="A69" t="s">
        <v>74</v>
      </c>
      <c r="B69" s="4">
        <v>45434</v>
      </c>
      <c r="C69" t="s">
        <v>1463</v>
      </c>
      <c r="D69" t="s">
        <v>1480</v>
      </c>
      <c r="E69" s="4">
        <v>45449</v>
      </c>
      <c r="F69">
        <v>15</v>
      </c>
      <c r="G69" t="s">
        <v>639</v>
      </c>
      <c r="H69" t="s">
        <v>644</v>
      </c>
      <c r="I69" t="s">
        <v>686</v>
      </c>
      <c r="J69" t="s">
        <v>1524</v>
      </c>
      <c r="K69" t="s">
        <v>693</v>
      </c>
      <c r="L69" t="s">
        <v>702</v>
      </c>
      <c r="M69" t="s">
        <v>704</v>
      </c>
      <c r="N69" t="s">
        <v>724</v>
      </c>
      <c r="O69" t="s">
        <v>792</v>
      </c>
      <c r="P69">
        <v>673.88</v>
      </c>
      <c r="Q69">
        <v>1228.01</v>
      </c>
      <c r="R69" t="s">
        <v>1496</v>
      </c>
      <c r="S69" s="31">
        <v>0.105</v>
      </c>
      <c r="T69">
        <v>13</v>
      </c>
      <c r="U69">
        <v>14287.896349999999</v>
      </c>
      <c r="V69">
        <v>1302579.4469099999</v>
      </c>
      <c r="W69">
        <v>8760.44</v>
      </c>
      <c r="X69">
        <v>5527.4563499999986</v>
      </c>
      <c r="Y69" s="31">
        <v>0.38686285332689996</v>
      </c>
      <c r="Z69">
        <v>202405</v>
      </c>
      <c r="AA69">
        <v>202303</v>
      </c>
      <c r="AB69" t="s">
        <v>1462</v>
      </c>
      <c r="AC69">
        <v>14</v>
      </c>
      <c r="AD69" t="s">
        <v>1484</v>
      </c>
      <c r="AE69">
        <v>0</v>
      </c>
      <c r="AF69">
        <v>0</v>
      </c>
    </row>
    <row r="70" spans="1:32" x14ac:dyDescent="0.25">
      <c r="A70" t="s">
        <v>75</v>
      </c>
      <c r="B70" s="4">
        <v>45157</v>
      </c>
      <c r="C70" t="s">
        <v>1448</v>
      </c>
      <c r="D70" t="s">
        <v>1481</v>
      </c>
      <c r="E70" s="4">
        <v>45176</v>
      </c>
      <c r="F70">
        <v>19</v>
      </c>
      <c r="G70" t="s">
        <v>638</v>
      </c>
      <c r="H70" t="s">
        <v>653</v>
      </c>
      <c r="I70" t="s">
        <v>674</v>
      </c>
      <c r="J70" t="s">
        <v>1512</v>
      </c>
      <c r="K70" t="s">
        <v>698</v>
      </c>
      <c r="L70" t="s">
        <v>699</v>
      </c>
      <c r="M70" t="s">
        <v>718</v>
      </c>
      <c r="N70" t="s">
        <v>724</v>
      </c>
      <c r="O70" t="s">
        <v>793</v>
      </c>
      <c r="P70">
        <v>494.61</v>
      </c>
      <c r="Q70">
        <v>605.23</v>
      </c>
      <c r="R70" t="s">
        <v>1490</v>
      </c>
      <c r="S70" s="31">
        <v>0.20399999999999999</v>
      </c>
      <c r="T70">
        <v>18</v>
      </c>
      <c r="U70">
        <v>8671.7354400000004</v>
      </c>
      <c r="V70">
        <v>1302579.4469099999</v>
      </c>
      <c r="W70">
        <v>8902.98</v>
      </c>
      <c r="X70">
        <v>-231.24455999999918</v>
      </c>
      <c r="Y70" s="31">
        <v>-2.6666468505639647E-2</v>
      </c>
      <c r="Z70">
        <v>202308</v>
      </c>
      <c r="AA70">
        <v>202301</v>
      </c>
      <c r="AB70" t="s">
        <v>1448</v>
      </c>
      <c r="AC70">
        <v>7</v>
      </c>
      <c r="AD70" t="s">
        <v>1484</v>
      </c>
      <c r="AE70">
        <v>0</v>
      </c>
      <c r="AF70">
        <v>1</v>
      </c>
    </row>
    <row r="71" spans="1:32" x14ac:dyDescent="0.25">
      <c r="A71" t="s">
        <v>76</v>
      </c>
      <c r="B71" s="4">
        <v>45037</v>
      </c>
      <c r="C71" t="s">
        <v>1446</v>
      </c>
      <c r="D71" t="s">
        <v>1480</v>
      </c>
      <c r="E71" s="4">
        <v>45056</v>
      </c>
      <c r="F71">
        <v>19</v>
      </c>
      <c r="G71" t="s">
        <v>639</v>
      </c>
      <c r="H71" t="s">
        <v>651</v>
      </c>
      <c r="I71" t="s">
        <v>677</v>
      </c>
      <c r="J71" t="s">
        <v>1515</v>
      </c>
      <c r="K71" t="s">
        <v>693</v>
      </c>
      <c r="L71" t="s">
        <v>699</v>
      </c>
      <c r="M71" t="s">
        <v>712</v>
      </c>
      <c r="N71" t="s">
        <v>719</v>
      </c>
      <c r="O71" t="s">
        <v>794</v>
      </c>
      <c r="P71">
        <v>882.33</v>
      </c>
      <c r="Q71">
        <v>1880.15</v>
      </c>
      <c r="R71" t="s">
        <v>1496</v>
      </c>
      <c r="S71" s="31">
        <v>0.05</v>
      </c>
      <c r="T71">
        <v>5</v>
      </c>
      <c r="U71">
        <v>8930.7124999999996</v>
      </c>
      <c r="V71">
        <v>1302579.4469099999</v>
      </c>
      <c r="W71">
        <v>4411.6500000000005</v>
      </c>
      <c r="X71">
        <v>4519.0624999999991</v>
      </c>
      <c r="Y71" s="31">
        <v>0.50601365792482955</v>
      </c>
      <c r="Z71">
        <v>202304</v>
      </c>
      <c r="AA71">
        <v>202301</v>
      </c>
      <c r="AB71" t="s">
        <v>1446</v>
      </c>
      <c r="AC71">
        <v>3</v>
      </c>
      <c r="AD71" t="s">
        <v>1484</v>
      </c>
      <c r="AE71">
        <v>0</v>
      </c>
      <c r="AF71">
        <v>0</v>
      </c>
    </row>
    <row r="72" spans="1:32" x14ac:dyDescent="0.25">
      <c r="A72" t="s">
        <v>77</v>
      </c>
      <c r="B72" s="4">
        <v>45369</v>
      </c>
      <c r="C72" t="s">
        <v>1470</v>
      </c>
      <c r="D72" t="s">
        <v>1479</v>
      </c>
      <c r="E72" s="4">
        <v>45372</v>
      </c>
      <c r="F72">
        <v>3</v>
      </c>
      <c r="G72" t="s">
        <v>641</v>
      </c>
      <c r="H72" t="s">
        <v>648</v>
      </c>
      <c r="I72" t="s">
        <v>676</v>
      </c>
      <c r="J72" t="s">
        <v>1514</v>
      </c>
      <c r="K72" t="s">
        <v>697</v>
      </c>
      <c r="L72" t="s">
        <v>700</v>
      </c>
      <c r="M72" t="s">
        <v>716</v>
      </c>
      <c r="N72" t="s">
        <v>725</v>
      </c>
      <c r="O72" t="s">
        <v>795</v>
      </c>
      <c r="P72">
        <v>910.63</v>
      </c>
      <c r="Q72">
        <v>1269.4000000000001</v>
      </c>
      <c r="R72" t="s">
        <v>1496</v>
      </c>
      <c r="S72" s="31">
        <v>6.8000000000000005E-2</v>
      </c>
      <c r="T72">
        <v>9</v>
      </c>
      <c r="U72">
        <v>10647.727199999999</v>
      </c>
      <c r="V72">
        <v>1293648.7344099998</v>
      </c>
      <c r="W72">
        <v>8195.67</v>
      </c>
      <c r="X72">
        <v>2452.0571999999993</v>
      </c>
      <c r="Y72" s="31">
        <v>0.23028925834989455</v>
      </c>
      <c r="Z72">
        <v>202403</v>
      </c>
      <c r="AA72">
        <v>202301</v>
      </c>
      <c r="AB72" t="s">
        <v>1469</v>
      </c>
      <c r="AC72">
        <v>14</v>
      </c>
      <c r="AD72" t="s">
        <v>1483</v>
      </c>
      <c r="AE72">
        <v>1</v>
      </c>
      <c r="AF72">
        <v>0</v>
      </c>
    </row>
    <row r="73" spans="1:32" x14ac:dyDescent="0.25">
      <c r="A73" t="s">
        <v>78</v>
      </c>
      <c r="B73" s="4">
        <v>45756</v>
      </c>
      <c r="C73" t="s">
        <v>1473</v>
      </c>
      <c r="D73" t="s">
        <v>1480</v>
      </c>
      <c r="E73" s="4">
        <v>45783</v>
      </c>
      <c r="F73">
        <v>27</v>
      </c>
      <c r="G73" t="s">
        <v>640</v>
      </c>
      <c r="H73" t="s">
        <v>647</v>
      </c>
      <c r="I73" t="s">
        <v>664</v>
      </c>
      <c r="J73" t="s">
        <v>1502</v>
      </c>
      <c r="K73" t="s">
        <v>698</v>
      </c>
      <c r="L73" t="s">
        <v>701</v>
      </c>
      <c r="M73" t="s">
        <v>713</v>
      </c>
      <c r="N73" t="s">
        <v>723</v>
      </c>
      <c r="O73" t="s">
        <v>796</v>
      </c>
      <c r="P73">
        <v>264.19</v>
      </c>
      <c r="Q73">
        <v>620.92999999999995</v>
      </c>
      <c r="R73" t="s">
        <v>1490</v>
      </c>
      <c r="S73" s="31">
        <v>0.14199999999999999</v>
      </c>
      <c r="T73">
        <v>12</v>
      </c>
      <c r="U73">
        <v>6393.0952799999995</v>
      </c>
      <c r="V73">
        <v>1293648.7344099998</v>
      </c>
      <c r="W73">
        <v>3170.2799999999997</v>
      </c>
      <c r="X73">
        <v>3222.8152799999998</v>
      </c>
      <c r="Y73" s="31">
        <v>0.50410875152794532</v>
      </c>
      <c r="Z73">
        <v>202504</v>
      </c>
      <c r="AA73">
        <v>202301</v>
      </c>
      <c r="AB73" t="s">
        <v>1446</v>
      </c>
      <c r="AC73">
        <v>27</v>
      </c>
      <c r="AD73" t="s">
        <v>1484</v>
      </c>
      <c r="AE73">
        <v>0</v>
      </c>
      <c r="AF73">
        <v>0</v>
      </c>
    </row>
    <row r="74" spans="1:32" x14ac:dyDescent="0.25">
      <c r="A74" t="s">
        <v>79</v>
      </c>
      <c r="B74" s="4">
        <v>45394</v>
      </c>
      <c r="C74" t="s">
        <v>1447</v>
      </c>
      <c r="D74" t="s">
        <v>1480</v>
      </c>
      <c r="E74" s="4">
        <v>45419</v>
      </c>
      <c r="F74">
        <v>25</v>
      </c>
      <c r="G74" t="s">
        <v>638</v>
      </c>
      <c r="H74" t="s">
        <v>653</v>
      </c>
      <c r="I74" t="s">
        <v>674</v>
      </c>
      <c r="J74" t="s">
        <v>1512</v>
      </c>
      <c r="K74" t="s">
        <v>694</v>
      </c>
      <c r="L74" t="s">
        <v>702</v>
      </c>
      <c r="M74" t="s">
        <v>712</v>
      </c>
      <c r="N74" t="s">
        <v>723</v>
      </c>
      <c r="O74" t="s">
        <v>797</v>
      </c>
      <c r="P74">
        <v>1376.51</v>
      </c>
      <c r="Q74">
        <v>1455.91</v>
      </c>
      <c r="R74" t="s">
        <v>1492</v>
      </c>
      <c r="S74" s="31">
        <v>0.185</v>
      </c>
      <c r="T74">
        <v>17</v>
      </c>
      <c r="U74">
        <v>20171.63305</v>
      </c>
      <c r="V74">
        <v>1293648.7344099998</v>
      </c>
      <c r="W74">
        <v>23400.67</v>
      </c>
      <c r="X74">
        <v>-3229.0369499999979</v>
      </c>
      <c r="Y74" s="31">
        <v>-0.1600781127634085</v>
      </c>
      <c r="Z74">
        <v>202404</v>
      </c>
      <c r="AA74">
        <v>202301</v>
      </c>
      <c r="AB74" t="s">
        <v>1446</v>
      </c>
      <c r="AC74">
        <v>15</v>
      </c>
      <c r="AD74" t="s">
        <v>1484</v>
      </c>
      <c r="AE74">
        <v>0</v>
      </c>
      <c r="AF74">
        <v>0</v>
      </c>
    </row>
    <row r="75" spans="1:32" x14ac:dyDescent="0.25">
      <c r="A75" t="s">
        <v>80</v>
      </c>
      <c r="B75" s="4">
        <v>45641</v>
      </c>
      <c r="C75" t="s">
        <v>1478</v>
      </c>
      <c r="D75" t="s">
        <v>1482</v>
      </c>
      <c r="E75" s="4">
        <v>45646</v>
      </c>
      <c r="F75">
        <v>5</v>
      </c>
      <c r="G75" t="s">
        <v>639</v>
      </c>
      <c r="H75" t="s">
        <v>651</v>
      </c>
      <c r="I75" t="s">
        <v>668</v>
      </c>
      <c r="J75" t="s">
        <v>1506</v>
      </c>
      <c r="K75" t="s">
        <v>697</v>
      </c>
      <c r="L75" t="s">
        <v>703</v>
      </c>
      <c r="M75" t="s">
        <v>705</v>
      </c>
      <c r="N75" t="s">
        <v>721</v>
      </c>
      <c r="O75" t="s">
        <v>798</v>
      </c>
      <c r="P75">
        <v>717.55</v>
      </c>
      <c r="Q75">
        <v>546.42999999999995</v>
      </c>
      <c r="R75" t="s">
        <v>1496</v>
      </c>
      <c r="S75" s="31">
        <v>4.7E-2</v>
      </c>
      <c r="T75">
        <v>18</v>
      </c>
      <c r="U75">
        <v>9373.460219999999</v>
      </c>
      <c r="V75">
        <v>1293648.7344099998</v>
      </c>
      <c r="W75">
        <v>12915.9</v>
      </c>
      <c r="X75">
        <v>-3542.4397800000006</v>
      </c>
      <c r="Y75" s="31">
        <v>-0.37792231437026369</v>
      </c>
      <c r="Z75">
        <v>202412</v>
      </c>
      <c r="AA75">
        <v>202301</v>
      </c>
      <c r="AB75" t="s">
        <v>1450</v>
      </c>
      <c r="AC75">
        <v>23</v>
      </c>
      <c r="AD75" t="s">
        <v>1483</v>
      </c>
      <c r="AE75">
        <v>1</v>
      </c>
      <c r="AF75">
        <v>0</v>
      </c>
    </row>
    <row r="76" spans="1:32" x14ac:dyDescent="0.25">
      <c r="A76" t="s">
        <v>81</v>
      </c>
      <c r="B76" s="4">
        <v>45066</v>
      </c>
      <c r="C76" t="s">
        <v>1462</v>
      </c>
      <c r="D76" t="s">
        <v>1480</v>
      </c>
      <c r="E76" s="4">
        <v>45068</v>
      </c>
      <c r="F76">
        <v>2</v>
      </c>
      <c r="G76" t="s">
        <v>638</v>
      </c>
      <c r="H76" t="s">
        <v>653</v>
      </c>
      <c r="I76" t="s">
        <v>679</v>
      </c>
      <c r="J76" t="s">
        <v>1517</v>
      </c>
      <c r="K76" t="s">
        <v>693</v>
      </c>
      <c r="L76" t="s">
        <v>702</v>
      </c>
      <c r="M76" t="s">
        <v>712</v>
      </c>
      <c r="N76" t="s">
        <v>719</v>
      </c>
      <c r="O76" t="s">
        <v>799</v>
      </c>
      <c r="P76">
        <v>917.88</v>
      </c>
      <c r="Q76">
        <v>1347.92</v>
      </c>
      <c r="R76" t="s">
        <v>1496</v>
      </c>
      <c r="S76" s="31">
        <v>0.34300000000000003</v>
      </c>
      <c r="T76">
        <v>5</v>
      </c>
      <c r="U76">
        <v>4427.9172000000008</v>
      </c>
      <c r="V76">
        <v>1293648.7344099998</v>
      </c>
      <c r="W76">
        <v>4589.3999999999996</v>
      </c>
      <c r="X76">
        <v>-161.48279999999886</v>
      </c>
      <c r="Y76" s="31">
        <v>-3.6469245630880096E-2</v>
      </c>
      <c r="Z76">
        <v>202305</v>
      </c>
      <c r="AA76">
        <v>202301</v>
      </c>
      <c r="AB76" t="s">
        <v>1462</v>
      </c>
      <c r="AC76">
        <v>4</v>
      </c>
      <c r="AD76" t="s">
        <v>1483</v>
      </c>
      <c r="AE76">
        <v>1</v>
      </c>
      <c r="AF76">
        <v>1</v>
      </c>
    </row>
    <row r="77" spans="1:32" x14ac:dyDescent="0.25">
      <c r="A77" t="s">
        <v>82</v>
      </c>
      <c r="B77" s="4">
        <v>45187</v>
      </c>
      <c r="C77" t="s">
        <v>1465</v>
      </c>
      <c r="D77" t="s">
        <v>1481</v>
      </c>
      <c r="E77" s="4">
        <v>45207</v>
      </c>
      <c r="F77">
        <v>20</v>
      </c>
      <c r="G77" t="s">
        <v>639</v>
      </c>
      <c r="H77" t="s">
        <v>646</v>
      </c>
      <c r="I77" t="s">
        <v>672</v>
      </c>
      <c r="J77" t="s">
        <v>1510</v>
      </c>
      <c r="K77" t="s">
        <v>697</v>
      </c>
      <c r="L77" t="s">
        <v>703</v>
      </c>
      <c r="M77" t="s">
        <v>709</v>
      </c>
      <c r="N77" t="s">
        <v>719</v>
      </c>
      <c r="O77" t="s">
        <v>800</v>
      </c>
      <c r="P77">
        <v>825.64</v>
      </c>
      <c r="Q77">
        <v>1108.43</v>
      </c>
      <c r="R77" t="s">
        <v>1496</v>
      </c>
      <c r="S77" s="31">
        <v>0.114</v>
      </c>
      <c r="T77">
        <v>7</v>
      </c>
      <c r="U77">
        <v>6874.4828600000001</v>
      </c>
      <c r="V77">
        <v>1289220.8172099998</v>
      </c>
      <c r="W77">
        <v>5779.48</v>
      </c>
      <c r="X77">
        <v>1095.0028600000005</v>
      </c>
      <c r="Y77" s="31">
        <v>0.15928512475773349</v>
      </c>
      <c r="Z77">
        <v>202309</v>
      </c>
      <c r="AA77">
        <v>202301</v>
      </c>
      <c r="AB77" t="s">
        <v>1465</v>
      </c>
      <c r="AC77">
        <v>8</v>
      </c>
      <c r="AD77" t="s">
        <v>1484</v>
      </c>
      <c r="AE77">
        <v>0</v>
      </c>
      <c r="AF77">
        <v>0</v>
      </c>
    </row>
    <row r="78" spans="1:32" x14ac:dyDescent="0.25">
      <c r="A78" t="s">
        <v>83</v>
      </c>
      <c r="B78" s="4">
        <v>45532</v>
      </c>
      <c r="C78" t="s">
        <v>1474</v>
      </c>
      <c r="D78" t="s">
        <v>1481</v>
      </c>
      <c r="E78" s="4">
        <v>45560</v>
      </c>
      <c r="F78">
        <v>28</v>
      </c>
      <c r="G78" t="s">
        <v>640</v>
      </c>
      <c r="H78" t="s">
        <v>647</v>
      </c>
      <c r="I78" t="s">
        <v>684</v>
      </c>
      <c r="J78" t="s">
        <v>1522</v>
      </c>
      <c r="K78" t="s">
        <v>695</v>
      </c>
      <c r="L78" t="s">
        <v>700</v>
      </c>
      <c r="M78" t="s">
        <v>1413</v>
      </c>
      <c r="N78" t="s">
        <v>725</v>
      </c>
      <c r="O78" t="s">
        <v>801</v>
      </c>
      <c r="P78">
        <v>1394.65</v>
      </c>
      <c r="Q78">
        <v>3144.1</v>
      </c>
      <c r="R78" t="s">
        <v>1492</v>
      </c>
      <c r="S78" s="31">
        <v>0.13400000000000001</v>
      </c>
      <c r="T78">
        <v>13</v>
      </c>
      <c r="U78">
        <v>35396.277799999996</v>
      </c>
      <c r="V78">
        <v>1282346.3343499997</v>
      </c>
      <c r="W78">
        <v>18130.45</v>
      </c>
      <c r="X78">
        <v>17265.827799999995</v>
      </c>
      <c r="Y78" s="31">
        <v>0.4877865378263021</v>
      </c>
      <c r="Z78">
        <v>202408</v>
      </c>
      <c r="AA78">
        <v>202301</v>
      </c>
      <c r="AB78" t="s">
        <v>1448</v>
      </c>
      <c r="AC78">
        <v>19</v>
      </c>
      <c r="AD78" t="s">
        <v>1484</v>
      </c>
      <c r="AE78">
        <v>0</v>
      </c>
      <c r="AF78">
        <v>0</v>
      </c>
    </row>
    <row r="79" spans="1:32" x14ac:dyDescent="0.25">
      <c r="A79" t="s">
        <v>84</v>
      </c>
      <c r="B79" s="4">
        <v>45473</v>
      </c>
      <c r="C79" t="s">
        <v>1459</v>
      </c>
      <c r="D79" t="s">
        <v>1480</v>
      </c>
      <c r="E79" s="4">
        <v>45475</v>
      </c>
      <c r="F79">
        <v>2</v>
      </c>
      <c r="G79" t="s">
        <v>640</v>
      </c>
      <c r="H79" t="s">
        <v>647</v>
      </c>
      <c r="I79" t="s">
        <v>684</v>
      </c>
      <c r="J79" t="s">
        <v>1522</v>
      </c>
      <c r="K79" t="s">
        <v>697</v>
      </c>
      <c r="L79" t="s">
        <v>703</v>
      </c>
      <c r="M79" t="s">
        <v>708</v>
      </c>
      <c r="N79" t="s">
        <v>725</v>
      </c>
      <c r="O79" t="s">
        <v>802</v>
      </c>
      <c r="P79">
        <v>1112.98</v>
      </c>
      <c r="Q79">
        <v>2095.73</v>
      </c>
      <c r="R79" t="s">
        <v>1492</v>
      </c>
      <c r="S79" s="31">
        <v>7.1999999999999995E-2</v>
      </c>
      <c r="T79">
        <v>17</v>
      </c>
      <c r="U79">
        <v>33062.236480000007</v>
      </c>
      <c r="V79">
        <v>1282346.3343499997</v>
      </c>
      <c r="W79">
        <v>18920.66</v>
      </c>
      <c r="X79">
        <v>14141.576480000007</v>
      </c>
      <c r="Y79" s="31">
        <v>0.42772594916724777</v>
      </c>
      <c r="Z79">
        <v>202406</v>
      </c>
      <c r="AA79">
        <v>202301</v>
      </c>
      <c r="AB79" t="s">
        <v>1458</v>
      </c>
      <c r="AC79">
        <v>17</v>
      </c>
      <c r="AD79" t="s">
        <v>1483</v>
      </c>
      <c r="AE79">
        <v>1</v>
      </c>
      <c r="AF79">
        <v>0</v>
      </c>
    </row>
    <row r="80" spans="1:32" x14ac:dyDescent="0.25">
      <c r="A80" t="s">
        <v>85</v>
      </c>
      <c r="B80" s="4">
        <v>45091</v>
      </c>
      <c r="C80" t="s">
        <v>1458</v>
      </c>
      <c r="D80" t="s">
        <v>1480</v>
      </c>
      <c r="E80" s="4">
        <v>45093</v>
      </c>
      <c r="F80">
        <v>2</v>
      </c>
      <c r="G80" t="s">
        <v>641</v>
      </c>
      <c r="H80" t="s">
        <v>650</v>
      </c>
      <c r="I80" t="s">
        <v>685</v>
      </c>
      <c r="J80" t="s">
        <v>1523</v>
      </c>
      <c r="K80" t="s">
        <v>695</v>
      </c>
      <c r="L80" t="s">
        <v>703</v>
      </c>
      <c r="M80" t="s">
        <v>715</v>
      </c>
      <c r="N80" t="s">
        <v>719</v>
      </c>
      <c r="O80" t="s">
        <v>803</v>
      </c>
      <c r="P80">
        <v>357.36</v>
      </c>
      <c r="Q80">
        <v>703.62</v>
      </c>
      <c r="R80" t="s">
        <v>1490</v>
      </c>
      <c r="S80" s="31">
        <v>0.25700000000000001</v>
      </c>
      <c r="T80">
        <v>20</v>
      </c>
      <c r="U80">
        <v>10455.7932</v>
      </c>
      <c r="V80">
        <v>1282346.3343499997</v>
      </c>
      <c r="W80">
        <v>7147.2000000000007</v>
      </c>
      <c r="X80">
        <v>3308.5931999999993</v>
      </c>
      <c r="Y80" s="31">
        <v>0.31643636563125593</v>
      </c>
      <c r="Z80">
        <v>202306</v>
      </c>
      <c r="AA80">
        <v>202301</v>
      </c>
      <c r="AB80" t="s">
        <v>1458</v>
      </c>
      <c r="AC80">
        <v>5</v>
      </c>
      <c r="AD80" t="s">
        <v>1483</v>
      </c>
      <c r="AE80">
        <v>1</v>
      </c>
      <c r="AF80">
        <v>1</v>
      </c>
    </row>
    <row r="81" spans="1:32" x14ac:dyDescent="0.25">
      <c r="A81" t="s">
        <v>86</v>
      </c>
      <c r="B81" s="4">
        <v>45617</v>
      </c>
      <c r="C81" t="s">
        <v>1472</v>
      </c>
      <c r="D81" t="s">
        <v>1482</v>
      </c>
      <c r="E81" s="4">
        <v>45647</v>
      </c>
      <c r="F81">
        <v>30</v>
      </c>
      <c r="G81" t="s">
        <v>641</v>
      </c>
      <c r="H81" t="s">
        <v>649</v>
      </c>
      <c r="I81" t="s">
        <v>665</v>
      </c>
      <c r="J81" t="s">
        <v>1503</v>
      </c>
      <c r="K81" t="s">
        <v>697</v>
      </c>
      <c r="L81" t="s">
        <v>703</v>
      </c>
      <c r="M81" t="s">
        <v>706</v>
      </c>
      <c r="N81" t="s">
        <v>724</v>
      </c>
      <c r="O81" t="s">
        <v>804</v>
      </c>
      <c r="P81">
        <v>1122.68</v>
      </c>
      <c r="Q81">
        <v>1997.19</v>
      </c>
      <c r="R81" t="s">
        <v>1492</v>
      </c>
      <c r="S81" s="31">
        <v>0.186</v>
      </c>
      <c r="T81">
        <v>3</v>
      </c>
      <c r="U81">
        <v>4877.1379800000004</v>
      </c>
      <c r="V81">
        <v>1271890.5411499997</v>
      </c>
      <c r="W81">
        <v>3368.04</v>
      </c>
      <c r="X81">
        <v>1509.0979800000005</v>
      </c>
      <c r="Y81" s="31">
        <v>0.30942285951073306</v>
      </c>
      <c r="Z81">
        <v>202411</v>
      </c>
      <c r="AA81">
        <v>202301</v>
      </c>
      <c r="AB81" t="s">
        <v>1475</v>
      </c>
      <c r="AC81">
        <v>22</v>
      </c>
      <c r="AD81" t="s">
        <v>1484</v>
      </c>
      <c r="AE81">
        <v>0</v>
      </c>
      <c r="AF81">
        <v>0</v>
      </c>
    </row>
    <row r="82" spans="1:32" x14ac:dyDescent="0.25">
      <c r="A82" t="s">
        <v>87</v>
      </c>
      <c r="B82" s="4">
        <v>44965</v>
      </c>
      <c r="C82" t="s">
        <v>1451</v>
      </c>
      <c r="D82" t="s">
        <v>1479</v>
      </c>
      <c r="E82" s="4">
        <v>44968</v>
      </c>
      <c r="F82">
        <v>3</v>
      </c>
      <c r="G82" t="s">
        <v>638</v>
      </c>
      <c r="H82" t="s">
        <v>653</v>
      </c>
      <c r="I82" t="s">
        <v>687</v>
      </c>
      <c r="J82" t="s">
        <v>1525</v>
      </c>
      <c r="K82" t="s">
        <v>693</v>
      </c>
      <c r="L82" t="s">
        <v>703</v>
      </c>
      <c r="M82" t="s">
        <v>716</v>
      </c>
      <c r="N82" t="s">
        <v>721</v>
      </c>
      <c r="O82" t="s">
        <v>805</v>
      </c>
      <c r="P82">
        <v>1410.05</v>
      </c>
      <c r="Q82">
        <v>2763.95</v>
      </c>
      <c r="R82" t="s">
        <v>1492</v>
      </c>
      <c r="S82" s="31">
        <v>0.161</v>
      </c>
      <c r="T82">
        <v>26</v>
      </c>
      <c r="U82">
        <v>60292.805299999993</v>
      </c>
      <c r="V82">
        <v>1271890.5411499997</v>
      </c>
      <c r="W82">
        <v>36661.299999999996</v>
      </c>
      <c r="X82">
        <v>23631.505299999997</v>
      </c>
      <c r="Y82" s="31">
        <v>0.39194569206750779</v>
      </c>
      <c r="Z82">
        <v>202302</v>
      </c>
      <c r="AA82">
        <v>202301</v>
      </c>
      <c r="AB82" t="s">
        <v>1451</v>
      </c>
      <c r="AC82">
        <v>1</v>
      </c>
      <c r="AD82" t="s">
        <v>1483</v>
      </c>
      <c r="AE82">
        <v>1</v>
      </c>
      <c r="AF82">
        <v>0</v>
      </c>
    </row>
    <row r="83" spans="1:32" x14ac:dyDescent="0.25">
      <c r="A83" t="s">
        <v>88</v>
      </c>
      <c r="B83" s="4">
        <v>45157</v>
      </c>
      <c r="C83" t="s">
        <v>1448</v>
      </c>
      <c r="D83" t="s">
        <v>1481</v>
      </c>
      <c r="E83" s="4">
        <v>45181</v>
      </c>
      <c r="F83">
        <v>24</v>
      </c>
      <c r="G83" t="s">
        <v>640</v>
      </c>
      <c r="H83" t="s">
        <v>645</v>
      </c>
      <c r="I83" t="s">
        <v>680</v>
      </c>
      <c r="J83" t="s">
        <v>1518</v>
      </c>
      <c r="K83" t="s">
        <v>698</v>
      </c>
      <c r="L83" t="s">
        <v>699</v>
      </c>
      <c r="M83" t="s">
        <v>706</v>
      </c>
      <c r="N83" t="s">
        <v>720</v>
      </c>
      <c r="O83" t="s">
        <v>806</v>
      </c>
      <c r="P83">
        <v>1183.95</v>
      </c>
      <c r="Q83">
        <v>1503.53</v>
      </c>
      <c r="R83" t="s">
        <v>1492</v>
      </c>
      <c r="S83" s="31">
        <v>0.24099999999999999</v>
      </c>
      <c r="T83">
        <v>16</v>
      </c>
      <c r="U83">
        <v>18258.868320000001</v>
      </c>
      <c r="V83">
        <v>1271890.5411499997</v>
      </c>
      <c r="W83">
        <v>18943.2</v>
      </c>
      <c r="X83">
        <v>-684.33167999999932</v>
      </c>
      <c r="Y83" s="31">
        <v>-3.7479413729623705E-2</v>
      </c>
      <c r="Z83">
        <v>202308</v>
      </c>
      <c r="AA83">
        <v>202301</v>
      </c>
      <c r="AB83" t="s">
        <v>1448</v>
      </c>
      <c r="AC83">
        <v>7</v>
      </c>
      <c r="AD83" t="s">
        <v>1484</v>
      </c>
      <c r="AE83">
        <v>0</v>
      </c>
      <c r="AF83">
        <v>1</v>
      </c>
    </row>
    <row r="84" spans="1:32" x14ac:dyDescent="0.25">
      <c r="A84" t="s">
        <v>89</v>
      </c>
      <c r="B84" s="4">
        <v>45791</v>
      </c>
      <c r="C84" t="s">
        <v>1471</v>
      </c>
      <c r="D84" t="s">
        <v>1480</v>
      </c>
      <c r="E84" s="4">
        <v>45801</v>
      </c>
      <c r="F84">
        <v>10</v>
      </c>
      <c r="G84" t="s">
        <v>641</v>
      </c>
      <c r="H84" t="s">
        <v>649</v>
      </c>
      <c r="I84" t="s">
        <v>682</v>
      </c>
      <c r="J84" t="s">
        <v>1520</v>
      </c>
      <c r="K84" t="s">
        <v>697</v>
      </c>
      <c r="L84" t="s">
        <v>701</v>
      </c>
      <c r="M84" t="s">
        <v>715</v>
      </c>
      <c r="N84" t="s">
        <v>719</v>
      </c>
      <c r="O84" t="s">
        <v>807</v>
      </c>
      <c r="P84">
        <v>170.39</v>
      </c>
      <c r="Q84">
        <v>388.04</v>
      </c>
      <c r="R84" t="s">
        <v>1490</v>
      </c>
      <c r="S84" s="31">
        <v>8.4000000000000005E-2</v>
      </c>
      <c r="T84">
        <v>15</v>
      </c>
      <c r="U84">
        <v>5331.6696000000002</v>
      </c>
      <c r="V84">
        <v>1271890.5411499997</v>
      </c>
      <c r="W84">
        <v>2555.85</v>
      </c>
      <c r="X84">
        <v>2775.8196000000003</v>
      </c>
      <c r="Y84" s="31">
        <v>0.52062858508711796</v>
      </c>
      <c r="Z84">
        <v>202505</v>
      </c>
      <c r="AA84">
        <v>202301</v>
      </c>
      <c r="AB84" t="s">
        <v>1462</v>
      </c>
      <c r="AC84">
        <v>28</v>
      </c>
      <c r="AD84" t="s">
        <v>1484</v>
      </c>
      <c r="AE84">
        <v>0</v>
      </c>
      <c r="AF84">
        <v>0</v>
      </c>
    </row>
    <row r="85" spans="1:32" x14ac:dyDescent="0.25">
      <c r="A85" t="s">
        <v>90</v>
      </c>
      <c r="B85" s="4">
        <v>45770</v>
      </c>
      <c r="C85" t="s">
        <v>1473</v>
      </c>
      <c r="D85" t="s">
        <v>1480</v>
      </c>
      <c r="E85" s="4">
        <v>45771</v>
      </c>
      <c r="F85">
        <v>1</v>
      </c>
      <c r="G85" t="s">
        <v>640</v>
      </c>
      <c r="H85" t="s">
        <v>652</v>
      </c>
      <c r="I85" t="s">
        <v>678</v>
      </c>
      <c r="J85" t="s">
        <v>1516</v>
      </c>
      <c r="K85" t="s">
        <v>695</v>
      </c>
      <c r="L85" t="s">
        <v>702</v>
      </c>
      <c r="M85" t="s">
        <v>718</v>
      </c>
      <c r="N85" t="s">
        <v>724</v>
      </c>
      <c r="O85" t="s">
        <v>808</v>
      </c>
      <c r="P85">
        <v>23.24</v>
      </c>
      <c r="Q85">
        <v>44.57</v>
      </c>
      <c r="R85" t="s">
        <v>1490</v>
      </c>
      <c r="S85" s="31">
        <v>0.215</v>
      </c>
      <c r="T85">
        <v>15</v>
      </c>
      <c r="U85">
        <v>524.81174999999996</v>
      </c>
      <c r="V85">
        <v>1266558.8715499998</v>
      </c>
      <c r="W85">
        <v>348.59999999999997</v>
      </c>
      <c r="X85">
        <v>176.21174999999999</v>
      </c>
      <c r="Y85" s="31">
        <v>0.33576182316802167</v>
      </c>
      <c r="Z85">
        <v>202504</v>
      </c>
      <c r="AA85">
        <v>202301</v>
      </c>
      <c r="AB85" t="s">
        <v>1446</v>
      </c>
      <c r="AC85">
        <v>27</v>
      </c>
      <c r="AD85" t="s">
        <v>1483</v>
      </c>
      <c r="AE85">
        <v>1</v>
      </c>
      <c r="AF85">
        <v>1</v>
      </c>
    </row>
    <row r="86" spans="1:32" x14ac:dyDescent="0.25">
      <c r="A86" t="s">
        <v>91</v>
      </c>
      <c r="B86" s="4">
        <v>45741</v>
      </c>
      <c r="C86" t="s">
        <v>1461</v>
      </c>
      <c r="D86" t="s">
        <v>1479</v>
      </c>
      <c r="E86" s="4">
        <v>45764</v>
      </c>
      <c r="F86">
        <v>23</v>
      </c>
      <c r="G86" t="s">
        <v>641</v>
      </c>
      <c r="H86" t="s">
        <v>650</v>
      </c>
      <c r="I86" t="s">
        <v>675</v>
      </c>
      <c r="J86" t="s">
        <v>1513</v>
      </c>
      <c r="K86" t="s">
        <v>696</v>
      </c>
      <c r="L86" t="s">
        <v>699</v>
      </c>
      <c r="M86" t="s">
        <v>714</v>
      </c>
      <c r="N86" t="s">
        <v>721</v>
      </c>
      <c r="O86" t="s">
        <v>809</v>
      </c>
      <c r="P86">
        <v>1421.19</v>
      </c>
      <c r="Q86">
        <v>1808.26</v>
      </c>
      <c r="R86" t="s">
        <v>1492</v>
      </c>
      <c r="S86" s="31">
        <v>0.104</v>
      </c>
      <c r="T86">
        <v>13</v>
      </c>
      <c r="U86">
        <v>21062.61248</v>
      </c>
      <c r="V86">
        <v>1266558.8715499998</v>
      </c>
      <c r="W86">
        <v>18475.47</v>
      </c>
      <c r="X86">
        <v>2587.1424799999986</v>
      </c>
      <c r="Y86" s="31">
        <v>0.12283103449093123</v>
      </c>
      <c r="Z86">
        <v>202503</v>
      </c>
      <c r="AA86">
        <v>202301</v>
      </c>
      <c r="AB86" t="s">
        <v>1469</v>
      </c>
      <c r="AC86">
        <v>26</v>
      </c>
      <c r="AD86" t="s">
        <v>1484</v>
      </c>
      <c r="AE86">
        <v>0</v>
      </c>
      <c r="AF86">
        <v>0</v>
      </c>
    </row>
    <row r="87" spans="1:32" x14ac:dyDescent="0.25">
      <c r="A87" t="s">
        <v>92</v>
      </c>
      <c r="B87" s="4">
        <v>45282</v>
      </c>
      <c r="C87" t="s">
        <v>1450</v>
      </c>
      <c r="D87" t="s">
        <v>1482</v>
      </c>
      <c r="E87" s="4">
        <v>45283</v>
      </c>
      <c r="F87">
        <v>1</v>
      </c>
      <c r="G87" t="s">
        <v>638</v>
      </c>
      <c r="H87" t="s">
        <v>653</v>
      </c>
      <c r="I87" t="s">
        <v>687</v>
      </c>
      <c r="J87" t="s">
        <v>1525</v>
      </c>
      <c r="K87" t="s">
        <v>695</v>
      </c>
      <c r="L87" t="s">
        <v>701</v>
      </c>
      <c r="M87" t="s">
        <v>718</v>
      </c>
      <c r="N87" t="s">
        <v>719</v>
      </c>
      <c r="O87" t="s">
        <v>810</v>
      </c>
      <c r="P87">
        <v>1186.18</v>
      </c>
      <c r="Q87">
        <v>1285.0899999999999</v>
      </c>
      <c r="R87" t="s">
        <v>1492</v>
      </c>
      <c r="S87" s="31">
        <v>7.0000000000000007E-2</v>
      </c>
      <c r="T87">
        <v>11</v>
      </c>
      <c r="U87">
        <v>13146.470699999998</v>
      </c>
      <c r="V87">
        <v>1266558.8715499998</v>
      </c>
      <c r="W87">
        <v>13047.980000000001</v>
      </c>
      <c r="X87">
        <v>98.49069999999665</v>
      </c>
      <c r="Y87" s="31">
        <v>7.4917977796121861E-3</v>
      </c>
      <c r="Z87">
        <v>202312</v>
      </c>
      <c r="AA87">
        <v>202301</v>
      </c>
      <c r="AB87" t="s">
        <v>1450</v>
      </c>
      <c r="AC87">
        <v>11</v>
      </c>
      <c r="AD87" t="s">
        <v>1483</v>
      </c>
      <c r="AE87">
        <v>1</v>
      </c>
      <c r="AF87">
        <v>0</v>
      </c>
    </row>
    <row r="88" spans="1:32" x14ac:dyDescent="0.25">
      <c r="A88" t="s">
        <v>93</v>
      </c>
      <c r="B88" s="4">
        <v>45388</v>
      </c>
      <c r="C88" t="s">
        <v>1447</v>
      </c>
      <c r="D88" t="s">
        <v>1480</v>
      </c>
      <c r="E88" s="4">
        <v>45407</v>
      </c>
      <c r="F88">
        <v>19</v>
      </c>
      <c r="G88" t="s">
        <v>639</v>
      </c>
      <c r="H88" t="s">
        <v>651</v>
      </c>
      <c r="I88" t="s">
        <v>677</v>
      </c>
      <c r="J88" t="s">
        <v>1515</v>
      </c>
      <c r="K88" t="s">
        <v>693</v>
      </c>
      <c r="L88" t="s">
        <v>699</v>
      </c>
      <c r="M88" t="s">
        <v>715</v>
      </c>
      <c r="N88" t="s">
        <v>719</v>
      </c>
      <c r="O88" t="s">
        <v>811</v>
      </c>
      <c r="P88">
        <v>1366.48</v>
      </c>
      <c r="Q88">
        <v>1678.14</v>
      </c>
      <c r="R88" t="s">
        <v>1492</v>
      </c>
      <c r="S88" s="31">
        <v>0.154</v>
      </c>
      <c r="T88">
        <v>10</v>
      </c>
      <c r="U88">
        <v>14197.064400000001</v>
      </c>
      <c r="V88">
        <v>1253412.4008499996</v>
      </c>
      <c r="W88">
        <v>13664.8</v>
      </c>
      <c r="X88">
        <v>532.26440000000184</v>
      </c>
      <c r="Y88" s="31">
        <v>3.7491159087790132E-2</v>
      </c>
      <c r="Z88">
        <v>202404</v>
      </c>
      <c r="AA88">
        <v>202301</v>
      </c>
      <c r="AB88" t="s">
        <v>1446</v>
      </c>
      <c r="AC88">
        <v>15</v>
      </c>
      <c r="AD88" t="s">
        <v>1484</v>
      </c>
      <c r="AE88">
        <v>0</v>
      </c>
      <c r="AF88">
        <v>0</v>
      </c>
    </row>
    <row r="89" spans="1:32" x14ac:dyDescent="0.25">
      <c r="A89" t="s">
        <v>94</v>
      </c>
      <c r="B89" s="4">
        <v>45876</v>
      </c>
      <c r="C89" t="s">
        <v>1449</v>
      </c>
      <c r="D89" t="s">
        <v>1481</v>
      </c>
      <c r="E89" s="4">
        <v>45888</v>
      </c>
      <c r="F89">
        <v>12</v>
      </c>
      <c r="G89" t="s">
        <v>638</v>
      </c>
      <c r="H89" t="s">
        <v>642</v>
      </c>
      <c r="I89" t="s">
        <v>670</v>
      </c>
      <c r="J89" t="s">
        <v>1508</v>
      </c>
      <c r="K89" t="s">
        <v>693</v>
      </c>
      <c r="L89" t="s">
        <v>1413</v>
      </c>
      <c r="M89" t="s">
        <v>716</v>
      </c>
      <c r="N89" t="s">
        <v>719</v>
      </c>
      <c r="O89" t="s">
        <v>812</v>
      </c>
      <c r="P89">
        <v>601.51</v>
      </c>
      <c r="Q89">
        <v>679.35</v>
      </c>
      <c r="R89" t="s">
        <v>1496</v>
      </c>
      <c r="S89" s="31">
        <v>0.188</v>
      </c>
      <c r="T89">
        <v>3</v>
      </c>
      <c r="U89">
        <v>1654.8966000000003</v>
      </c>
      <c r="V89">
        <v>1239215.3364499996</v>
      </c>
      <c r="W89">
        <v>1804.53</v>
      </c>
      <c r="X89">
        <v>-149.63339999999971</v>
      </c>
      <c r="Y89" s="31">
        <v>-9.0418579626062243E-2</v>
      </c>
      <c r="Z89">
        <v>202508</v>
      </c>
      <c r="AA89">
        <v>202301</v>
      </c>
      <c r="AB89" t="s">
        <v>1448</v>
      </c>
      <c r="AC89">
        <v>31</v>
      </c>
      <c r="AD89" t="s">
        <v>1484</v>
      </c>
      <c r="AE89">
        <v>0</v>
      </c>
      <c r="AF89">
        <v>0</v>
      </c>
    </row>
    <row r="90" spans="1:32" x14ac:dyDescent="0.25">
      <c r="A90" t="s">
        <v>95</v>
      </c>
      <c r="B90" s="4">
        <v>45312</v>
      </c>
      <c r="C90" t="s">
        <v>1454</v>
      </c>
      <c r="D90" t="s">
        <v>1479</v>
      </c>
      <c r="E90" s="4">
        <v>45316</v>
      </c>
      <c r="F90">
        <v>4</v>
      </c>
      <c r="G90" t="s">
        <v>639</v>
      </c>
      <c r="H90" t="s">
        <v>646</v>
      </c>
      <c r="I90" t="s">
        <v>672</v>
      </c>
      <c r="J90" t="s">
        <v>1510</v>
      </c>
      <c r="K90" t="s">
        <v>696</v>
      </c>
      <c r="L90" t="s">
        <v>703</v>
      </c>
      <c r="M90" t="s">
        <v>704</v>
      </c>
      <c r="N90" t="s">
        <v>724</v>
      </c>
      <c r="O90" t="s">
        <v>813</v>
      </c>
      <c r="P90">
        <v>523.70000000000005</v>
      </c>
      <c r="Q90">
        <v>1109.92</v>
      </c>
      <c r="R90" t="s">
        <v>1496</v>
      </c>
      <c r="S90" s="31">
        <v>0.03</v>
      </c>
      <c r="T90">
        <v>11</v>
      </c>
      <c r="U90">
        <v>11842.8464</v>
      </c>
      <c r="V90">
        <v>1237560.4398499997</v>
      </c>
      <c r="W90">
        <v>5760.7000000000007</v>
      </c>
      <c r="X90">
        <v>6082.1463999999996</v>
      </c>
      <c r="Y90" s="31">
        <v>0.51357133197302973</v>
      </c>
      <c r="Z90">
        <v>202401</v>
      </c>
      <c r="AA90">
        <v>202301</v>
      </c>
      <c r="AB90" t="s">
        <v>1477</v>
      </c>
      <c r="AC90">
        <v>12</v>
      </c>
      <c r="AD90" t="s">
        <v>1483</v>
      </c>
      <c r="AE90">
        <v>1</v>
      </c>
      <c r="AF90">
        <v>0</v>
      </c>
    </row>
    <row r="91" spans="1:32" x14ac:dyDescent="0.25">
      <c r="A91" t="s">
        <v>96</v>
      </c>
      <c r="B91" s="4">
        <v>45106</v>
      </c>
      <c r="C91" t="s">
        <v>1458</v>
      </c>
      <c r="D91" t="s">
        <v>1480</v>
      </c>
      <c r="E91" s="4">
        <v>45109</v>
      </c>
      <c r="F91">
        <v>3</v>
      </c>
      <c r="G91" t="s">
        <v>639</v>
      </c>
      <c r="H91" t="s">
        <v>644</v>
      </c>
      <c r="I91" t="s">
        <v>686</v>
      </c>
      <c r="J91" t="s">
        <v>1524</v>
      </c>
      <c r="K91" t="s">
        <v>694</v>
      </c>
      <c r="L91" t="s">
        <v>701</v>
      </c>
      <c r="M91" t="s">
        <v>713</v>
      </c>
      <c r="N91" t="s">
        <v>724</v>
      </c>
      <c r="O91" t="s">
        <v>814</v>
      </c>
      <c r="P91">
        <v>55.65</v>
      </c>
      <c r="Q91">
        <v>83.57</v>
      </c>
      <c r="R91" t="s">
        <v>1490</v>
      </c>
      <c r="S91" s="31">
        <v>6.6000000000000003E-2</v>
      </c>
      <c r="T91">
        <v>8</v>
      </c>
      <c r="U91">
        <v>624.43503999999996</v>
      </c>
      <c r="V91">
        <v>1237560.4398499997</v>
      </c>
      <c r="W91">
        <v>445.2</v>
      </c>
      <c r="X91">
        <v>179.23503999999997</v>
      </c>
      <c r="Y91" s="31">
        <v>0.2870355257449998</v>
      </c>
      <c r="Z91">
        <v>202306</v>
      </c>
      <c r="AA91">
        <v>202303</v>
      </c>
      <c r="AB91" t="s">
        <v>1458</v>
      </c>
      <c r="AC91">
        <v>3</v>
      </c>
      <c r="AD91" t="s">
        <v>1483</v>
      </c>
      <c r="AE91">
        <v>1</v>
      </c>
      <c r="AF91">
        <v>0</v>
      </c>
    </row>
    <row r="92" spans="1:32" x14ac:dyDescent="0.25">
      <c r="A92" t="s">
        <v>97</v>
      </c>
      <c r="B92" s="4">
        <v>45775</v>
      </c>
      <c r="C92" t="s">
        <v>1473</v>
      </c>
      <c r="D92" t="s">
        <v>1480</v>
      </c>
      <c r="E92" s="4">
        <v>45792</v>
      </c>
      <c r="F92">
        <v>17</v>
      </c>
      <c r="G92" t="s">
        <v>639</v>
      </c>
      <c r="H92" t="s">
        <v>644</v>
      </c>
      <c r="I92" t="s">
        <v>686</v>
      </c>
      <c r="J92" t="s">
        <v>1524</v>
      </c>
      <c r="K92" t="s">
        <v>694</v>
      </c>
      <c r="L92" t="s">
        <v>703</v>
      </c>
      <c r="M92" t="s">
        <v>717</v>
      </c>
      <c r="N92" t="s">
        <v>721</v>
      </c>
      <c r="O92" t="s">
        <v>815</v>
      </c>
      <c r="P92">
        <v>691.19</v>
      </c>
      <c r="Q92">
        <v>1284.3</v>
      </c>
      <c r="R92" t="s">
        <v>1496</v>
      </c>
      <c r="S92" s="31">
        <v>7.3999999999999996E-2</v>
      </c>
      <c r="T92">
        <v>7</v>
      </c>
      <c r="U92">
        <v>8324.8326000000015</v>
      </c>
      <c r="V92">
        <v>1237560.4398499997</v>
      </c>
      <c r="W92">
        <v>4838.33</v>
      </c>
      <c r="X92">
        <v>3486.5026000000016</v>
      </c>
      <c r="Y92" s="31">
        <v>0.41880753253825198</v>
      </c>
      <c r="Z92">
        <v>202504</v>
      </c>
      <c r="AA92">
        <v>202303</v>
      </c>
      <c r="AB92" t="s">
        <v>1446</v>
      </c>
      <c r="AC92">
        <v>25</v>
      </c>
      <c r="AD92" t="s">
        <v>1484</v>
      </c>
      <c r="AE92">
        <v>0</v>
      </c>
      <c r="AF92">
        <v>0</v>
      </c>
    </row>
    <row r="93" spans="1:32" x14ac:dyDescent="0.25">
      <c r="A93" t="s">
        <v>98</v>
      </c>
      <c r="B93" s="4">
        <v>45817</v>
      </c>
      <c r="C93" t="s">
        <v>1460</v>
      </c>
      <c r="D93" t="s">
        <v>1480</v>
      </c>
      <c r="E93" s="4">
        <v>45833</v>
      </c>
      <c r="F93">
        <v>16</v>
      </c>
      <c r="G93" t="s">
        <v>639</v>
      </c>
      <c r="H93" t="s">
        <v>646</v>
      </c>
      <c r="I93" t="s">
        <v>688</v>
      </c>
      <c r="J93" t="s">
        <v>1526</v>
      </c>
      <c r="K93" t="s">
        <v>698</v>
      </c>
      <c r="L93" t="s">
        <v>702</v>
      </c>
      <c r="M93" t="s">
        <v>716</v>
      </c>
      <c r="N93" t="s">
        <v>722</v>
      </c>
      <c r="O93" t="s">
        <v>816</v>
      </c>
      <c r="P93">
        <v>527.33000000000004</v>
      </c>
      <c r="Q93">
        <v>911.72</v>
      </c>
      <c r="R93" t="s">
        <v>1496</v>
      </c>
      <c r="S93" s="31">
        <v>0.14399999999999999</v>
      </c>
      <c r="T93">
        <v>25</v>
      </c>
      <c r="U93">
        <v>19510.808000000001</v>
      </c>
      <c r="V93">
        <v>1237560.4398499997</v>
      </c>
      <c r="W93">
        <v>13183.250000000002</v>
      </c>
      <c r="X93">
        <v>6327.5579999999991</v>
      </c>
      <c r="Y93" s="31">
        <v>0.32431040272652978</v>
      </c>
      <c r="Z93">
        <v>202506</v>
      </c>
      <c r="AA93">
        <v>202301</v>
      </c>
      <c r="AB93" t="s">
        <v>1458</v>
      </c>
      <c r="AC93">
        <v>29</v>
      </c>
      <c r="AD93" t="s">
        <v>1484</v>
      </c>
      <c r="AE93">
        <v>0</v>
      </c>
      <c r="AF93">
        <v>0</v>
      </c>
    </row>
    <row r="94" spans="1:32" x14ac:dyDescent="0.25">
      <c r="A94" t="s">
        <v>99</v>
      </c>
      <c r="B94" s="4">
        <v>45101</v>
      </c>
      <c r="C94" t="s">
        <v>1458</v>
      </c>
      <c r="D94" t="s">
        <v>1480</v>
      </c>
      <c r="E94" s="4">
        <v>45102</v>
      </c>
      <c r="F94">
        <v>1</v>
      </c>
      <c r="G94" t="s">
        <v>640</v>
      </c>
      <c r="H94" t="s">
        <v>647</v>
      </c>
      <c r="I94" t="s">
        <v>684</v>
      </c>
      <c r="J94" t="s">
        <v>1522</v>
      </c>
      <c r="K94" t="s">
        <v>695</v>
      </c>
      <c r="L94" t="s">
        <v>699</v>
      </c>
      <c r="M94" t="s">
        <v>710</v>
      </c>
      <c r="N94" t="s">
        <v>720</v>
      </c>
      <c r="O94" t="s">
        <v>817</v>
      </c>
      <c r="P94">
        <v>804.01</v>
      </c>
      <c r="Q94">
        <v>1405.07</v>
      </c>
      <c r="R94" t="s">
        <v>1496</v>
      </c>
      <c r="S94" s="31">
        <v>9.6000000000000002E-2</v>
      </c>
      <c r="T94">
        <v>8</v>
      </c>
      <c r="U94">
        <v>10161.46624</v>
      </c>
      <c r="V94">
        <v>1237560.4398499997</v>
      </c>
      <c r="W94">
        <v>6432.08</v>
      </c>
      <c r="X94">
        <v>3729.3862399999998</v>
      </c>
      <c r="Y94" s="31">
        <v>0.36701260939287439</v>
      </c>
      <c r="Z94">
        <v>202306</v>
      </c>
      <c r="AA94">
        <v>202301</v>
      </c>
      <c r="AB94" t="s">
        <v>1458</v>
      </c>
      <c r="AC94">
        <v>5</v>
      </c>
      <c r="AD94" t="s">
        <v>1483</v>
      </c>
      <c r="AE94">
        <v>1</v>
      </c>
      <c r="AF94">
        <v>0</v>
      </c>
    </row>
    <row r="95" spans="1:32" x14ac:dyDescent="0.25">
      <c r="A95" t="s">
        <v>100</v>
      </c>
      <c r="B95" s="4">
        <v>45569</v>
      </c>
      <c r="C95" t="s">
        <v>1464</v>
      </c>
      <c r="D95" t="s">
        <v>1482</v>
      </c>
      <c r="E95" s="4">
        <v>45598</v>
      </c>
      <c r="F95">
        <v>29</v>
      </c>
      <c r="G95" t="s">
        <v>638</v>
      </c>
      <c r="H95" t="s">
        <v>643</v>
      </c>
      <c r="I95" t="s">
        <v>661</v>
      </c>
      <c r="J95" t="s">
        <v>1499</v>
      </c>
      <c r="K95" t="s">
        <v>693</v>
      </c>
      <c r="L95" t="s">
        <v>702</v>
      </c>
      <c r="M95" t="s">
        <v>713</v>
      </c>
      <c r="N95" t="s">
        <v>725</v>
      </c>
      <c r="O95" t="s">
        <v>818</v>
      </c>
      <c r="P95">
        <v>412.09</v>
      </c>
      <c r="Q95">
        <v>968.94</v>
      </c>
      <c r="R95" t="s">
        <v>1490</v>
      </c>
      <c r="S95" s="31">
        <v>9.9000000000000005E-2</v>
      </c>
      <c r="T95">
        <v>23</v>
      </c>
      <c r="U95">
        <v>20079.343620000003</v>
      </c>
      <c r="V95">
        <v>1237560.4398499997</v>
      </c>
      <c r="W95">
        <v>9478.07</v>
      </c>
      <c r="X95">
        <v>10601.273620000004</v>
      </c>
      <c r="Y95" s="31">
        <v>0.52796913189137418</v>
      </c>
      <c r="Z95">
        <v>202410</v>
      </c>
      <c r="AA95">
        <v>202301</v>
      </c>
      <c r="AB95" t="s">
        <v>1476</v>
      </c>
      <c r="AC95">
        <v>21</v>
      </c>
      <c r="AD95" t="s">
        <v>1484</v>
      </c>
      <c r="AE95">
        <v>0</v>
      </c>
      <c r="AF95">
        <v>0</v>
      </c>
    </row>
    <row r="96" spans="1:32" x14ac:dyDescent="0.25">
      <c r="A96" t="s">
        <v>101</v>
      </c>
      <c r="B96" s="4">
        <v>45910</v>
      </c>
      <c r="C96" t="s">
        <v>1467</v>
      </c>
      <c r="D96" t="s">
        <v>1481</v>
      </c>
      <c r="E96" s="4">
        <v>45930</v>
      </c>
      <c r="F96">
        <v>20</v>
      </c>
      <c r="G96" t="s">
        <v>638</v>
      </c>
      <c r="H96" t="s">
        <v>642</v>
      </c>
      <c r="I96" t="s">
        <v>667</v>
      </c>
      <c r="J96" t="s">
        <v>1505</v>
      </c>
      <c r="K96" t="s">
        <v>693</v>
      </c>
      <c r="L96" t="s">
        <v>703</v>
      </c>
      <c r="M96" t="s">
        <v>708</v>
      </c>
      <c r="N96" t="s">
        <v>722</v>
      </c>
      <c r="O96" t="s">
        <v>819</v>
      </c>
      <c r="P96">
        <v>1009.48</v>
      </c>
      <c r="Q96">
        <v>1088.81</v>
      </c>
      <c r="R96" t="s">
        <v>1492</v>
      </c>
      <c r="S96" s="31">
        <v>0.16</v>
      </c>
      <c r="T96">
        <v>6</v>
      </c>
      <c r="U96">
        <v>5487.6023999999998</v>
      </c>
      <c r="V96">
        <v>1237560.4398499997</v>
      </c>
      <c r="W96">
        <v>6056.88</v>
      </c>
      <c r="X96">
        <v>-569.27760000000035</v>
      </c>
      <c r="Y96" s="31">
        <v>-0.10373885688219693</v>
      </c>
      <c r="Z96">
        <v>202509</v>
      </c>
      <c r="AA96">
        <v>202301</v>
      </c>
      <c r="AB96" t="s">
        <v>1465</v>
      </c>
      <c r="AC96">
        <v>32</v>
      </c>
      <c r="AD96" t="s">
        <v>1484</v>
      </c>
      <c r="AE96">
        <v>0</v>
      </c>
      <c r="AF96">
        <v>0</v>
      </c>
    </row>
    <row r="97" spans="1:32" x14ac:dyDescent="0.25">
      <c r="A97" t="s">
        <v>102</v>
      </c>
      <c r="B97" s="4">
        <v>45022</v>
      </c>
      <c r="C97" t="s">
        <v>1446</v>
      </c>
      <c r="D97" t="s">
        <v>1480</v>
      </c>
      <c r="E97" s="4">
        <v>45043</v>
      </c>
      <c r="F97">
        <v>21</v>
      </c>
      <c r="G97" t="s">
        <v>641</v>
      </c>
      <c r="H97" t="s">
        <v>650</v>
      </c>
      <c r="I97" t="s">
        <v>685</v>
      </c>
      <c r="J97" t="s">
        <v>1523</v>
      </c>
      <c r="K97" t="s">
        <v>698</v>
      </c>
      <c r="L97" t="s">
        <v>702</v>
      </c>
      <c r="M97" t="s">
        <v>706</v>
      </c>
      <c r="N97" t="s">
        <v>720</v>
      </c>
      <c r="O97" t="s">
        <v>820</v>
      </c>
      <c r="P97">
        <v>1084.79</v>
      </c>
      <c r="Q97">
        <v>2484.9899999999998</v>
      </c>
      <c r="R97" t="s">
        <v>1492</v>
      </c>
      <c r="S97" s="31">
        <v>3.4000000000000002E-2</v>
      </c>
      <c r="T97">
        <v>18</v>
      </c>
      <c r="U97">
        <v>43209.006119999991</v>
      </c>
      <c r="V97">
        <v>1237560.4398499997</v>
      </c>
      <c r="W97">
        <v>19526.22</v>
      </c>
      <c r="X97">
        <v>23682.78611999999</v>
      </c>
      <c r="Y97" s="31">
        <v>0.54809837685755114</v>
      </c>
      <c r="Z97">
        <v>202304</v>
      </c>
      <c r="AA97">
        <v>202301</v>
      </c>
      <c r="AB97" t="s">
        <v>1446</v>
      </c>
      <c r="AC97">
        <v>3</v>
      </c>
      <c r="AD97" t="s">
        <v>1484</v>
      </c>
      <c r="AE97">
        <v>0</v>
      </c>
      <c r="AF97">
        <v>0</v>
      </c>
    </row>
    <row r="98" spans="1:32" x14ac:dyDescent="0.25">
      <c r="A98" t="s">
        <v>103</v>
      </c>
      <c r="B98" s="4">
        <v>45870</v>
      </c>
      <c r="C98" t="s">
        <v>1449</v>
      </c>
      <c r="D98" t="s">
        <v>1481</v>
      </c>
      <c r="E98" s="4">
        <v>45885</v>
      </c>
      <c r="F98">
        <v>15</v>
      </c>
      <c r="G98" t="s">
        <v>639</v>
      </c>
      <c r="H98" t="s">
        <v>646</v>
      </c>
      <c r="I98" t="s">
        <v>1413</v>
      </c>
      <c r="J98" t="s">
        <v>1527</v>
      </c>
      <c r="K98" t="s">
        <v>698</v>
      </c>
      <c r="L98" t="s">
        <v>703</v>
      </c>
      <c r="M98" t="s">
        <v>711</v>
      </c>
      <c r="N98" t="s">
        <v>724</v>
      </c>
      <c r="O98" t="s">
        <v>821</v>
      </c>
      <c r="P98">
        <v>24.44</v>
      </c>
      <c r="Q98">
        <v>28.69</v>
      </c>
      <c r="R98" t="s">
        <v>1490</v>
      </c>
      <c r="S98" s="31">
        <v>0.14599999999999999</v>
      </c>
      <c r="T98">
        <v>6</v>
      </c>
      <c r="U98">
        <v>147.00756000000001</v>
      </c>
      <c r="V98">
        <v>1237560.4398499997</v>
      </c>
      <c r="W98">
        <v>146.64000000000001</v>
      </c>
      <c r="X98">
        <v>0.36755999999999744</v>
      </c>
      <c r="Y98" s="31">
        <v>2.5002795774584476E-3</v>
      </c>
      <c r="Z98">
        <v>202508</v>
      </c>
      <c r="AA98">
        <v>202301</v>
      </c>
      <c r="AB98" t="s">
        <v>1448</v>
      </c>
      <c r="AC98">
        <v>31</v>
      </c>
      <c r="AD98" t="s">
        <v>1484</v>
      </c>
      <c r="AE98">
        <v>0</v>
      </c>
      <c r="AF98">
        <v>0</v>
      </c>
    </row>
    <row r="99" spans="1:32" x14ac:dyDescent="0.25">
      <c r="A99" t="s">
        <v>104</v>
      </c>
      <c r="B99" s="4">
        <v>45440</v>
      </c>
      <c r="C99" t="s">
        <v>1463</v>
      </c>
      <c r="D99" t="s">
        <v>1480</v>
      </c>
      <c r="E99" s="4">
        <v>45442</v>
      </c>
      <c r="F99">
        <v>2</v>
      </c>
      <c r="G99" t="s">
        <v>638</v>
      </c>
      <c r="H99" t="s">
        <v>643</v>
      </c>
      <c r="I99" t="s">
        <v>661</v>
      </c>
      <c r="J99" t="s">
        <v>1499</v>
      </c>
      <c r="K99" t="s">
        <v>698</v>
      </c>
      <c r="L99" t="s">
        <v>700</v>
      </c>
      <c r="M99" t="s">
        <v>713</v>
      </c>
      <c r="N99" t="s">
        <v>725</v>
      </c>
      <c r="O99" t="s">
        <v>822</v>
      </c>
      <c r="P99">
        <v>1227.08</v>
      </c>
      <c r="Q99">
        <v>1896.62</v>
      </c>
      <c r="R99" t="s">
        <v>1492</v>
      </c>
      <c r="S99" s="31">
        <v>0</v>
      </c>
      <c r="T99">
        <v>18</v>
      </c>
      <c r="U99">
        <v>34139.159999999996</v>
      </c>
      <c r="V99">
        <v>1237560.4398499997</v>
      </c>
      <c r="W99">
        <v>22087.439999999999</v>
      </c>
      <c r="X99">
        <v>12051.719999999998</v>
      </c>
      <c r="Y99" s="31">
        <v>0.353017473189147</v>
      </c>
      <c r="Z99">
        <v>202405</v>
      </c>
      <c r="AA99">
        <v>202301</v>
      </c>
      <c r="AB99" t="s">
        <v>1462</v>
      </c>
      <c r="AC99">
        <v>16</v>
      </c>
      <c r="AD99" t="s">
        <v>1483</v>
      </c>
      <c r="AE99">
        <v>1</v>
      </c>
      <c r="AF99">
        <v>0</v>
      </c>
    </row>
    <row r="100" spans="1:32" x14ac:dyDescent="0.25">
      <c r="A100" t="s">
        <v>105</v>
      </c>
      <c r="B100" s="4">
        <v>45860</v>
      </c>
      <c r="C100" t="s">
        <v>1457</v>
      </c>
      <c r="D100" t="s">
        <v>1481</v>
      </c>
      <c r="E100" s="4">
        <v>45887</v>
      </c>
      <c r="F100">
        <v>27</v>
      </c>
      <c r="G100" t="s">
        <v>639</v>
      </c>
      <c r="H100" t="s">
        <v>651</v>
      </c>
      <c r="I100" t="s">
        <v>668</v>
      </c>
      <c r="J100" t="s">
        <v>1506</v>
      </c>
      <c r="K100" t="s">
        <v>695</v>
      </c>
      <c r="L100" t="s">
        <v>701</v>
      </c>
      <c r="M100" t="s">
        <v>716</v>
      </c>
      <c r="N100" t="s">
        <v>721</v>
      </c>
      <c r="O100" t="s">
        <v>823</v>
      </c>
      <c r="P100">
        <v>547.32000000000005</v>
      </c>
      <c r="Q100">
        <v>419.17</v>
      </c>
      <c r="R100" t="s">
        <v>1496</v>
      </c>
      <c r="S100" s="31">
        <v>9.1999999999999998E-2</v>
      </c>
      <c r="T100">
        <v>14</v>
      </c>
      <c r="U100">
        <v>5328.4890400000004</v>
      </c>
      <c r="V100">
        <v>1237560.4398499997</v>
      </c>
      <c r="W100">
        <v>7662.4800000000005</v>
      </c>
      <c r="X100">
        <v>-2333.9909600000001</v>
      </c>
      <c r="Y100" s="31">
        <v>-0.43802116181137907</v>
      </c>
      <c r="Z100">
        <v>202507</v>
      </c>
      <c r="AA100">
        <v>202301</v>
      </c>
      <c r="AB100" t="s">
        <v>1468</v>
      </c>
      <c r="AC100">
        <v>30</v>
      </c>
      <c r="AD100" t="s">
        <v>1484</v>
      </c>
      <c r="AE100">
        <v>0</v>
      </c>
      <c r="AF100">
        <v>0</v>
      </c>
    </row>
    <row r="101" spans="1:32" x14ac:dyDescent="0.25">
      <c r="A101" t="s">
        <v>106</v>
      </c>
      <c r="B101" s="4">
        <v>44985</v>
      </c>
      <c r="C101" t="s">
        <v>1451</v>
      </c>
      <c r="D101" t="s">
        <v>1479</v>
      </c>
      <c r="E101" s="4">
        <v>45005</v>
      </c>
      <c r="F101">
        <v>20</v>
      </c>
      <c r="G101" t="s">
        <v>641</v>
      </c>
      <c r="H101" t="s">
        <v>648</v>
      </c>
      <c r="I101" t="s">
        <v>663</v>
      </c>
      <c r="J101" t="s">
        <v>1501</v>
      </c>
      <c r="K101" t="s">
        <v>697</v>
      </c>
      <c r="L101" t="s">
        <v>703</v>
      </c>
      <c r="M101" t="s">
        <v>714</v>
      </c>
      <c r="N101" t="s">
        <v>723</v>
      </c>
      <c r="O101" t="s">
        <v>824</v>
      </c>
      <c r="P101">
        <v>1200.78</v>
      </c>
      <c r="Q101">
        <v>2001.17</v>
      </c>
      <c r="R101" t="s">
        <v>1492</v>
      </c>
      <c r="S101" s="31">
        <v>0.29199999999999998</v>
      </c>
      <c r="T101">
        <v>18</v>
      </c>
      <c r="U101">
        <v>25502.910479999999</v>
      </c>
      <c r="V101">
        <v>1237560.4398499997</v>
      </c>
      <c r="W101">
        <v>21614.04</v>
      </c>
      <c r="X101">
        <v>3888.8704799999978</v>
      </c>
      <c r="Y101" s="31">
        <v>0.15248732034132906</v>
      </c>
      <c r="Z101">
        <v>202302</v>
      </c>
      <c r="AA101">
        <v>202301</v>
      </c>
      <c r="AB101" t="s">
        <v>1451</v>
      </c>
      <c r="AC101">
        <v>1</v>
      </c>
      <c r="AD101" t="s">
        <v>1484</v>
      </c>
      <c r="AE101">
        <v>0</v>
      </c>
      <c r="AF101">
        <v>1</v>
      </c>
    </row>
    <row r="102" spans="1:32" x14ac:dyDescent="0.25">
      <c r="A102" t="s">
        <v>107</v>
      </c>
      <c r="B102" s="4">
        <v>45684</v>
      </c>
      <c r="C102" t="s">
        <v>1455</v>
      </c>
      <c r="D102" t="s">
        <v>1479</v>
      </c>
      <c r="E102" s="4">
        <v>45703</v>
      </c>
      <c r="F102">
        <v>19</v>
      </c>
      <c r="G102" t="s">
        <v>639</v>
      </c>
      <c r="H102" t="s">
        <v>651</v>
      </c>
      <c r="I102" t="s">
        <v>668</v>
      </c>
      <c r="J102" t="s">
        <v>1506</v>
      </c>
      <c r="K102" t="s">
        <v>695</v>
      </c>
      <c r="L102" t="s">
        <v>703</v>
      </c>
      <c r="M102" t="s">
        <v>708</v>
      </c>
      <c r="N102" t="s">
        <v>722</v>
      </c>
      <c r="O102" t="s">
        <v>825</v>
      </c>
      <c r="P102">
        <v>1253.22</v>
      </c>
      <c r="Q102">
        <v>3104.71</v>
      </c>
      <c r="R102" t="s">
        <v>1492</v>
      </c>
      <c r="S102" s="31">
        <v>0</v>
      </c>
      <c r="T102">
        <v>17</v>
      </c>
      <c r="U102">
        <v>52780.07</v>
      </c>
      <c r="V102">
        <v>1237560.4398499997</v>
      </c>
      <c r="W102">
        <v>21304.74</v>
      </c>
      <c r="X102">
        <v>31475.329999999998</v>
      </c>
      <c r="Y102" s="31">
        <v>0.59634877331538205</v>
      </c>
      <c r="Z102">
        <v>202501</v>
      </c>
      <c r="AA102">
        <v>202301</v>
      </c>
      <c r="AB102" t="s">
        <v>1477</v>
      </c>
      <c r="AC102">
        <v>24</v>
      </c>
      <c r="AD102" t="s">
        <v>1484</v>
      </c>
      <c r="AE102">
        <v>0</v>
      </c>
      <c r="AF102">
        <v>0</v>
      </c>
    </row>
    <row r="103" spans="1:32" x14ac:dyDescent="0.25">
      <c r="A103" t="s">
        <v>108</v>
      </c>
      <c r="B103" s="4">
        <v>45304</v>
      </c>
      <c r="C103" t="s">
        <v>1454</v>
      </c>
      <c r="D103" t="s">
        <v>1479</v>
      </c>
      <c r="E103" s="4">
        <v>45313</v>
      </c>
      <c r="F103">
        <v>9</v>
      </c>
      <c r="G103" t="s">
        <v>639</v>
      </c>
      <c r="H103" t="s">
        <v>646</v>
      </c>
      <c r="I103" t="s">
        <v>683</v>
      </c>
      <c r="J103" t="s">
        <v>1521</v>
      </c>
      <c r="K103" t="s">
        <v>698</v>
      </c>
      <c r="L103" t="s">
        <v>701</v>
      </c>
      <c r="M103" t="s">
        <v>705</v>
      </c>
      <c r="N103" t="s">
        <v>719</v>
      </c>
      <c r="O103" t="s">
        <v>826</v>
      </c>
      <c r="P103">
        <v>313.60000000000002</v>
      </c>
      <c r="Q103">
        <v>334.28</v>
      </c>
      <c r="R103" t="s">
        <v>1490</v>
      </c>
      <c r="S103" s="31">
        <v>0.14000000000000001</v>
      </c>
      <c r="T103">
        <v>22</v>
      </c>
      <c r="U103">
        <v>6324.5775999999996</v>
      </c>
      <c r="V103">
        <v>1237560.4398499997</v>
      </c>
      <c r="W103">
        <v>6899.2000000000007</v>
      </c>
      <c r="X103">
        <v>-574.62240000000111</v>
      </c>
      <c r="Y103" s="31">
        <v>-9.0855458868905517E-2</v>
      </c>
      <c r="Z103">
        <v>202401</v>
      </c>
      <c r="AA103">
        <v>202301</v>
      </c>
      <c r="AB103" t="s">
        <v>1477</v>
      </c>
      <c r="AC103">
        <v>12</v>
      </c>
      <c r="AD103" t="s">
        <v>1484</v>
      </c>
      <c r="AE103">
        <v>0</v>
      </c>
      <c r="AF103">
        <v>0</v>
      </c>
    </row>
    <row r="104" spans="1:32" x14ac:dyDescent="0.25">
      <c r="A104" t="s">
        <v>109</v>
      </c>
      <c r="B104" s="4">
        <v>45747</v>
      </c>
      <c r="C104" t="s">
        <v>1461</v>
      </c>
      <c r="D104" t="s">
        <v>1479</v>
      </c>
      <c r="E104" s="4">
        <v>45751</v>
      </c>
      <c r="F104">
        <v>4</v>
      </c>
      <c r="G104" t="s">
        <v>638</v>
      </c>
      <c r="H104" t="s">
        <v>642</v>
      </c>
      <c r="I104" t="s">
        <v>670</v>
      </c>
      <c r="J104" t="s">
        <v>1508</v>
      </c>
      <c r="K104" t="s">
        <v>693</v>
      </c>
      <c r="L104" t="s">
        <v>703</v>
      </c>
      <c r="M104" t="s">
        <v>704</v>
      </c>
      <c r="N104" t="s">
        <v>723</v>
      </c>
      <c r="O104" t="s">
        <v>827</v>
      </c>
      <c r="P104">
        <v>862.08</v>
      </c>
      <c r="Q104">
        <v>1952.83</v>
      </c>
      <c r="R104" t="s">
        <v>1496</v>
      </c>
      <c r="S104" s="31">
        <v>0</v>
      </c>
      <c r="T104">
        <v>7</v>
      </c>
      <c r="U104">
        <v>13669.81</v>
      </c>
      <c r="V104">
        <v>1231235.8622499995</v>
      </c>
      <c r="W104">
        <v>6034.56</v>
      </c>
      <c r="X104">
        <v>7635.2499999999991</v>
      </c>
      <c r="Y104" s="31">
        <v>0.5585483631447693</v>
      </c>
      <c r="Z104">
        <v>202503</v>
      </c>
      <c r="AA104">
        <v>202301</v>
      </c>
      <c r="AB104" t="s">
        <v>1469</v>
      </c>
      <c r="AC104">
        <v>26</v>
      </c>
      <c r="AD104" t="s">
        <v>1483</v>
      </c>
      <c r="AE104">
        <v>1</v>
      </c>
      <c r="AF104">
        <v>0</v>
      </c>
    </row>
    <row r="105" spans="1:32" x14ac:dyDescent="0.25">
      <c r="A105" t="s">
        <v>110</v>
      </c>
      <c r="B105" s="4">
        <v>45631</v>
      </c>
      <c r="C105" t="s">
        <v>1478</v>
      </c>
      <c r="D105" t="s">
        <v>1482</v>
      </c>
      <c r="E105" s="4">
        <v>45654</v>
      </c>
      <c r="F105">
        <v>23</v>
      </c>
      <c r="G105" t="s">
        <v>640</v>
      </c>
      <c r="H105" t="s">
        <v>645</v>
      </c>
      <c r="I105" t="s">
        <v>680</v>
      </c>
      <c r="J105" t="s">
        <v>1518</v>
      </c>
      <c r="K105" t="s">
        <v>693</v>
      </c>
      <c r="L105" t="s">
        <v>703</v>
      </c>
      <c r="M105" t="s">
        <v>713</v>
      </c>
      <c r="N105" t="s">
        <v>725</v>
      </c>
      <c r="O105" t="s">
        <v>828</v>
      </c>
      <c r="P105">
        <v>107.03</v>
      </c>
      <c r="Q105">
        <v>242.29</v>
      </c>
      <c r="R105" t="s">
        <v>1490</v>
      </c>
      <c r="S105" s="31">
        <v>0.18</v>
      </c>
      <c r="T105">
        <v>30</v>
      </c>
      <c r="U105">
        <v>5960.3340000000007</v>
      </c>
      <c r="V105">
        <v>1231235.8622499995</v>
      </c>
      <c r="W105">
        <v>3210.9</v>
      </c>
      <c r="X105">
        <v>2749.4340000000007</v>
      </c>
      <c r="Y105" s="31">
        <v>0.46128857879440988</v>
      </c>
      <c r="Z105">
        <v>202412</v>
      </c>
      <c r="AA105">
        <v>202301</v>
      </c>
      <c r="AB105" t="s">
        <v>1450</v>
      </c>
      <c r="AC105">
        <v>23</v>
      </c>
      <c r="AD105" t="s">
        <v>1484</v>
      </c>
      <c r="AE105">
        <v>0</v>
      </c>
      <c r="AF105">
        <v>0</v>
      </c>
    </row>
    <row r="106" spans="1:32" x14ac:dyDescent="0.25">
      <c r="A106" t="s">
        <v>111</v>
      </c>
      <c r="B106" s="4">
        <v>45549</v>
      </c>
      <c r="C106" t="s">
        <v>1466</v>
      </c>
      <c r="D106" t="s">
        <v>1481</v>
      </c>
      <c r="E106" s="4">
        <v>45570</v>
      </c>
      <c r="F106">
        <v>21</v>
      </c>
      <c r="G106" t="s">
        <v>639</v>
      </c>
      <c r="H106" t="s">
        <v>651</v>
      </c>
      <c r="I106" t="s">
        <v>677</v>
      </c>
      <c r="J106" t="s">
        <v>1515</v>
      </c>
      <c r="K106" t="s">
        <v>697</v>
      </c>
      <c r="L106" t="s">
        <v>700</v>
      </c>
      <c r="M106" t="s">
        <v>714</v>
      </c>
      <c r="N106" t="s">
        <v>723</v>
      </c>
      <c r="O106" t="s">
        <v>829</v>
      </c>
      <c r="P106">
        <v>1405.56</v>
      </c>
      <c r="Q106">
        <v>2968.87</v>
      </c>
      <c r="R106" t="s">
        <v>1492</v>
      </c>
      <c r="S106" s="31">
        <v>0.16900000000000001</v>
      </c>
      <c r="T106">
        <v>5</v>
      </c>
      <c r="U106">
        <v>12335.654849999999</v>
      </c>
      <c r="V106">
        <v>1231235.8622499995</v>
      </c>
      <c r="W106">
        <v>7027.7999999999993</v>
      </c>
      <c r="X106">
        <v>5307.8548499999997</v>
      </c>
      <c r="Y106" s="31">
        <v>0.4302856163327235</v>
      </c>
      <c r="Z106">
        <v>202409</v>
      </c>
      <c r="AA106">
        <v>202301</v>
      </c>
      <c r="AB106" t="s">
        <v>1465</v>
      </c>
      <c r="AC106">
        <v>20</v>
      </c>
      <c r="AD106" t="s">
        <v>1484</v>
      </c>
      <c r="AE106">
        <v>0</v>
      </c>
      <c r="AF106">
        <v>0</v>
      </c>
    </row>
    <row r="107" spans="1:32" x14ac:dyDescent="0.25">
      <c r="A107" t="s">
        <v>112</v>
      </c>
      <c r="B107" s="4">
        <v>45433</v>
      </c>
      <c r="C107" t="s">
        <v>1463</v>
      </c>
      <c r="D107" t="s">
        <v>1480</v>
      </c>
      <c r="E107" s="4">
        <v>45439</v>
      </c>
      <c r="F107">
        <v>6</v>
      </c>
      <c r="G107" t="s">
        <v>638</v>
      </c>
      <c r="H107" t="s">
        <v>653</v>
      </c>
      <c r="I107" t="s">
        <v>674</v>
      </c>
      <c r="J107" t="s">
        <v>1512</v>
      </c>
      <c r="K107" t="s">
        <v>695</v>
      </c>
      <c r="L107" t="s">
        <v>700</v>
      </c>
      <c r="M107" t="s">
        <v>716</v>
      </c>
      <c r="N107" t="s">
        <v>719</v>
      </c>
      <c r="O107" t="s">
        <v>830</v>
      </c>
      <c r="P107">
        <v>1157.51</v>
      </c>
      <c r="Q107">
        <v>1394.3</v>
      </c>
      <c r="R107" t="s">
        <v>1492</v>
      </c>
      <c r="S107" s="31">
        <v>0.27800000000000002</v>
      </c>
      <c r="T107">
        <v>12</v>
      </c>
      <c r="U107">
        <v>12080.215199999999</v>
      </c>
      <c r="V107">
        <v>1231235.8622499995</v>
      </c>
      <c r="W107">
        <v>13890.119999999999</v>
      </c>
      <c r="X107">
        <v>-1809.9048000000003</v>
      </c>
      <c r="Y107" s="31">
        <v>-0.14982388724333326</v>
      </c>
      <c r="Z107">
        <v>202405</v>
      </c>
      <c r="AA107">
        <v>202301</v>
      </c>
      <c r="AB107" t="s">
        <v>1462</v>
      </c>
      <c r="AC107">
        <v>16</v>
      </c>
      <c r="AD107" t="s">
        <v>1483</v>
      </c>
      <c r="AE107">
        <v>1</v>
      </c>
      <c r="AF107">
        <v>1</v>
      </c>
    </row>
    <row r="108" spans="1:32" x14ac:dyDescent="0.25">
      <c r="A108" t="s">
        <v>113</v>
      </c>
      <c r="B108" s="4">
        <v>45057</v>
      </c>
      <c r="C108" t="s">
        <v>1462</v>
      </c>
      <c r="D108" t="s">
        <v>1480</v>
      </c>
      <c r="E108" s="4">
        <v>45084</v>
      </c>
      <c r="F108">
        <v>27</v>
      </c>
      <c r="G108" t="s">
        <v>638</v>
      </c>
      <c r="H108" t="s">
        <v>642</v>
      </c>
      <c r="I108" t="s">
        <v>667</v>
      </c>
      <c r="J108" t="s">
        <v>1505</v>
      </c>
      <c r="K108" t="s">
        <v>693</v>
      </c>
      <c r="L108" t="s">
        <v>700</v>
      </c>
      <c r="M108" t="s">
        <v>705</v>
      </c>
      <c r="N108" t="s">
        <v>722</v>
      </c>
      <c r="O108" t="s">
        <v>831</v>
      </c>
      <c r="P108">
        <v>12.85</v>
      </c>
      <c r="Q108">
        <v>15.41</v>
      </c>
      <c r="R108" t="s">
        <v>1490</v>
      </c>
      <c r="S108" s="31">
        <v>0.13700000000000001</v>
      </c>
      <c r="T108">
        <v>39</v>
      </c>
      <c r="U108">
        <v>518.65436999999997</v>
      </c>
      <c r="V108">
        <v>1219155.6470499996</v>
      </c>
      <c r="W108">
        <v>501.15</v>
      </c>
      <c r="X108">
        <v>17.504369999999994</v>
      </c>
      <c r="Y108" s="31">
        <v>3.3749585489851353E-2</v>
      </c>
      <c r="Z108">
        <v>202305</v>
      </c>
      <c r="AA108">
        <v>202301</v>
      </c>
      <c r="AB108" t="s">
        <v>1462</v>
      </c>
      <c r="AC108">
        <v>4</v>
      </c>
      <c r="AD108" t="s">
        <v>1484</v>
      </c>
      <c r="AE108">
        <v>0</v>
      </c>
      <c r="AF108">
        <v>0</v>
      </c>
    </row>
    <row r="109" spans="1:32" x14ac:dyDescent="0.25">
      <c r="A109" t="s">
        <v>114</v>
      </c>
      <c r="B109" s="4">
        <v>45518</v>
      </c>
      <c r="C109" t="s">
        <v>1474</v>
      </c>
      <c r="D109" t="s">
        <v>1481</v>
      </c>
      <c r="E109" s="4">
        <v>45539</v>
      </c>
      <c r="F109">
        <v>21</v>
      </c>
      <c r="G109" t="s">
        <v>641</v>
      </c>
      <c r="H109" t="s">
        <v>650</v>
      </c>
      <c r="I109" t="s">
        <v>685</v>
      </c>
      <c r="J109" t="s">
        <v>1523</v>
      </c>
      <c r="K109" t="s">
        <v>695</v>
      </c>
      <c r="L109" t="s">
        <v>700</v>
      </c>
      <c r="M109" t="s">
        <v>705</v>
      </c>
      <c r="N109" t="s">
        <v>722</v>
      </c>
      <c r="O109" t="s">
        <v>832</v>
      </c>
      <c r="P109">
        <v>1138.8</v>
      </c>
      <c r="Q109">
        <v>2250.81</v>
      </c>
      <c r="R109" t="s">
        <v>1492</v>
      </c>
      <c r="S109" s="31">
        <v>0.123</v>
      </c>
      <c r="T109">
        <v>12</v>
      </c>
      <c r="U109">
        <v>23687.524440000001</v>
      </c>
      <c r="V109">
        <v>1219155.6470499996</v>
      </c>
      <c r="W109">
        <v>13665.599999999999</v>
      </c>
      <c r="X109">
        <v>10021.924440000003</v>
      </c>
      <c r="Y109" s="31">
        <v>0.42308872188756258</v>
      </c>
      <c r="Z109">
        <v>202408</v>
      </c>
      <c r="AA109">
        <v>202301</v>
      </c>
      <c r="AB109" t="s">
        <v>1448</v>
      </c>
      <c r="AC109">
        <v>19</v>
      </c>
      <c r="AD109" t="s">
        <v>1484</v>
      </c>
      <c r="AE109">
        <v>0</v>
      </c>
      <c r="AF109">
        <v>0</v>
      </c>
    </row>
    <row r="110" spans="1:32" x14ac:dyDescent="0.25">
      <c r="A110" t="s">
        <v>115</v>
      </c>
      <c r="B110" s="4">
        <v>45581</v>
      </c>
      <c r="C110" t="s">
        <v>1464</v>
      </c>
      <c r="D110" t="s">
        <v>1482</v>
      </c>
      <c r="E110" s="4">
        <v>45604</v>
      </c>
      <c r="F110">
        <v>23</v>
      </c>
      <c r="G110" t="s">
        <v>639</v>
      </c>
      <c r="H110" t="s">
        <v>644</v>
      </c>
      <c r="I110" t="s">
        <v>658</v>
      </c>
      <c r="J110" t="s">
        <v>1495</v>
      </c>
      <c r="K110" t="s">
        <v>697</v>
      </c>
      <c r="L110" t="s">
        <v>699</v>
      </c>
      <c r="M110" t="s">
        <v>705</v>
      </c>
      <c r="N110" t="s">
        <v>721</v>
      </c>
      <c r="O110" t="s">
        <v>833</v>
      </c>
      <c r="P110">
        <v>82.14</v>
      </c>
      <c r="Q110">
        <v>166.04</v>
      </c>
      <c r="R110" t="s">
        <v>1490</v>
      </c>
      <c r="S110" s="31">
        <v>0</v>
      </c>
      <c r="T110">
        <v>10</v>
      </c>
      <c r="U110">
        <v>1660.3999999999999</v>
      </c>
      <c r="V110">
        <v>1219155.6470499996</v>
      </c>
      <c r="W110">
        <v>821.4</v>
      </c>
      <c r="X110">
        <v>838.99999999999989</v>
      </c>
      <c r="Y110" s="31">
        <v>0.50529992772825827</v>
      </c>
      <c r="Z110">
        <v>202410</v>
      </c>
      <c r="AA110">
        <v>202303</v>
      </c>
      <c r="AB110" t="s">
        <v>1476</v>
      </c>
      <c r="AC110">
        <v>19</v>
      </c>
      <c r="AD110" t="s">
        <v>1484</v>
      </c>
      <c r="AE110">
        <v>0</v>
      </c>
      <c r="AF110">
        <v>0</v>
      </c>
    </row>
    <row r="111" spans="1:32" x14ac:dyDescent="0.25">
      <c r="A111" t="s">
        <v>116</v>
      </c>
      <c r="B111" s="4">
        <v>45445</v>
      </c>
      <c r="C111" t="s">
        <v>1459</v>
      </c>
      <c r="D111" t="s">
        <v>1480</v>
      </c>
      <c r="E111" s="4">
        <v>45451</v>
      </c>
      <c r="F111">
        <v>6</v>
      </c>
      <c r="G111" t="s">
        <v>638</v>
      </c>
      <c r="H111" t="s">
        <v>642</v>
      </c>
      <c r="I111" t="s">
        <v>654</v>
      </c>
      <c r="J111" t="s">
        <v>1489</v>
      </c>
      <c r="K111" t="s">
        <v>696</v>
      </c>
      <c r="L111" t="s">
        <v>701</v>
      </c>
      <c r="M111" t="s">
        <v>712</v>
      </c>
      <c r="N111" t="s">
        <v>725</v>
      </c>
      <c r="O111" t="s">
        <v>834</v>
      </c>
      <c r="P111">
        <v>292.94</v>
      </c>
      <c r="Q111">
        <v>356.55</v>
      </c>
      <c r="R111" t="s">
        <v>1490</v>
      </c>
      <c r="S111" s="31">
        <v>0.22900000000000001</v>
      </c>
      <c r="T111">
        <v>2</v>
      </c>
      <c r="U111">
        <v>549.80010000000004</v>
      </c>
      <c r="V111">
        <v>1219155.6470499996</v>
      </c>
      <c r="W111">
        <v>585.88</v>
      </c>
      <c r="X111">
        <v>-36.079899999999952</v>
      </c>
      <c r="Y111" s="31">
        <v>-6.5623669402751925E-2</v>
      </c>
      <c r="Z111">
        <v>202406</v>
      </c>
      <c r="AA111">
        <v>202301</v>
      </c>
      <c r="AB111" t="s">
        <v>1458</v>
      </c>
      <c r="AC111">
        <v>17</v>
      </c>
      <c r="AD111" t="s">
        <v>1483</v>
      </c>
      <c r="AE111">
        <v>1</v>
      </c>
      <c r="AF111">
        <v>1</v>
      </c>
    </row>
    <row r="112" spans="1:32" x14ac:dyDescent="0.25">
      <c r="A112" t="s">
        <v>117</v>
      </c>
      <c r="B112" s="4">
        <v>45452</v>
      </c>
      <c r="C112" t="s">
        <v>1459</v>
      </c>
      <c r="D112" t="s">
        <v>1480</v>
      </c>
      <c r="E112" s="4">
        <v>45480</v>
      </c>
      <c r="F112">
        <v>28</v>
      </c>
      <c r="G112" t="s">
        <v>639</v>
      </c>
      <c r="H112" t="s">
        <v>651</v>
      </c>
      <c r="I112" t="s">
        <v>668</v>
      </c>
      <c r="J112" t="s">
        <v>1506</v>
      </c>
      <c r="K112" t="s">
        <v>693</v>
      </c>
      <c r="L112" t="s">
        <v>700</v>
      </c>
      <c r="M112" t="s">
        <v>705</v>
      </c>
      <c r="N112" t="s">
        <v>719</v>
      </c>
      <c r="O112" t="s">
        <v>835</v>
      </c>
      <c r="P112">
        <v>550.22</v>
      </c>
      <c r="Q112">
        <v>1025.05</v>
      </c>
      <c r="R112" t="s">
        <v>1496</v>
      </c>
      <c r="S112" s="31">
        <v>0</v>
      </c>
      <c r="T112">
        <v>27</v>
      </c>
      <c r="U112">
        <v>27676.35</v>
      </c>
      <c r="V112">
        <v>1219155.6470499996</v>
      </c>
      <c r="W112">
        <v>14855.94</v>
      </c>
      <c r="X112">
        <v>12820.409999999998</v>
      </c>
      <c r="Y112" s="31">
        <v>0.46322618408858102</v>
      </c>
      <c r="Z112">
        <v>202406</v>
      </c>
      <c r="AA112">
        <v>202301</v>
      </c>
      <c r="AB112" t="s">
        <v>1458</v>
      </c>
      <c r="AC112">
        <v>17</v>
      </c>
      <c r="AD112" t="s">
        <v>1484</v>
      </c>
      <c r="AE112">
        <v>0</v>
      </c>
      <c r="AF112">
        <v>0</v>
      </c>
    </row>
    <row r="113" spans="1:32" x14ac:dyDescent="0.25">
      <c r="A113" t="s">
        <v>118</v>
      </c>
      <c r="B113" s="4">
        <v>45453</v>
      </c>
      <c r="C113" t="s">
        <v>1459</v>
      </c>
      <c r="D113" t="s">
        <v>1480</v>
      </c>
      <c r="E113" s="4">
        <v>45454</v>
      </c>
      <c r="F113">
        <v>1</v>
      </c>
      <c r="G113" t="s">
        <v>641</v>
      </c>
      <c r="H113" t="s">
        <v>650</v>
      </c>
      <c r="I113" t="s">
        <v>666</v>
      </c>
      <c r="J113" t="s">
        <v>1504</v>
      </c>
      <c r="K113" t="s">
        <v>697</v>
      </c>
      <c r="L113" t="s">
        <v>701</v>
      </c>
      <c r="M113" t="s">
        <v>716</v>
      </c>
      <c r="N113" t="s">
        <v>723</v>
      </c>
      <c r="O113" t="s">
        <v>836</v>
      </c>
      <c r="P113">
        <v>1187.1300000000001</v>
      </c>
      <c r="Q113">
        <v>1795.17</v>
      </c>
      <c r="R113" t="s">
        <v>1492</v>
      </c>
      <c r="S113" s="31">
        <v>1.2E-2</v>
      </c>
      <c r="T113">
        <v>17</v>
      </c>
      <c r="U113">
        <v>30151.675319999998</v>
      </c>
      <c r="V113">
        <v>1191479.2970499997</v>
      </c>
      <c r="W113">
        <v>20181.210000000003</v>
      </c>
      <c r="X113">
        <v>9970.4653199999957</v>
      </c>
      <c r="Y113" s="31">
        <v>0.33067699271046663</v>
      </c>
      <c r="Z113">
        <v>202406</v>
      </c>
      <c r="AA113">
        <v>202301</v>
      </c>
      <c r="AB113" t="s">
        <v>1458</v>
      </c>
      <c r="AC113">
        <v>17</v>
      </c>
      <c r="AD113" t="s">
        <v>1483</v>
      </c>
      <c r="AE113">
        <v>1</v>
      </c>
      <c r="AF113">
        <v>0</v>
      </c>
    </row>
    <row r="114" spans="1:32" x14ac:dyDescent="0.25">
      <c r="A114" t="s">
        <v>119</v>
      </c>
      <c r="B114" s="4">
        <v>45472</v>
      </c>
      <c r="C114" t="s">
        <v>1459</v>
      </c>
      <c r="D114" t="s">
        <v>1480</v>
      </c>
      <c r="E114" s="4">
        <v>45499</v>
      </c>
      <c r="F114">
        <v>27</v>
      </c>
      <c r="G114" t="s">
        <v>638</v>
      </c>
      <c r="H114" t="s">
        <v>653</v>
      </c>
      <c r="I114" t="s">
        <v>679</v>
      </c>
      <c r="J114" t="s">
        <v>1517</v>
      </c>
      <c r="K114" t="s">
        <v>698</v>
      </c>
      <c r="L114" t="s">
        <v>702</v>
      </c>
      <c r="M114" t="s">
        <v>709</v>
      </c>
      <c r="N114" t="s">
        <v>721</v>
      </c>
      <c r="O114" t="s">
        <v>837</v>
      </c>
      <c r="P114">
        <v>5.36</v>
      </c>
      <c r="Q114">
        <v>4.37</v>
      </c>
      <c r="R114" t="s">
        <v>1490</v>
      </c>
      <c r="S114" s="31">
        <v>0.11799999999999999</v>
      </c>
      <c r="T114">
        <v>9</v>
      </c>
      <c r="U114">
        <v>34.689059999999998</v>
      </c>
      <c r="V114">
        <v>1191479.2970499997</v>
      </c>
      <c r="W114">
        <v>48.24</v>
      </c>
      <c r="X114">
        <v>-13.550940000000004</v>
      </c>
      <c r="Y114" s="31">
        <v>-0.39064016148030545</v>
      </c>
      <c r="Z114">
        <v>202406</v>
      </c>
      <c r="AA114">
        <v>202301</v>
      </c>
      <c r="AB114" t="s">
        <v>1458</v>
      </c>
      <c r="AC114">
        <v>17</v>
      </c>
      <c r="AD114" t="s">
        <v>1484</v>
      </c>
      <c r="AE114">
        <v>0</v>
      </c>
      <c r="AF114">
        <v>0</v>
      </c>
    </row>
    <row r="115" spans="1:32" x14ac:dyDescent="0.25">
      <c r="A115" t="s">
        <v>120</v>
      </c>
      <c r="B115" s="4">
        <v>45674</v>
      </c>
      <c r="C115" t="s">
        <v>1455</v>
      </c>
      <c r="D115" t="s">
        <v>1479</v>
      </c>
      <c r="E115" s="4">
        <v>45681</v>
      </c>
      <c r="F115">
        <v>7</v>
      </c>
      <c r="G115" t="s">
        <v>640</v>
      </c>
      <c r="H115" t="s">
        <v>652</v>
      </c>
      <c r="I115" t="s">
        <v>689</v>
      </c>
      <c r="J115" t="s">
        <v>1528</v>
      </c>
      <c r="K115" t="s">
        <v>698</v>
      </c>
      <c r="L115" t="s">
        <v>700</v>
      </c>
      <c r="M115" t="s">
        <v>707</v>
      </c>
      <c r="N115" t="s">
        <v>725</v>
      </c>
      <c r="O115" t="s">
        <v>838</v>
      </c>
      <c r="P115">
        <v>142.09</v>
      </c>
      <c r="Q115">
        <v>218.5</v>
      </c>
      <c r="R115" t="s">
        <v>1490</v>
      </c>
      <c r="S115" s="31">
        <v>0.11899999999999999</v>
      </c>
      <c r="T115">
        <v>11</v>
      </c>
      <c r="U115">
        <v>2117.4834999999998</v>
      </c>
      <c r="V115">
        <v>1191479.2970499997</v>
      </c>
      <c r="W115">
        <v>1562.99</v>
      </c>
      <c r="X115">
        <v>554.49349999999981</v>
      </c>
      <c r="Y115" s="31">
        <v>0.26186437816398561</v>
      </c>
      <c r="Z115">
        <v>202501</v>
      </c>
      <c r="AA115">
        <v>202301</v>
      </c>
      <c r="AB115" t="s">
        <v>1477</v>
      </c>
      <c r="AC115">
        <v>24</v>
      </c>
      <c r="AD115" t="s">
        <v>1483</v>
      </c>
      <c r="AE115">
        <v>1</v>
      </c>
      <c r="AF115">
        <v>0</v>
      </c>
    </row>
    <row r="116" spans="1:32" x14ac:dyDescent="0.25">
      <c r="A116" t="s">
        <v>121</v>
      </c>
      <c r="B116" s="4">
        <v>45250</v>
      </c>
      <c r="C116" t="s">
        <v>1475</v>
      </c>
      <c r="D116" t="s">
        <v>1482</v>
      </c>
      <c r="E116" s="4">
        <v>45265</v>
      </c>
      <c r="F116">
        <v>15</v>
      </c>
      <c r="G116" t="s">
        <v>639</v>
      </c>
      <c r="H116" t="s">
        <v>644</v>
      </c>
      <c r="I116" t="s">
        <v>681</v>
      </c>
      <c r="J116" t="s">
        <v>1519</v>
      </c>
      <c r="K116" t="s">
        <v>698</v>
      </c>
      <c r="L116" t="s">
        <v>699</v>
      </c>
      <c r="M116" t="s">
        <v>708</v>
      </c>
      <c r="N116" t="s">
        <v>721</v>
      </c>
      <c r="O116" t="s">
        <v>839</v>
      </c>
      <c r="P116">
        <v>354.24</v>
      </c>
      <c r="Q116">
        <v>249.87</v>
      </c>
      <c r="R116" t="s">
        <v>1490</v>
      </c>
      <c r="S116" s="31">
        <v>0</v>
      </c>
      <c r="T116">
        <v>6</v>
      </c>
      <c r="U116">
        <v>1499.22</v>
      </c>
      <c r="V116">
        <v>1191479.2970499997</v>
      </c>
      <c r="W116">
        <v>2125.44</v>
      </c>
      <c r="X116">
        <v>-626.22</v>
      </c>
      <c r="Y116" s="31">
        <v>-0.41769720254532355</v>
      </c>
      <c r="Z116">
        <v>202311</v>
      </c>
      <c r="AA116">
        <v>202303</v>
      </c>
      <c r="AB116" t="s">
        <v>1475</v>
      </c>
      <c r="AC116">
        <v>8</v>
      </c>
      <c r="AD116" t="s">
        <v>1484</v>
      </c>
      <c r="AE116">
        <v>0</v>
      </c>
      <c r="AF116">
        <v>0</v>
      </c>
    </row>
    <row r="117" spans="1:32" x14ac:dyDescent="0.25">
      <c r="A117" t="s">
        <v>122</v>
      </c>
      <c r="B117" s="4">
        <v>44987</v>
      </c>
      <c r="C117" t="s">
        <v>1469</v>
      </c>
      <c r="D117" t="s">
        <v>1479</v>
      </c>
      <c r="E117" s="4">
        <v>44990</v>
      </c>
      <c r="F117">
        <v>3</v>
      </c>
      <c r="G117" t="s">
        <v>640</v>
      </c>
      <c r="H117" t="s">
        <v>647</v>
      </c>
      <c r="I117" t="s">
        <v>664</v>
      </c>
      <c r="J117" t="s">
        <v>1502</v>
      </c>
      <c r="K117" t="s">
        <v>698</v>
      </c>
      <c r="L117" t="s">
        <v>703</v>
      </c>
      <c r="M117" t="s">
        <v>707</v>
      </c>
      <c r="N117" t="s">
        <v>724</v>
      </c>
      <c r="O117" t="s">
        <v>840</v>
      </c>
      <c r="P117">
        <v>1473.58</v>
      </c>
      <c r="Q117">
        <v>3436.52</v>
      </c>
      <c r="R117" t="s">
        <v>1492</v>
      </c>
      <c r="S117" s="31">
        <v>0.108</v>
      </c>
      <c r="T117">
        <v>8</v>
      </c>
      <c r="U117">
        <v>24523.006720000001</v>
      </c>
      <c r="V117">
        <v>1191479.2970499997</v>
      </c>
      <c r="W117">
        <v>11788.64</v>
      </c>
      <c r="X117">
        <v>12734.366720000002</v>
      </c>
      <c r="Y117" s="31">
        <v>0.51928243813652564</v>
      </c>
      <c r="Z117">
        <v>202303</v>
      </c>
      <c r="AA117">
        <v>202301</v>
      </c>
      <c r="AB117" t="s">
        <v>1469</v>
      </c>
      <c r="AC117">
        <v>2</v>
      </c>
      <c r="AD117" t="s">
        <v>1483</v>
      </c>
      <c r="AE117">
        <v>1</v>
      </c>
      <c r="AF117">
        <v>0</v>
      </c>
    </row>
    <row r="118" spans="1:32" x14ac:dyDescent="0.25">
      <c r="A118" t="s">
        <v>123</v>
      </c>
      <c r="B118" s="4">
        <v>45811</v>
      </c>
      <c r="C118" t="s">
        <v>1460</v>
      </c>
      <c r="D118" t="s">
        <v>1480</v>
      </c>
      <c r="E118" s="4">
        <v>45818</v>
      </c>
      <c r="F118">
        <v>7</v>
      </c>
      <c r="G118" t="s">
        <v>640</v>
      </c>
      <c r="H118" t="s">
        <v>645</v>
      </c>
      <c r="I118" t="s">
        <v>659</v>
      </c>
      <c r="J118" t="s">
        <v>1497</v>
      </c>
      <c r="K118" t="s">
        <v>696</v>
      </c>
      <c r="L118" t="s">
        <v>702</v>
      </c>
      <c r="M118" t="s">
        <v>711</v>
      </c>
      <c r="N118" t="s">
        <v>720</v>
      </c>
      <c r="O118" t="s">
        <v>841</v>
      </c>
      <c r="P118">
        <v>75.180000000000007</v>
      </c>
      <c r="Q118">
        <v>53.45</v>
      </c>
      <c r="R118" t="s">
        <v>1490</v>
      </c>
      <c r="S118" s="31">
        <v>0.157</v>
      </c>
      <c r="T118">
        <v>17</v>
      </c>
      <c r="U118">
        <v>765.99195000000009</v>
      </c>
      <c r="V118">
        <v>1191479.2970499997</v>
      </c>
      <c r="W118">
        <v>1278.0600000000002</v>
      </c>
      <c r="X118">
        <v>-512.06805000000008</v>
      </c>
      <c r="Y118" s="31">
        <v>-0.66850317421743144</v>
      </c>
      <c r="Z118">
        <v>202506</v>
      </c>
      <c r="AA118">
        <v>202301</v>
      </c>
      <c r="AB118" t="s">
        <v>1458</v>
      </c>
      <c r="AC118">
        <v>29</v>
      </c>
      <c r="AD118" t="s">
        <v>1483</v>
      </c>
      <c r="AE118">
        <v>1</v>
      </c>
      <c r="AF118">
        <v>0</v>
      </c>
    </row>
    <row r="119" spans="1:32" x14ac:dyDescent="0.25">
      <c r="A119" t="s">
        <v>124</v>
      </c>
      <c r="B119" s="4">
        <v>45653</v>
      </c>
      <c r="C119" t="s">
        <v>1478</v>
      </c>
      <c r="D119" t="s">
        <v>1482</v>
      </c>
      <c r="E119" s="4">
        <v>45659</v>
      </c>
      <c r="F119">
        <v>6</v>
      </c>
      <c r="G119" t="s">
        <v>641</v>
      </c>
      <c r="H119" t="s">
        <v>648</v>
      </c>
      <c r="I119" t="s">
        <v>690</v>
      </c>
      <c r="J119" t="s">
        <v>1529</v>
      </c>
      <c r="K119" t="s">
        <v>694</v>
      </c>
      <c r="L119" t="s">
        <v>703</v>
      </c>
      <c r="M119" t="s">
        <v>713</v>
      </c>
      <c r="N119" t="s">
        <v>723</v>
      </c>
      <c r="O119" t="s">
        <v>842</v>
      </c>
      <c r="P119">
        <v>1391.99</v>
      </c>
      <c r="Q119">
        <v>3469.7</v>
      </c>
      <c r="R119" t="s">
        <v>1492</v>
      </c>
      <c r="S119" s="31">
        <v>0.184</v>
      </c>
      <c r="T119">
        <v>23</v>
      </c>
      <c r="U119">
        <v>65119.329599999997</v>
      </c>
      <c r="V119">
        <v>1191479.2970499997</v>
      </c>
      <c r="W119">
        <v>32015.77</v>
      </c>
      <c r="X119">
        <v>33103.559599999993</v>
      </c>
      <c r="Y119" s="31">
        <v>0.50835227886006973</v>
      </c>
      <c r="Z119">
        <v>202412</v>
      </c>
      <c r="AA119">
        <v>202301</v>
      </c>
      <c r="AB119" t="s">
        <v>1450</v>
      </c>
      <c r="AC119">
        <v>23</v>
      </c>
      <c r="AD119" t="s">
        <v>1483</v>
      </c>
      <c r="AE119">
        <v>1</v>
      </c>
      <c r="AF119">
        <v>0</v>
      </c>
    </row>
    <row r="120" spans="1:32" x14ac:dyDescent="0.25">
      <c r="A120" t="s">
        <v>125</v>
      </c>
      <c r="B120" s="4">
        <v>45086</v>
      </c>
      <c r="C120" t="s">
        <v>1458</v>
      </c>
      <c r="D120" t="s">
        <v>1480</v>
      </c>
      <c r="E120" s="4">
        <v>45096</v>
      </c>
      <c r="F120">
        <v>10</v>
      </c>
      <c r="G120" t="s">
        <v>639</v>
      </c>
      <c r="H120" t="s">
        <v>651</v>
      </c>
      <c r="I120" t="s">
        <v>691</v>
      </c>
      <c r="J120" t="s">
        <v>1530</v>
      </c>
      <c r="K120" t="s">
        <v>698</v>
      </c>
      <c r="L120" t="s">
        <v>699</v>
      </c>
      <c r="M120" t="s">
        <v>713</v>
      </c>
      <c r="N120" t="s">
        <v>724</v>
      </c>
      <c r="O120" t="s">
        <v>843</v>
      </c>
      <c r="P120">
        <v>339.61</v>
      </c>
      <c r="Q120">
        <v>621.02</v>
      </c>
      <c r="R120" t="s">
        <v>1490</v>
      </c>
      <c r="S120" s="31">
        <v>7.0999999999999994E-2</v>
      </c>
      <c r="T120">
        <v>10</v>
      </c>
      <c r="U120">
        <v>5769.2758000000003</v>
      </c>
      <c r="V120">
        <v>1191479.2970499997</v>
      </c>
      <c r="W120">
        <v>3396.1000000000004</v>
      </c>
      <c r="X120">
        <v>2373.1758</v>
      </c>
      <c r="Y120" s="31">
        <v>0.41134726129750981</v>
      </c>
      <c r="Z120">
        <v>202306</v>
      </c>
      <c r="AA120">
        <v>202301</v>
      </c>
      <c r="AB120" t="s">
        <v>1458</v>
      </c>
      <c r="AC120">
        <v>5</v>
      </c>
      <c r="AD120" t="s">
        <v>1484</v>
      </c>
      <c r="AE120">
        <v>0</v>
      </c>
      <c r="AF120">
        <v>0</v>
      </c>
    </row>
    <row r="121" spans="1:32" x14ac:dyDescent="0.25">
      <c r="A121" t="s">
        <v>126</v>
      </c>
      <c r="B121" s="4">
        <v>45847</v>
      </c>
      <c r="C121" t="s">
        <v>1457</v>
      </c>
      <c r="D121" t="s">
        <v>1481</v>
      </c>
      <c r="E121" s="4">
        <v>45856</v>
      </c>
      <c r="F121">
        <v>9</v>
      </c>
      <c r="G121" t="s">
        <v>640</v>
      </c>
      <c r="H121" t="s">
        <v>645</v>
      </c>
      <c r="I121" t="s">
        <v>680</v>
      </c>
      <c r="J121" t="s">
        <v>1518</v>
      </c>
      <c r="K121" t="s">
        <v>694</v>
      </c>
      <c r="L121" t="s">
        <v>702</v>
      </c>
      <c r="M121" t="s">
        <v>706</v>
      </c>
      <c r="N121" t="s">
        <v>723</v>
      </c>
      <c r="O121" t="s">
        <v>844</v>
      </c>
      <c r="P121">
        <v>57.96</v>
      </c>
      <c r="Q121">
        <v>88.51</v>
      </c>
      <c r="R121" t="s">
        <v>1490</v>
      </c>
      <c r="S121" s="31">
        <v>4.2999999999999997E-2</v>
      </c>
      <c r="T121">
        <v>7</v>
      </c>
      <c r="U121">
        <v>592.92849000000001</v>
      </c>
      <c r="V121">
        <v>1191479.2970499997</v>
      </c>
      <c r="W121">
        <v>405.72</v>
      </c>
      <c r="X121">
        <v>187.20848999999998</v>
      </c>
      <c r="Y121" s="31">
        <v>0.3157353595877978</v>
      </c>
      <c r="Z121">
        <v>202507</v>
      </c>
      <c r="AA121">
        <v>202301</v>
      </c>
      <c r="AB121" t="s">
        <v>1468</v>
      </c>
      <c r="AC121">
        <v>30</v>
      </c>
      <c r="AD121" t="s">
        <v>1484</v>
      </c>
      <c r="AE121">
        <v>0</v>
      </c>
      <c r="AF121">
        <v>0</v>
      </c>
    </row>
    <row r="122" spans="1:32" x14ac:dyDescent="0.25">
      <c r="A122" t="s">
        <v>127</v>
      </c>
      <c r="B122" s="4">
        <v>45827</v>
      </c>
      <c r="C122" t="s">
        <v>1460</v>
      </c>
      <c r="D122" t="s">
        <v>1480</v>
      </c>
      <c r="E122" s="4">
        <v>45850</v>
      </c>
      <c r="F122">
        <v>23</v>
      </c>
      <c r="G122" t="s">
        <v>641</v>
      </c>
      <c r="H122" t="s">
        <v>650</v>
      </c>
      <c r="I122" t="s">
        <v>1413</v>
      </c>
      <c r="J122" t="s">
        <v>1531</v>
      </c>
      <c r="K122" t="s">
        <v>695</v>
      </c>
      <c r="L122" t="s">
        <v>703</v>
      </c>
      <c r="M122" t="s">
        <v>1413</v>
      </c>
      <c r="N122" t="s">
        <v>721</v>
      </c>
      <c r="O122" t="s">
        <v>845</v>
      </c>
      <c r="P122">
        <v>801.24</v>
      </c>
      <c r="Q122">
        <v>1959.09</v>
      </c>
      <c r="R122" t="s">
        <v>1496</v>
      </c>
      <c r="S122" s="31">
        <v>0.123</v>
      </c>
      <c r="T122">
        <v>23</v>
      </c>
      <c r="U122">
        <v>39516.804389999998</v>
      </c>
      <c r="V122">
        <v>1191479.2970499997</v>
      </c>
      <c r="W122">
        <v>18428.52</v>
      </c>
      <c r="X122">
        <v>21088.284389999997</v>
      </c>
      <c r="Y122" s="31">
        <v>0.53365358650651762</v>
      </c>
      <c r="Z122">
        <v>202506</v>
      </c>
      <c r="AA122">
        <v>202301</v>
      </c>
      <c r="AB122" t="s">
        <v>1458</v>
      </c>
      <c r="AC122">
        <v>29</v>
      </c>
      <c r="AD122" t="s">
        <v>1484</v>
      </c>
      <c r="AE122">
        <v>0</v>
      </c>
      <c r="AF122">
        <v>0</v>
      </c>
    </row>
    <row r="123" spans="1:32" x14ac:dyDescent="0.25">
      <c r="A123" t="s">
        <v>128</v>
      </c>
      <c r="B123" s="4">
        <v>45249</v>
      </c>
      <c r="C123" t="s">
        <v>1475</v>
      </c>
      <c r="D123" t="s">
        <v>1482</v>
      </c>
      <c r="E123" s="4">
        <v>45273</v>
      </c>
      <c r="F123">
        <v>24</v>
      </c>
      <c r="G123" t="s">
        <v>641</v>
      </c>
      <c r="H123" t="s">
        <v>649</v>
      </c>
      <c r="I123" t="s">
        <v>671</v>
      </c>
      <c r="J123" t="s">
        <v>1509</v>
      </c>
      <c r="K123" t="s">
        <v>695</v>
      </c>
      <c r="L123" t="s">
        <v>703</v>
      </c>
      <c r="M123" t="s">
        <v>714</v>
      </c>
      <c r="N123" t="s">
        <v>724</v>
      </c>
      <c r="O123" t="s">
        <v>846</v>
      </c>
      <c r="P123">
        <v>1297.42</v>
      </c>
      <c r="Q123">
        <v>2742.97</v>
      </c>
      <c r="R123" t="s">
        <v>1492</v>
      </c>
      <c r="S123" s="31">
        <v>6.9000000000000006E-2</v>
      </c>
      <c r="T123">
        <v>9</v>
      </c>
      <c r="U123">
        <v>22983.34563</v>
      </c>
      <c r="V123">
        <v>1191479.2970499997</v>
      </c>
      <c r="W123">
        <v>11676.78</v>
      </c>
      <c r="X123">
        <v>11306.565629999999</v>
      </c>
      <c r="Y123" s="31">
        <v>0.49194602961727291</v>
      </c>
      <c r="Z123">
        <v>202311</v>
      </c>
      <c r="AA123">
        <v>202301</v>
      </c>
      <c r="AB123" t="s">
        <v>1475</v>
      </c>
      <c r="AC123">
        <v>10</v>
      </c>
      <c r="AD123" t="s">
        <v>1484</v>
      </c>
      <c r="AE123">
        <v>0</v>
      </c>
      <c r="AF123">
        <v>0</v>
      </c>
    </row>
    <row r="124" spans="1:32" x14ac:dyDescent="0.25">
      <c r="A124" t="s">
        <v>129</v>
      </c>
      <c r="B124" s="4">
        <v>45289</v>
      </c>
      <c r="C124" t="s">
        <v>1450</v>
      </c>
      <c r="D124" t="s">
        <v>1482</v>
      </c>
      <c r="E124" s="4">
        <v>45311</v>
      </c>
      <c r="F124">
        <v>22</v>
      </c>
      <c r="G124" t="s">
        <v>638</v>
      </c>
      <c r="H124" t="s">
        <v>642</v>
      </c>
      <c r="I124" t="s">
        <v>654</v>
      </c>
      <c r="J124" t="s">
        <v>1489</v>
      </c>
      <c r="K124" t="s">
        <v>693</v>
      </c>
      <c r="L124" t="s">
        <v>703</v>
      </c>
      <c r="M124" t="s">
        <v>708</v>
      </c>
      <c r="N124" t="s">
        <v>722</v>
      </c>
      <c r="O124" t="s">
        <v>847</v>
      </c>
      <c r="P124">
        <v>1395.49</v>
      </c>
      <c r="Q124">
        <v>1679.42</v>
      </c>
      <c r="R124" t="s">
        <v>1492</v>
      </c>
      <c r="S124" s="31">
        <v>0.20300000000000001</v>
      </c>
      <c r="T124">
        <v>12</v>
      </c>
      <c r="U124">
        <v>16061.972879999999</v>
      </c>
      <c r="V124">
        <v>1191479.2970499997</v>
      </c>
      <c r="W124">
        <v>16745.88</v>
      </c>
      <c r="X124">
        <v>-683.90712000000167</v>
      </c>
      <c r="Y124" s="31">
        <v>-4.2579272490964493E-2</v>
      </c>
      <c r="Z124">
        <v>202312</v>
      </c>
      <c r="AA124">
        <v>202301</v>
      </c>
      <c r="AB124" t="s">
        <v>1450</v>
      </c>
      <c r="AC124">
        <v>11</v>
      </c>
      <c r="AD124" t="s">
        <v>1484</v>
      </c>
      <c r="AE124">
        <v>0</v>
      </c>
      <c r="AF124">
        <v>1</v>
      </c>
    </row>
    <row r="125" spans="1:32" x14ac:dyDescent="0.25">
      <c r="A125" t="s">
        <v>130</v>
      </c>
      <c r="B125" s="4">
        <v>45598</v>
      </c>
      <c r="C125" t="s">
        <v>1472</v>
      </c>
      <c r="D125" t="s">
        <v>1482</v>
      </c>
      <c r="E125" s="4">
        <v>45625</v>
      </c>
      <c r="F125">
        <v>27</v>
      </c>
      <c r="G125" t="s">
        <v>640</v>
      </c>
      <c r="H125" t="s">
        <v>647</v>
      </c>
      <c r="I125" t="s">
        <v>664</v>
      </c>
      <c r="J125" t="s">
        <v>1502</v>
      </c>
      <c r="K125" t="s">
        <v>697</v>
      </c>
      <c r="L125" t="s">
        <v>703</v>
      </c>
      <c r="M125" t="s">
        <v>706</v>
      </c>
      <c r="N125" t="s">
        <v>721</v>
      </c>
      <c r="O125" t="s">
        <v>848</v>
      </c>
      <c r="P125">
        <v>1363.51</v>
      </c>
      <c r="Q125">
        <v>1433.9</v>
      </c>
      <c r="R125" t="s">
        <v>1492</v>
      </c>
      <c r="S125" s="31">
        <v>5.7000000000000002E-2</v>
      </c>
      <c r="T125">
        <v>8</v>
      </c>
      <c r="U125">
        <v>10817.3416</v>
      </c>
      <c r="V125">
        <v>1191479.2970499997</v>
      </c>
      <c r="W125">
        <v>10908.08</v>
      </c>
      <c r="X125">
        <v>-90.738400000000183</v>
      </c>
      <c r="Y125" s="31">
        <v>-8.3882346842037592E-3</v>
      </c>
      <c r="Z125">
        <v>202411</v>
      </c>
      <c r="AA125">
        <v>202301</v>
      </c>
      <c r="AB125" t="s">
        <v>1475</v>
      </c>
      <c r="AC125">
        <v>22</v>
      </c>
      <c r="AD125" t="s">
        <v>1484</v>
      </c>
      <c r="AE125">
        <v>0</v>
      </c>
      <c r="AF125">
        <v>0</v>
      </c>
    </row>
    <row r="126" spans="1:32" x14ac:dyDescent="0.25">
      <c r="A126" t="s">
        <v>131</v>
      </c>
      <c r="B126" s="4">
        <v>45159</v>
      </c>
      <c r="C126" t="s">
        <v>1448</v>
      </c>
      <c r="D126" t="s">
        <v>1481</v>
      </c>
      <c r="E126" s="4">
        <v>45173</v>
      </c>
      <c r="F126">
        <v>14</v>
      </c>
      <c r="G126" t="s">
        <v>640</v>
      </c>
      <c r="H126" t="s">
        <v>645</v>
      </c>
      <c r="I126" t="s">
        <v>673</v>
      </c>
      <c r="J126" t="s">
        <v>1511</v>
      </c>
      <c r="K126" t="s">
        <v>694</v>
      </c>
      <c r="L126" t="s">
        <v>702</v>
      </c>
      <c r="M126" t="s">
        <v>713</v>
      </c>
      <c r="N126" t="s">
        <v>719</v>
      </c>
      <c r="O126" t="s">
        <v>849</v>
      </c>
      <c r="P126">
        <v>178.19</v>
      </c>
      <c r="Q126">
        <v>284.43</v>
      </c>
      <c r="R126" t="s">
        <v>1490</v>
      </c>
      <c r="S126" s="31">
        <v>8.8999999999999996E-2</v>
      </c>
      <c r="T126">
        <v>8</v>
      </c>
      <c r="U126">
        <v>2072.9258400000003</v>
      </c>
      <c r="V126">
        <v>1191479.2970499997</v>
      </c>
      <c r="W126">
        <v>1425.52</v>
      </c>
      <c r="X126">
        <v>647.40584000000035</v>
      </c>
      <c r="Y126" s="31">
        <v>0.31231500302972742</v>
      </c>
      <c r="Z126">
        <v>202308</v>
      </c>
      <c r="AA126">
        <v>202301</v>
      </c>
      <c r="AB126" t="s">
        <v>1448</v>
      </c>
      <c r="AC126">
        <v>7</v>
      </c>
      <c r="AD126" t="s">
        <v>1484</v>
      </c>
      <c r="AE126">
        <v>0</v>
      </c>
      <c r="AF126">
        <v>0</v>
      </c>
    </row>
    <row r="127" spans="1:32" x14ac:dyDescent="0.25">
      <c r="A127" t="s">
        <v>132</v>
      </c>
      <c r="B127" s="4">
        <v>45150</v>
      </c>
      <c r="C127" t="s">
        <v>1448</v>
      </c>
      <c r="D127" t="s">
        <v>1481</v>
      </c>
      <c r="E127" s="4">
        <v>45175</v>
      </c>
      <c r="F127">
        <v>25</v>
      </c>
      <c r="G127" t="s">
        <v>639</v>
      </c>
      <c r="H127" t="s">
        <v>651</v>
      </c>
      <c r="I127" t="s">
        <v>677</v>
      </c>
      <c r="J127" t="s">
        <v>1515</v>
      </c>
      <c r="K127" t="s">
        <v>697</v>
      </c>
      <c r="L127" t="s">
        <v>699</v>
      </c>
      <c r="M127" t="s">
        <v>709</v>
      </c>
      <c r="N127" t="s">
        <v>719</v>
      </c>
      <c r="O127" t="s">
        <v>850</v>
      </c>
      <c r="P127">
        <v>950.77</v>
      </c>
      <c r="Q127">
        <v>694.78</v>
      </c>
      <c r="R127" t="s">
        <v>1496</v>
      </c>
      <c r="S127" s="31">
        <v>8.4000000000000005E-2</v>
      </c>
      <c r="T127">
        <v>14</v>
      </c>
      <c r="U127">
        <v>8909.8587200000002</v>
      </c>
      <c r="V127">
        <v>1189406.3712099995</v>
      </c>
      <c r="W127">
        <v>13310.779999999999</v>
      </c>
      <c r="X127">
        <v>-4400.9212799999987</v>
      </c>
      <c r="Y127" s="31">
        <v>-0.49393839097821279</v>
      </c>
      <c r="Z127">
        <v>202308</v>
      </c>
      <c r="AA127">
        <v>202301</v>
      </c>
      <c r="AB127" t="s">
        <v>1448</v>
      </c>
      <c r="AC127">
        <v>7</v>
      </c>
      <c r="AD127" t="s">
        <v>1484</v>
      </c>
      <c r="AE127">
        <v>0</v>
      </c>
      <c r="AF127">
        <v>0</v>
      </c>
    </row>
    <row r="128" spans="1:32" x14ac:dyDescent="0.25">
      <c r="A128" t="s">
        <v>133</v>
      </c>
      <c r="B128" s="4">
        <v>45450</v>
      </c>
      <c r="C128" t="s">
        <v>1459</v>
      </c>
      <c r="D128" t="s">
        <v>1480</v>
      </c>
      <c r="E128" s="4">
        <v>45469</v>
      </c>
      <c r="F128">
        <v>19</v>
      </c>
      <c r="G128" t="s">
        <v>641</v>
      </c>
      <c r="H128" t="s">
        <v>648</v>
      </c>
      <c r="I128" t="s">
        <v>663</v>
      </c>
      <c r="J128" t="s">
        <v>1501</v>
      </c>
      <c r="K128" t="s">
        <v>695</v>
      </c>
      <c r="L128" t="s">
        <v>701</v>
      </c>
      <c r="M128" t="s">
        <v>716</v>
      </c>
      <c r="N128" t="s">
        <v>719</v>
      </c>
      <c r="O128" t="s">
        <v>851</v>
      </c>
      <c r="P128">
        <v>1064.32</v>
      </c>
      <c r="Q128">
        <v>1848.39</v>
      </c>
      <c r="R128" t="s">
        <v>1492</v>
      </c>
      <c r="S128" s="31">
        <v>7.2999999999999995E-2</v>
      </c>
      <c r="T128">
        <v>38</v>
      </c>
      <c r="U128">
        <v>65111.38614000001</v>
      </c>
      <c r="V128">
        <v>1180496.5124899996</v>
      </c>
      <c r="W128">
        <v>40444.159999999996</v>
      </c>
      <c r="X128">
        <v>24667.226140000013</v>
      </c>
      <c r="Y128" s="31">
        <v>0.3788465827921631</v>
      </c>
      <c r="Z128">
        <v>202406</v>
      </c>
      <c r="AA128">
        <v>202301</v>
      </c>
      <c r="AB128" t="s">
        <v>1458</v>
      </c>
      <c r="AC128">
        <v>17</v>
      </c>
      <c r="AD128" t="s">
        <v>1484</v>
      </c>
      <c r="AE128">
        <v>0</v>
      </c>
      <c r="AF128">
        <v>0</v>
      </c>
    </row>
    <row r="129" spans="1:32" x14ac:dyDescent="0.25">
      <c r="A129" t="s">
        <v>134</v>
      </c>
      <c r="B129" s="4">
        <v>45874</v>
      </c>
      <c r="C129" t="s">
        <v>1449</v>
      </c>
      <c r="D129" t="s">
        <v>1481</v>
      </c>
      <c r="E129" s="4">
        <v>45883</v>
      </c>
      <c r="F129">
        <v>9</v>
      </c>
      <c r="G129" t="s">
        <v>641</v>
      </c>
      <c r="H129" t="s">
        <v>650</v>
      </c>
      <c r="I129" t="s">
        <v>675</v>
      </c>
      <c r="J129" t="s">
        <v>1513</v>
      </c>
      <c r="K129" t="s">
        <v>695</v>
      </c>
      <c r="L129" t="s">
        <v>703</v>
      </c>
      <c r="M129" t="s">
        <v>710</v>
      </c>
      <c r="N129" t="s">
        <v>719</v>
      </c>
      <c r="O129" t="s">
        <v>852</v>
      </c>
      <c r="P129">
        <v>41.76</v>
      </c>
      <c r="Q129">
        <v>45.19</v>
      </c>
      <c r="R129" t="s">
        <v>1490</v>
      </c>
      <c r="S129" s="31">
        <v>0.17899999999999999</v>
      </c>
      <c r="T129">
        <v>23</v>
      </c>
      <c r="U129">
        <v>853.32276999999988</v>
      </c>
      <c r="V129">
        <v>1115385.1263499996</v>
      </c>
      <c r="W129">
        <v>960.4799999999999</v>
      </c>
      <c r="X129">
        <v>-107.15723000000003</v>
      </c>
      <c r="Y129" s="31">
        <v>-0.12557643340514638</v>
      </c>
      <c r="Z129">
        <v>202508</v>
      </c>
      <c r="AA129">
        <v>202301</v>
      </c>
      <c r="AB129" t="s">
        <v>1448</v>
      </c>
      <c r="AC129">
        <v>31</v>
      </c>
      <c r="AD129" t="s">
        <v>1484</v>
      </c>
      <c r="AE129">
        <v>0</v>
      </c>
      <c r="AF129">
        <v>0</v>
      </c>
    </row>
    <row r="130" spans="1:32" x14ac:dyDescent="0.25">
      <c r="A130" t="s">
        <v>135</v>
      </c>
      <c r="B130" s="4">
        <v>45442</v>
      </c>
      <c r="C130" t="s">
        <v>1463</v>
      </c>
      <c r="D130" t="s">
        <v>1480</v>
      </c>
      <c r="E130" s="4">
        <v>45456</v>
      </c>
      <c r="F130">
        <v>14</v>
      </c>
      <c r="G130" t="s">
        <v>640</v>
      </c>
      <c r="H130" t="s">
        <v>652</v>
      </c>
      <c r="I130" t="s">
        <v>678</v>
      </c>
      <c r="J130" t="s">
        <v>1516</v>
      </c>
      <c r="K130" t="s">
        <v>697</v>
      </c>
      <c r="L130" t="s">
        <v>699</v>
      </c>
      <c r="M130" t="s">
        <v>713</v>
      </c>
      <c r="N130" t="s">
        <v>722</v>
      </c>
      <c r="O130" t="s">
        <v>853</v>
      </c>
      <c r="P130">
        <v>157.78</v>
      </c>
      <c r="Q130">
        <v>361.1</v>
      </c>
      <c r="R130" t="s">
        <v>1490</v>
      </c>
      <c r="S130" s="31">
        <v>0.187</v>
      </c>
      <c r="T130">
        <v>9</v>
      </c>
      <c r="U130">
        <v>2642.1686999999997</v>
      </c>
      <c r="V130">
        <v>1114531.8035799996</v>
      </c>
      <c r="W130">
        <v>1420.02</v>
      </c>
      <c r="X130">
        <v>1222.1486999999997</v>
      </c>
      <c r="Y130" s="31">
        <v>0.46255513510549112</v>
      </c>
      <c r="Z130">
        <v>202405</v>
      </c>
      <c r="AA130">
        <v>202301</v>
      </c>
      <c r="AB130" t="s">
        <v>1462</v>
      </c>
      <c r="AC130">
        <v>16</v>
      </c>
      <c r="AD130" t="s">
        <v>1484</v>
      </c>
      <c r="AE130">
        <v>0</v>
      </c>
      <c r="AF130">
        <v>0</v>
      </c>
    </row>
    <row r="131" spans="1:32" x14ac:dyDescent="0.25">
      <c r="A131" t="s">
        <v>136</v>
      </c>
      <c r="B131" s="4">
        <v>44948</v>
      </c>
      <c r="C131" t="s">
        <v>1477</v>
      </c>
      <c r="D131" t="s">
        <v>1479</v>
      </c>
      <c r="E131" s="4">
        <v>44956</v>
      </c>
      <c r="F131">
        <v>8</v>
      </c>
      <c r="G131" t="s">
        <v>640</v>
      </c>
      <c r="H131" t="s">
        <v>652</v>
      </c>
      <c r="I131" t="s">
        <v>678</v>
      </c>
      <c r="J131" t="s">
        <v>1516</v>
      </c>
      <c r="K131" t="s">
        <v>697</v>
      </c>
      <c r="L131" t="s">
        <v>700</v>
      </c>
      <c r="M131" t="s">
        <v>712</v>
      </c>
      <c r="N131" t="s">
        <v>721</v>
      </c>
      <c r="O131" t="s">
        <v>854</v>
      </c>
      <c r="P131">
        <v>413.52</v>
      </c>
      <c r="Q131">
        <v>1004.34</v>
      </c>
      <c r="R131" t="s">
        <v>1490</v>
      </c>
      <c r="S131" s="31">
        <v>0.111</v>
      </c>
      <c r="T131">
        <v>18</v>
      </c>
      <c r="U131">
        <v>16071.44868</v>
      </c>
      <c r="V131">
        <v>1114531.8035799996</v>
      </c>
      <c r="W131">
        <v>7443.36</v>
      </c>
      <c r="X131">
        <v>8628.0886800000007</v>
      </c>
      <c r="Y131" s="31">
        <v>0.53685817948304593</v>
      </c>
      <c r="Z131">
        <v>202301</v>
      </c>
      <c r="AA131">
        <v>202301</v>
      </c>
      <c r="AB131" t="s">
        <v>1477</v>
      </c>
      <c r="AC131">
        <v>0</v>
      </c>
      <c r="AD131" t="s">
        <v>1484</v>
      </c>
      <c r="AE131">
        <v>0</v>
      </c>
      <c r="AF131">
        <v>0</v>
      </c>
    </row>
    <row r="132" spans="1:32" x14ac:dyDescent="0.25">
      <c r="A132" t="s">
        <v>137</v>
      </c>
      <c r="B132" s="4">
        <v>45700</v>
      </c>
      <c r="C132" t="s">
        <v>1453</v>
      </c>
      <c r="D132" t="s">
        <v>1479</v>
      </c>
      <c r="E132" s="4">
        <v>45716</v>
      </c>
      <c r="F132">
        <v>16</v>
      </c>
      <c r="G132" t="s">
        <v>640</v>
      </c>
      <c r="H132" t="s">
        <v>647</v>
      </c>
      <c r="I132" t="s">
        <v>662</v>
      </c>
      <c r="J132" t="s">
        <v>1500</v>
      </c>
      <c r="K132" t="s">
        <v>695</v>
      </c>
      <c r="L132" t="s">
        <v>703</v>
      </c>
      <c r="M132" t="s">
        <v>709</v>
      </c>
      <c r="N132" t="s">
        <v>724</v>
      </c>
      <c r="O132" t="s">
        <v>855</v>
      </c>
      <c r="P132">
        <v>414.95</v>
      </c>
      <c r="Q132">
        <v>1027.73</v>
      </c>
      <c r="R132" t="s">
        <v>1490</v>
      </c>
      <c r="S132" s="31">
        <v>6.3E-2</v>
      </c>
      <c r="T132">
        <v>8</v>
      </c>
      <c r="U132">
        <v>7703.8640800000003</v>
      </c>
      <c r="V132">
        <v>1114531.8035799996</v>
      </c>
      <c r="W132">
        <v>3319.6</v>
      </c>
      <c r="X132">
        <v>4384.2640800000008</v>
      </c>
      <c r="Y132" s="31">
        <v>0.56909935513815568</v>
      </c>
      <c r="Z132">
        <v>202502</v>
      </c>
      <c r="AA132">
        <v>202301</v>
      </c>
      <c r="AB132" t="s">
        <v>1451</v>
      </c>
      <c r="AC132">
        <v>25</v>
      </c>
      <c r="AD132" t="s">
        <v>1484</v>
      </c>
      <c r="AE132">
        <v>0</v>
      </c>
      <c r="AF132">
        <v>0</v>
      </c>
    </row>
    <row r="133" spans="1:32" x14ac:dyDescent="0.25">
      <c r="A133" t="s">
        <v>138</v>
      </c>
      <c r="B133" s="4">
        <v>45719</v>
      </c>
      <c r="C133" t="s">
        <v>1461</v>
      </c>
      <c r="D133" t="s">
        <v>1479</v>
      </c>
      <c r="E133" s="4">
        <v>45740</v>
      </c>
      <c r="F133">
        <v>21</v>
      </c>
      <c r="G133" t="s">
        <v>638</v>
      </c>
      <c r="H133" t="s">
        <v>643</v>
      </c>
      <c r="I133" t="s">
        <v>661</v>
      </c>
      <c r="J133" t="s">
        <v>1499</v>
      </c>
      <c r="K133" t="s">
        <v>698</v>
      </c>
      <c r="L133" t="s">
        <v>703</v>
      </c>
      <c r="M133" t="s">
        <v>714</v>
      </c>
      <c r="N133" t="s">
        <v>725</v>
      </c>
      <c r="O133" t="s">
        <v>856</v>
      </c>
      <c r="P133">
        <v>555.95000000000005</v>
      </c>
      <c r="Q133">
        <v>468.09</v>
      </c>
      <c r="R133" t="s">
        <v>1496</v>
      </c>
      <c r="S133" s="31">
        <v>0.14199999999999999</v>
      </c>
      <c r="T133">
        <v>11</v>
      </c>
      <c r="U133">
        <v>4417.8334199999999</v>
      </c>
      <c r="V133">
        <v>1114531.8035799996</v>
      </c>
      <c r="W133">
        <v>6115.4500000000007</v>
      </c>
      <c r="X133">
        <v>-1697.6165800000008</v>
      </c>
      <c r="Y133" s="31">
        <v>-0.38426450674095375</v>
      </c>
      <c r="Z133">
        <v>202503</v>
      </c>
      <c r="AA133">
        <v>202301</v>
      </c>
      <c r="AB133" t="s">
        <v>1469</v>
      </c>
      <c r="AC133">
        <v>26</v>
      </c>
      <c r="AD133" t="s">
        <v>1484</v>
      </c>
      <c r="AE133">
        <v>0</v>
      </c>
      <c r="AF133">
        <v>0</v>
      </c>
    </row>
    <row r="134" spans="1:32" x14ac:dyDescent="0.25">
      <c r="A134" t="s">
        <v>139</v>
      </c>
      <c r="B134" s="4">
        <v>44953</v>
      </c>
      <c r="C134" t="s">
        <v>1477</v>
      </c>
      <c r="D134" t="s">
        <v>1479</v>
      </c>
      <c r="E134" s="4">
        <v>44957</v>
      </c>
      <c r="F134">
        <v>4</v>
      </c>
      <c r="G134" t="s">
        <v>641</v>
      </c>
      <c r="H134" t="s">
        <v>650</v>
      </c>
      <c r="I134" t="s">
        <v>685</v>
      </c>
      <c r="J134" t="s">
        <v>1523</v>
      </c>
      <c r="K134" t="s">
        <v>698</v>
      </c>
      <c r="L134" t="s">
        <v>700</v>
      </c>
      <c r="M134" t="s">
        <v>717</v>
      </c>
      <c r="N134" t="s">
        <v>723</v>
      </c>
      <c r="O134" t="s">
        <v>857</v>
      </c>
      <c r="P134">
        <v>941.2</v>
      </c>
      <c r="Q134">
        <v>668.02</v>
      </c>
      <c r="R134" t="s">
        <v>1496</v>
      </c>
      <c r="S134" s="31">
        <v>0.22</v>
      </c>
      <c r="T134">
        <v>16</v>
      </c>
      <c r="U134">
        <v>8336.8896000000004</v>
      </c>
      <c r="V134">
        <v>1114531.8035799996</v>
      </c>
      <c r="W134">
        <v>15059.2</v>
      </c>
      <c r="X134">
        <v>-6722.3104000000003</v>
      </c>
      <c r="Y134" s="31">
        <v>-0.80633314371825193</v>
      </c>
      <c r="Z134">
        <v>202301</v>
      </c>
      <c r="AA134">
        <v>202301</v>
      </c>
      <c r="AB134" t="s">
        <v>1477</v>
      </c>
      <c r="AC134">
        <v>0</v>
      </c>
      <c r="AD134" t="s">
        <v>1483</v>
      </c>
      <c r="AE134">
        <v>1</v>
      </c>
      <c r="AF134">
        <v>1</v>
      </c>
    </row>
    <row r="135" spans="1:32" x14ac:dyDescent="0.25">
      <c r="A135" t="s">
        <v>140</v>
      </c>
      <c r="B135" s="4">
        <v>45666</v>
      </c>
      <c r="C135" t="s">
        <v>1455</v>
      </c>
      <c r="D135" t="s">
        <v>1479</v>
      </c>
      <c r="E135" s="4">
        <v>45672</v>
      </c>
      <c r="F135">
        <v>6</v>
      </c>
      <c r="G135" t="s">
        <v>639</v>
      </c>
      <c r="H135" t="s">
        <v>651</v>
      </c>
      <c r="I135" t="s">
        <v>691</v>
      </c>
      <c r="J135" t="s">
        <v>1530</v>
      </c>
      <c r="K135" t="s">
        <v>694</v>
      </c>
      <c r="L135" t="s">
        <v>700</v>
      </c>
      <c r="M135" t="s">
        <v>704</v>
      </c>
      <c r="N135" t="s">
        <v>722</v>
      </c>
      <c r="O135" t="s">
        <v>858</v>
      </c>
      <c r="P135">
        <v>304.77999999999997</v>
      </c>
      <c r="Q135">
        <v>537.27</v>
      </c>
      <c r="R135" t="s">
        <v>1490</v>
      </c>
      <c r="S135" s="31">
        <v>0.187</v>
      </c>
      <c r="T135">
        <v>8</v>
      </c>
      <c r="U135">
        <v>3494.4040799999998</v>
      </c>
      <c r="V135">
        <v>1114531.8035799996</v>
      </c>
      <c r="W135">
        <v>2438.2399999999998</v>
      </c>
      <c r="X135">
        <v>1056.16408</v>
      </c>
      <c r="Y135" s="31">
        <v>0.3022444044307549</v>
      </c>
      <c r="Z135">
        <v>202501</v>
      </c>
      <c r="AA135">
        <v>202301</v>
      </c>
      <c r="AB135" t="s">
        <v>1477</v>
      </c>
      <c r="AC135">
        <v>24</v>
      </c>
      <c r="AD135" t="s">
        <v>1483</v>
      </c>
      <c r="AE135">
        <v>1</v>
      </c>
      <c r="AF135">
        <v>0</v>
      </c>
    </row>
    <row r="136" spans="1:32" x14ac:dyDescent="0.25">
      <c r="A136" t="s">
        <v>141</v>
      </c>
      <c r="B136" s="4">
        <v>45647</v>
      </c>
      <c r="C136" t="s">
        <v>1478</v>
      </c>
      <c r="D136" t="s">
        <v>1482</v>
      </c>
      <c r="E136" s="4">
        <v>45652</v>
      </c>
      <c r="F136">
        <v>5</v>
      </c>
      <c r="G136" t="s">
        <v>640</v>
      </c>
      <c r="H136" t="s">
        <v>652</v>
      </c>
      <c r="I136" t="s">
        <v>678</v>
      </c>
      <c r="J136" t="s">
        <v>1516</v>
      </c>
      <c r="K136" t="s">
        <v>696</v>
      </c>
      <c r="L136" t="s">
        <v>701</v>
      </c>
      <c r="M136" t="s">
        <v>716</v>
      </c>
      <c r="N136" t="s">
        <v>720</v>
      </c>
      <c r="O136" t="s">
        <v>859</v>
      </c>
      <c r="P136">
        <v>699.57</v>
      </c>
      <c r="Q136">
        <v>572.71</v>
      </c>
      <c r="R136" t="s">
        <v>1496</v>
      </c>
      <c r="S136" s="31">
        <v>0.192</v>
      </c>
      <c r="T136">
        <v>26</v>
      </c>
      <c r="U136">
        <v>12031.491680000001</v>
      </c>
      <c r="V136">
        <v>1114531.8035799996</v>
      </c>
      <c r="W136">
        <v>18188.82</v>
      </c>
      <c r="X136">
        <v>-6157.3283199999987</v>
      </c>
      <c r="Y136" s="31">
        <v>-0.51176765805651114</v>
      </c>
      <c r="Z136">
        <v>202412</v>
      </c>
      <c r="AA136">
        <v>202301</v>
      </c>
      <c r="AB136" t="s">
        <v>1450</v>
      </c>
      <c r="AC136">
        <v>23</v>
      </c>
      <c r="AD136" t="s">
        <v>1483</v>
      </c>
      <c r="AE136">
        <v>1</v>
      </c>
      <c r="AF136">
        <v>0</v>
      </c>
    </row>
    <row r="137" spans="1:32" x14ac:dyDescent="0.25">
      <c r="A137" t="s">
        <v>142</v>
      </c>
      <c r="B137" s="4">
        <v>45028</v>
      </c>
      <c r="C137" t="s">
        <v>1446</v>
      </c>
      <c r="D137" t="s">
        <v>1480</v>
      </c>
      <c r="E137" s="4">
        <v>45033</v>
      </c>
      <c r="F137">
        <v>5</v>
      </c>
      <c r="G137" t="s">
        <v>641</v>
      </c>
      <c r="H137" t="s">
        <v>649</v>
      </c>
      <c r="I137" t="s">
        <v>671</v>
      </c>
      <c r="J137" t="s">
        <v>1509</v>
      </c>
      <c r="K137" t="s">
        <v>698</v>
      </c>
      <c r="L137" t="s">
        <v>703</v>
      </c>
      <c r="M137" t="s">
        <v>710</v>
      </c>
      <c r="N137" t="s">
        <v>724</v>
      </c>
      <c r="O137" t="s">
        <v>860</v>
      </c>
      <c r="P137">
        <v>1087.81</v>
      </c>
      <c r="Q137">
        <v>2323.87</v>
      </c>
      <c r="R137" t="s">
        <v>1492</v>
      </c>
      <c r="S137" s="31">
        <v>9.4E-2</v>
      </c>
      <c r="T137">
        <v>13</v>
      </c>
      <c r="U137">
        <v>27370.540859999997</v>
      </c>
      <c r="V137">
        <v>1114531.8035799996</v>
      </c>
      <c r="W137">
        <v>14141.529999999999</v>
      </c>
      <c r="X137">
        <v>13229.010859999999</v>
      </c>
      <c r="Y137" s="31">
        <v>0.48333026839572651</v>
      </c>
      <c r="Z137">
        <v>202304</v>
      </c>
      <c r="AA137">
        <v>202301</v>
      </c>
      <c r="AB137" t="s">
        <v>1446</v>
      </c>
      <c r="AC137">
        <v>3</v>
      </c>
      <c r="AD137" t="s">
        <v>1483</v>
      </c>
      <c r="AE137">
        <v>1</v>
      </c>
      <c r="AF137">
        <v>0</v>
      </c>
    </row>
    <row r="138" spans="1:32" x14ac:dyDescent="0.25">
      <c r="A138" t="s">
        <v>143</v>
      </c>
      <c r="B138" s="4">
        <v>45640</v>
      </c>
      <c r="C138" t="s">
        <v>1478</v>
      </c>
      <c r="D138" t="s">
        <v>1482</v>
      </c>
      <c r="E138" s="4">
        <v>45669</v>
      </c>
      <c r="F138">
        <v>29</v>
      </c>
      <c r="G138" t="s">
        <v>639</v>
      </c>
      <c r="H138" t="s">
        <v>651</v>
      </c>
      <c r="I138" t="s">
        <v>668</v>
      </c>
      <c r="J138" t="s">
        <v>1506</v>
      </c>
      <c r="K138" t="s">
        <v>694</v>
      </c>
      <c r="L138" t="s">
        <v>700</v>
      </c>
      <c r="M138" t="s">
        <v>705</v>
      </c>
      <c r="N138" t="s">
        <v>719</v>
      </c>
      <c r="O138" t="s">
        <v>861</v>
      </c>
      <c r="P138">
        <v>1412.15</v>
      </c>
      <c r="Q138">
        <v>1631.04</v>
      </c>
      <c r="R138" t="s">
        <v>1492</v>
      </c>
      <c r="S138" s="31">
        <v>8.9999999999999993E-3</v>
      </c>
      <c r="T138">
        <v>6</v>
      </c>
      <c r="U138">
        <v>9698.1638399999993</v>
      </c>
      <c r="V138">
        <v>1114531.8035799996</v>
      </c>
      <c r="W138">
        <v>8472.9000000000015</v>
      </c>
      <c r="X138">
        <v>1225.2638399999978</v>
      </c>
      <c r="Y138" s="31">
        <v>0.12633977526203535</v>
      </c>
      <c r="Z138">
        <v>202412</v>
      </c>
      <c r="AA138">
        <v>202301</v>
      </c>
      <c r="AB138" t="s">
        <v>1450</v>
      </c>
      <c r="AC138">
        <v>23</v>
      </c>
      <c r="AD138" t="s">
        <v>1484</v>
      </c>
      <c r="AE138">
        <v>0</v>
      </c>
      <c r="AF138">
        <v>0</v>
      </c>
    </row>
    <row r="139" spans="1:32" x14ac:dyDescent="0.25">
      <c r="A139" t="s">
        <v>144</v>
      </c>
      <c r="B139" s="4">
        <v>45016</v>
      </c>
      <c r="C139" t="s">
        <v>1469</v>
      </c>
      <c r="D139" t="s">
        <v>1479</v>
      </c>
      <c r="E139" s="4">
        <v>45028</v>
      </c>
      <c r="F139">
        <v>12</v>
      </c>
      <c r="G139" t="s">
        <v>638</v>
      </c>
      <c r="H139" t="s">
        <v>642</v>
      </c>
      <c r="I139" t="s">
        <v>667</v>
      </c>
      <c r="J139" t="s">
        <v>1505</v>
      </c>
      <c r="K139" t="s">
        <v>697</v>
      </c>
      <c r="L139" t="s">
        <v>700</v>
      </c>
      <c r="M139" t="s">
        <v>704</v>
      </c>
      <c r="N139" t="s">
        <v>722</v>
      </c>
      <c r="O139" t="s">
        <v>862</v>
      </c>
      <c r="P139">
        <v>304.22000000000003</v>
      </c>
      <c r="Q139">
        <v>393.31</v>
      </c>
      <c r="R139" t="s">
        <v>1490</v>
      </c>
      <c r="S139" s="31">
        <v>0.26500000000000001</v>
      </c>
      <c r="T139">
        <v>15</v>
      </c>
      <c r="U139">
        <v>4336.2427499999994</v>
      </c>
      <c r="V139">
        <v>1104833.6397399995</v>
      </c>
      <c r="W139">
        <v>4563.3</v>
      </c>
      <c r="X139">
        <v>-227.05725000000075</v>
      </c>
      <c r="Y139" s="31">
        <v>-5.2362670424759034E-2</v>
      </c>
      <c r="Z139">
        <v>202303</v>
      </c>
      <c r="AA139">
        <v>202301</v>
      </c>
      <c r="AB139" t="s">
        <v>1469</v>
      </c>
      <c r="AC139">
        <v>2</v>
      </c>
      <c r="AD139" t="s">
        <v>1484</v>
      </c>
      <c r="AE139">
        <v>0</v>
      </c>
      <c r="AF139">
        <v>1</v>
      </c>
    </row>
    <row r="140" spans="1:32" x14ac:dyDescent="0.25">
      <c r="A140" t="s">
        <v>145</v>
      </c>
      <c r="B140" s="4">
        <v>45616</v>
      </c>
      <c r="C140" t="s">
        <v>1472</v>
      </c>
      <c r="D140" t="s">
        <v>1482</v>
      </c>
      <c r="E140" s="4">
        <v>45641</v>
      </c>
      <c r="F140">
        <v>25</v>
      </c>
      <c r="G140" t="s">
        <v>641</v>
      </c>
      <c r="H140" t="s">
        <v>649</v>
      </c>
      <c r="I140" t="s">
        <v>682</v>
      </c>
      <c r="J140" t="s">
        <v>1520</v>
      </c>
      <c r="K140" t="s">
        <v>693</v>
      </c>
      <c r="L140" t="s">
        <v>700</v>
      </c>
      <c r="M140" t="s">
        <v>707</v>
      </c>
      <c r="N140" t="s">
        <v>720</v>
      </c>
      <c r="O140" t="s">
        <v>863</v>
      </c>
      <c r="P140">
        <v>1203.58</v>
      </c>
      <c r="Q140">
        <v>1856.16</v>
      </c>
      <c r="R140" t="s">
        <v>1492</v>
      </c>
      <c r="S140" s="31">
        <v>0.129</v>
      </c>
      <c r="T140">
        <v>22</v>
      </c>
      <c r="U140">
        <v>35567.737920000007</v>
      </c>
      <c r="V140">
        <v>1104833.6397399995</v>
      </c>
      <c r="W140">
        <v>26478.76</v>
      </c>
      <c r="X140">
        <v>9088.9779200000085</v>
      </c>
      <c r="Y140" s="31">
        <v>0.25553994860295032</v>
      </c>
      <c r="Z140">
        <v>202411</v>
      </c>
      <c r="AA140">
        <v>202301</v>
      </c>
      <c r="AB140" t="s">
        <v>1475</v>
      </c>
      <c r="AC140">
        <v>22</v>
      </c>
      <c r="AD140" t="s">
        <v>1484</v>
      </c>
      <c r="AE140">
        <v>0</v>
      </c>
      <c r="AF140">
        <v>0</v>
      </c>
    </row>
    <row r="141" spans="1:32" x14ac:dyDescent="0.25">
      <c r="A141" t="s">
        <v>146</v>
      </c>
      <c r="B141" s="4">
        <v>45336</v>
      </c>
      <c r="C141" t="s">
        <v>1452</v>
      </c>
      <c r="D141" t="s">
        <v>1479</v>
      </c>
      <c r="E141" s="4">
        <v>45336</v>
      </c>
      <c r="F141">
        <v>0</v>
      </c>
      <c r="G141" t="s">
        <v>639</v>
      </c>
      <c r="H141" t="s">
        <v>651</v>
      </c>
      <c r="I141" t="s">
        <v>691</v>
      </c>
      <c r="J141" t="s">
        <v>1530</v>
      </c>
      <c r="K141" t="s">
        <v>693</v>
      </c>
      <c r="L141" t="s">
        <v>702</v>
      </c>
      <c r="M141" t="s">
        <v>708</v>
      </c>
      <c r="N141" t="s">
        <v>725</v>
      </c>
      <c r="O141" t="s">
        <v>864</v>
      </c>
      <c r="P141">
        <v>65.930000000000007</v>
      </c>
      <c r="Q141">
        <v>84.9</v>
      </c>
      <c r="R141" t="s">
        <v>1490</v>
      </c>
      <c r="S141" s="31">
        <v>0.25900000000000001</v>
      </c>
      <c r="T141">
        <v>23</v>
      </c>
      <c r="U141">
        <v>1446.9507000000001</v>
      </c>
      <c r="V141">
        <v>1104833.6397399995</v>
      </c>
      <c r="W141">
        <v>1516.39</v>
      </c>
      <c r="X141">
        <v>-69.439300000000003</v>
      </c>
      <c r="Y141" s="31">
        <v>-4.7990093926489688E-2</v>
      </c>
      <c r="Z141">
        <v>202402</v>
      </c>
      <c r="AA141">
        <v>202301</v>
      </c>
      <c r="AB141" t="s">
        <v>1451</v>
      </c>
      <c r="AC141">
        <v>13</v>
      </c>
      <c r="AD141" t="s">
        <v>1483</v>
      </c>
      <c r="AE141">
        <v>1</v>
      </c>
      <c r="AF141">
        <v>1</v>
      </c>
    </row>
    <row r="142" spans="1:32" x14ac:dyDescent="0.25">
      <c r="A142" t="s">
        <v>147</v>
      </c>
      <c r="B142" s="4">
        <v>45048</v>
      </c>
      <c r="C142" t="s">
        <v>1462</v>
      </c>
      <c r="D142" t="s">
        <v>1480</v>
      </c>
      <c r="E142" s="4">
        <v>45064</v>
      </c>
      <c r="F142">
        <v>16</v>
      </c>
      <c r="G142" t="s">
        <v>639</v>
      </c>
      <c r="H142" t="s">
        <v>646</v>
      </c>
      <c r="I142" t="s">
        <v>672</v>
      </c>
      <c r="J142" t="s">
        <v>1510</v>
      </c>
      <c r="K142" t="s">
        <v>697</v>
      </c>
      <c r="L142" t="s">
        <v>701</v>
      </c>
      <c r="M142" t="s">
        <v>715</v>
      </c>
      <c r="N142" t="s">
        <v>724</v>
      </c>
      <c r="O142" t="s">
        <v>865</v>
      </c>
      <c r="P142">
        <v>1463.92</v>
      </c>
      <c r="Q142">
        <v>2252.2399999999998</v>
      </c>
      <c r="R142" t="s">
        <v>1492</v>
      </c>
      <c r="S142" s="31">
        <v>0.11799999999999999</v>
      </c>
      <c r="T142">
        <v>44</v>
      </c>
      <c r="U142">
        <v>87404.929919999995</v>
      </c>
      <c r="V142">
        <v>1104833.6397399995</v>
      </c>
      <c r="W142">
        <v>64412.480000000003</v>
      </c>
      <c r="X142">
        <v>22992.449919999992</v>
      </c>
      <c r="Y142" s="31">
        <v>0.26305667130040061</v>
      </c>
      <c r="Z142">
        <v>202305</v>
      </c>
      <c r="AA142">
        <v>202301</v>
      </c>
      <c r="AB142" t="s">
        <v>1462</v>
      </c>
      <c r="AC142">
        <v>4</v>
      </c>
      <c r="AD142" t="s">
        <v>1484</v>
      </c>
      <c r="AE142">
        <v>0</v>
      </c>
      <c r="AF142">
        <v>0</v>
      </c>
    </row>
    <row r="143" spans="1:32" x14ac:dyDescent="0.25">
      <c r="A143" t="s">
        <v>148</v>
      </c>
      <c r="B143" s="4">
        <v>45649</v>
      </c>
      <c r="C143" t="s">
        <v>1478</v>
      </c>
      <c r="D143" t="s">
        <v>1482</v>
      </c>
      <c r="E143" s="4">
        <v>45668</v>
      </c>
      <c r="F143">
        <v>19</v>
      </c>
      <c r="G143" t="s">
        <v>641</v>
      </c>
      <c r="H143" t="s">
        <v>648</v>
      </c>
      <c r="I143" t="s">
        <v>663</v>
      </c>
      <c r="J143" t="s">
        <v>1501</v>
      </c>
      <c r="K143" t="s">
        <v>694</v>
      </c>
      <c r="L143" t="s">
        <v>699</v>
      </c>
      <c r="M143" t="s">
        <v>715</v>
      </c>
      <c r="N143" t="s">
        <v>722</v>
      </c>
      <c r="O143" t="s">
        <v>866</v>
      </c>
      <c r="P143">
        <v>501.81</v>
      </c>
      <c r="Q143">
        <v>921.62</v>
      </c>
      <c r="R143" t="s">
        <v>1496</v>
      </c>
      <c r="S143" s="31">
        <v>0.01</v>
      </c>
      <c r="T143">
        <v>9</v>
      </c>
      <c r="U143">
        <v>8211.6342000000004</v>
      </c>
      <c r="V143">
        <v>1104833.6397399995</v>
      </c>
      <c r="W143">
        <v>4516.29</v>
      </c>
      <c r="X143">
        <v>3695.3442000000005</v>
      </c>
      <c r="Y143" s="31">
        <v>0.45001325071202031</v>
      </c>
      <c r="Z143">
        <v>202412</v>
      </c>
      <c r="AA143">
        <v>202301</v>
      </c>
      <c r="AB143" t="s">
        <v>1450</v>
      </c>
      <c r="AC143">
        <v>23</v>
      </c>
      <c r="AD143" t="s">
        <v>1484</v>
      </c>
      <c r="AE143">
        <v>0</v>
      </c>
      <c r="AF143">
        <v>0</v>
      </c>
    </row>
    <row r="144" spans="1:32" x14ac:dyDescent="0.25">
      <c r="A144" t="s">
        <v>149</v>
      </c>
      <c r="B144" s="4">
        <v>45133</v>
      </c>
      <c r="C144" t="s">
        <v>1468</v>
      </c>
      <c r="D144" t="s">
        <v>1481</v>
      </c>
      <c r="E144" s="4">
        <v>45163</v>
      </c>
      <c r="F144">
        <v>30</v>
      </c>
      <c r="G144" t="s">
        <v>640</v>
      </c>
      <c r="H144" t="s">
        <v>652</v>
      </c>
      <c r="I144" t="s">
        <v>692</v>
      </c>
      <c r="J144" t="s">
        <v>1532</v>
      </c>
      <c r="K144" t="s">
        <v>696</v>
      </c>
      <c r="L144" t="s">
        <v>699</v>
      </c>
      <c r="M144" t="s">
        <v>716</v>
      </c>
      <c r="N144" t="s">
        <v>725</v>
      </c>
      <c r="O144" t="s">
        <v>867</v>
      </c>
      <c r="P144">
        <v>1261.48</v>
      </c>
      <c r="Q144">
        <v>1643.18</v>
      </c>
      <c r="R144" t="s">
        <v>1492</v>
      </c>
      <c r="S144" s="31">
        <v>0.151</v>
      </c>
      <c r="T144">
        <v>23</v>
      </c>
      <c r="U144">
        <v>32086.37586</v>
      </c>
      <c r="V144">
        <v>1104833.6397399995</v>
      </c>
      <c r="W144">
        <v>29014.04</v>
      </c>
      <c r="X144">
        <v>3072.3358599999992</v>
      </c>
      <c r="Y144" s="31">
        <v>9.5752037357079045E-2</v>
      </c>
      <c r="Z144">
        <v>202307</v>
      </c>
      <c r="AA144">
        <v>202301</v>
      </c>
      <c r="AB144" t="s">
        <v>1468</v>
      </c>
      <c r="AC144">
        <v>6</v>
      </c>
      <c r="AD144" t="s">
        <v>1484</v>
      </c>
      <c r="AE144">
        <v>0</v>
      </c>
      <c r="AF144">
        <v>0</v>
      </c>
    </row>
    <row r="145" spans="1:32" x14ac:dyDescent="0.25">
      <c r="A145" t="s">
        <v>150</v>
      </c>
      <c r="B145" s="4">
        <v>45458</v>
      </c>
      <c r="C145" t="s">
        <v>1459</v>
      </c>
      <c r="D145" t="s">
        <v>1480</v>
      </c>
      <c r="E145" s="4">
        <v>45479</v>
      </c>
      <c r="F145">
        <v>21</v>
      </c>
      <c r="G145" t="s">
        <v>640</v>
      </c>
      <c r="H145" t="s">
        <v>645</v>
      </c>
      <c r="I145" t="s">
        <v>659</v>
      </c>
      <c r="J145" t="s">
        <v>1497</v>
      </c>
      <c r="K145" t="s">
        <v>698</v>
      </c>
      <c r="L145" t="s">
        <v>702</v>
      </c>
      <c r="M145" t="s">
        <v>708</v>
      </c>
      <c r="N145" t="s">
        <v>720</v>
      </c>
      <c r="O145" t="s">
        <v>868</v>
      </c>
      <c r="P145">
        <v>817.23</v>
      </c>
      <c r="Q145">
        <v>1467.17</v>
      </c>
      <c r="R145" t="s">
        <v>1496</v>
      </c>
      <c r="S145" s="31">
        <v>0.245</v>
      </c>
      <c r="T145">
        <v>9</v>
      </c>
      <c r="U145">
        <v>9969.4201499999999</v>
      </c>
      <c r="V145">
        <v>1104833.6397399995</v>
      </c>
      <c r="W145">
        <v>7355.07</v>
      </c>
      <c r="X145">
        <v>2614.3501500000002</v>
      </c>
      <c r="Y145" s="31">
        <v>0.26223693160328893</v>
      </c>
      <c r="Z145">
        <v>202406</v>
      </c>
      <c r="AA145">
        <v>202301</v>
      </c>
      <c r="AB145" t="s">
        <v>1458</v>
      </c>
      <c r="AC145">
        <v>17</v>
      </c>
      <c r="AD145" t="s">
        <v>1484</v>
      </c>
      <c r="AE145">
        <v>0</v>
      </c>
      <c r="AF145">
        <v>1</v>
      </c>
    </row>
    <row r="146" spans="1:32" x14ac:dyDescent="0.25">
      <c r="A146" t="s">
        <v>151</v>
      </c>
      <c r="B146" s="4">
        <v>45112</v>
      </c>
      <c r="C146" t="s">
        <v>1468</v>
      </c>
      <c r="D146" t="s">
        <v>1481</v>
      </c>
      <c r="E146" s="4">
        <v>45121</v>
      </c>
      <c r="F146">
        <v>9</v>
      </c>
      <c r="G146" t="s">
        <v>640</v>
      </c>
      <c r="H146" t="s">
        <v>647</v>
      </c>
      <c r="I146" t="s">
        <v>664</v>
      </c>
      <c r="J146" t="s">
        <v>1502</v>
      </c>
      <c r="K146" t="s">
        <v>698</v>
      </c>
      <c r="L146" t="s">
        <v>703</v>
      </c>
      <c r="M146" t="s">
        <v>709</v>
      </c>
      <c r="N146" t="s">
        <v>721</v>
      </c>
      <c r="O146" t="s">
        <v>869</v>
      </c>
      <c r="P146">
        <v>578.85</v>
      </c>
      <c r="Q146">
        <v>998.76</v>
      </c>
      <c r="R146" t="s">
        <v>1496</v>
      </c>
      <c r="S146" s="31">
        <v>8.2000000000000003E-2</v>
      </c>
      <c r="T146">
        <v>28</v>
      </c>
      <c r="U146">
        <v>25672.127039999999</v>
      </c>
      <c r="V146">
        <v>1104833.6397399995</v>
      </c>
      <c r="W146">
        <v>16207.800000000001</v>
      </c>
      <c r="X146">
        <v>9464.3270399999983</v>
      </c>
      <c r="Y146" s="31">
        <v>0.36866158480960831</v>
      </c>
      <c r="Z146">
        <v>202307</v>
      </c>
      <c r="AA146">
        <v>202301</v>
      </c>
      <c r="AB146" t="s">
        <v>1468</v>
      </c>
      <c r="AC146">
        <v>6</v>
      </c>
      <c r="AD146" t="s">
        <v>1484</v>
      </c>
      <c r="AE146">
        <v>0</v>
      </c>
      <c r="AF146">
        <v>0</v>
      </c>
    </row>
    <row r="147" spans="1:32" x14ac:dyDescent="0.25">
      <c r="A147" t="s">
        <v>152</v>
      </c>
      <c r="B147" s="4">
        <v>45260</v>
      </c>
      <c r="C147" t="s">
        <v>1475</v>
      </c>
      <c r="D147" t="s">
        <v>1482</v>
      </c>
      <c r="E147" s="4">
        <v>45261</v>
      </c>
      <c r="F147">
        <v>1</v>
      </c>
      <c r="G147" t="s">
        <v>638</v>
      </c>
      <c r="H147" t="s">
        <v>653</v>
      </c>
      <c r="I147" t="s">
        <v>679</v>
      </c>
      <c r="J147" t="s">
        <v>1517</v>
      </c>
      <c r="K147" t="s">
        <v>697</v>
      </c>
      <c r="L147" t="s">
        <v>701</v>
      </c>
      <c r="M147" t="s">
        <v>710</v>
      </c>
      <c r="N147" t="s">
        <v>723</v>
      </c>
      <c r="O147" t="s">
        <v>870</v>
      </c>
      <c r="P147">
        <v>275.56</v>
      </c>
      <c r="Q147">
        <v>630.72</v>
      </c>
      <c r="R147" t="s">
        <v>1490</v>
      </c>
      <c r="S147" s="31">
        <v>0.107</v>
      </c>
      <c r="T147">
        <v>23</v>
      </c>
      <c r="U147">
        <v>12954.358080000002</v>
      </c>
      <c r="V147">
        <v>1104833.6397399995</v>
      </c>
      <c r="W147">
        <v>6337.88</v>
      </c>
      <c r="X147">
        <v>6616.4780800000017</v>
      </c>
      <c r="Y147" s="31">
        <v>0.5107530638831933</v>
      </c>
      <c r="Z147">
        <v>202311</v>
      </c>
      <c r="AA147">
        <v>202301</v>
      </c>
      <c r="AB147" t="s">
        <v>1475</v>
      </c>
      <c r="AC147">
        <v>10</v>
      </c>
      <c r="AD147" t="s">
        <v>1483</v>
      </c>
      <c r="AE147">
        <v>1</v>
      </c>
      <c r="AF147">
        <v>0</v>
      </c>
    </row>
    <row r="148" spans="1:32" x14ac:dyDescent="0.25">
      <c r="A148" t="s">
        <v>153</v>
      </c>
      <c r="B148" s="4">
        <v>45911</v>
      </c>
      <c r="C148" t="s">
        <v>1467</v>
      </c>
      <c r="D148" t="s">
        <v>1481</v>
      </c>
      <c r="E148" s="4">
        <v>45928</v>
      </c>
      <c r="F148">
        <v>17</v>
      </c>
      <c r="G148" t="s">
        <v>638</v>
      </c>
      <c r="H148" t="s">
        <v>642</v>
      </c>
      <c r="I148" t="s">
        <v>656</v>
      </c>
      <c r="J148" t="s">
        <v>1493</v>
      </c>
      <c r="K148" t="s">
        <v>695</v>
      </c>
      <c r="L148" t="s">
        <v>702</v>
      </c>
      <c r="M148" t="s">
        <v>705</v>
      </c>
      <c r="N148" t="s">
        <v>723</v>
      </c>
      <c r="O148" t="s">
        <v>871</v>
      </c>
      <c r="P148">
        <v>891.46</v>
      </c>
      <c r="Q148">
        <v>728.61</v>
      </c>
      <c r="R148" t="s">
        <v>1496</v>
      </c>
      <c r="S148" s="31">
        <v>0.185</v>
      </c>
      <c r="T148">
        <v>6</v>
      </c>
      <c r="U148">
        <v>3562.9028999999996</v>
      </c>
      <c r="V148">
        <v>1104833.6397399995</v>
      </c>
      <c r="W148">
        <v>5348.76</v>
      </c>
      <c r="X148">
        <v>-1785.8571000000006</v>
      </c>
      <c r="Y148" s="31">
        <v>-0.50123653383874167</v>
      </c>
      <c r="Z148">
        <v>202509</v>
      </c>
      <c r="AA148">
        <v>202301</v>
      </c>
      <c r="AB148" t="s">
        <v>1465</v>
      </c>
      <c r="AC148">
        <v>32</v>
      </c>
      <c r="AD148" t="s">
        <v>1484</v>
      </c>
      <c r="AE148">
        <v>0</v>
      </c>
      <c r="AF148">
        <v>0</v>
      </c>
    </row>
    <row r="149" spans="1:32" x14ac:dyDescent="0.25">
      <c r="A149" t="s">
        <v>154</v>
      </c>
      <c r="B149" s="4">
        <v>45386</v>
      </c>
      <c r="C149" t="s">
        <v>1447</v>
      </c>
      <c r="D149" t="s">
        <v>1480</v>
      </c>
      <c r="E149" s="4">
        <v>45406</v>
      </c>
      <c r="F149">
        <v>20</v>
      </c>
      <c r="G149" t="s">
        <v>641</v>
      </c>
      <c r="H149" t="s">
        <v>648</v>
      </c>
      <c r="I149" t="s">
        <v>690</v>
      </c>
      <c r="J149" t="s">
        <v>1529</v>
      </c>
      <c r="K149" t="s">
        <v>695</v>
      </c>
      <c r="L149" t="s">
        <v>703</v>
      </c>
      <c r="M149" t="s">
        <v>711</v>
      </c>
      <c r="N149" t="s">
        <v>725</v>
      </c>
      <c r="O149" t="s">
        <v>872</v>
      </c>
      <c r="P149">
        <v>683.42</v>
      </c>
      <c r="Q149">
        <v>951.51</v>
      </c>
      <c r="R149" t="s">
        <v>1496</v>
      </c>
      <c r="S149" s="31">
        <v>0</v>
      </c>
      <c r="T149">
        <v>14</v>
      </c>
      <c r="U149">
        <v>13321.14</v>
      </c>
      <c r="V149">
        <v>1104833.6397399995</v>
      </c>
      <c r="W149">
        <v>9567.8799999999992</v>
      </c>
      <c r="X149">
        <v>3753.26</v>
      </c>
      <c r="Y149" s="31">
        <v>0.28175216235247136</v>
      </c>
      <c r="Z149">
        <v>202404</v>
      </c>
      <c r="AA149">
        <v>202301</v>
      </c>
      <c r="AB149" t="s">
        <v>1446</v>
      </c>
      <c r="AC149">
        <v>15</v>
      </c>
      <c r="AD149" t="s">
        <v>1484</v>
      </c>
      <c r="AE149">
        <v>0</v>
      </c>
      <c r="AF149">
        <v>0</v>
      </c>
    </row>
    <row r="150" spans="1:32" x14ac:dyDescent="0.25">
      <c r="A150" t="s">
        <v>155</v>
      </c>
      <c r="B150" s="4">
        <v>45183</v>
      </c>
      <c r="C150" t="s">
        <v>1465</v>
      </c>
      <c r="D150" t="s">
        <v>1481</v>
      </c>
      <c r="E150" s="4">
        <v>45185</v>
      </c>
      <c r="F150">
        <v>2</v>
      </c>
      <c r="G150" t="s">
        <v>641</v>
      </c>
      <c r="H150" t="s">
        <v>649</v>
      </c>
      <c r="I150" t="s">
        <v>671</v>
      </c>
      <c r="J150" t="s">
        <v>1509</v>
      </c>
      <c r="K150" t="s">
        <v>695</v>
      </c>
      <c r="L150" t="s">
        <v>703</v>
      </c>
      <c r="M150" t="s">
        <v>709</v>
      </c>
      <c r="N150" t="s">
        <v>720</v>
      </c>
      <c r="O150" t="s">
        <v>873</v>
      </c>
      <c r="P150">
        <v>376.83</v>
      </c>
      <c r="Q150">
        <v>732.88</v>
      </c>
      <c r="R150" t="s">
        <v>1490</v>
      </c>
      <c r="S150" s="31">
        <v>0.188</v>
      </c>
      <c r="T150">
        <v>25</v>
      </c>
      <c r="U150">
        <v>14877.464000000002</v>
      </c>
      <c r="V150">
        <v>1104833.6397399995</v>
      </c>
      <c r="W150">
        <v>9420.75</v>
      </c>
      <c r="X150">
        <v>5456.7140000000018</v>
      </c>
      <c r="Y150" s="31">
        <v>0.36677716040852132</v>
      </c>
      <c r="Z150">
        <v>202309</v>
      </c>
      <c r="AA150">
        <v>202301</v>
      </c>
      <c r="AB150" t="s">
        <v>1465</v>
      </c>
      <c r="AC150">
        <v>8</v>
      </c>
      <c r="AD150" t="s">
        <v>1483</v>
      </c>
      <c r="AE150">
        <v>1</v>
      </c>
      <c r="AF150">
        <v>0</v>
      </c>
    </row>
    <row r="151" spans="1:32" x14ac:dyDescent="0.25">
      <c r="A151" t="s">
        <v>156</v>
      </c>
      <c r="B151" s="4">
        <v>45558</v>
      </c>
      <c r="C151" t="s">
        <v>1466</v>
      </c>
      <c r="D151" t="s">
        <v>1481</v>
      </c>
      <c r="E151" s="4">
        <v>45583</v>
      </c>
      <c r="F151">
        <v>25</v>
      </c>
      <c r="G151" t="s">
        <v>640</v>
      </c>
      <c r="H151" t="s">
        <v>645</v>
      </c>
      <c r="I151" t="s">
        <v>680</v>
      </c>
      <c r="J151" t="s">
        <v>1518</v>
      </c>
      <c r="K151" t="s">
        <v>697</v>
      </c>
      <c r="L151" t="s">
        <v>700</v>
      </c>
      <c r="M151" t="s">
        <v>717</v>
      </c>
      <c r="N151" t="s">
        <v>722</v>
      </c>
      <c r="O151" t="s">
        <v>874</v>
      </c>
      <c r="P151">
        <v>1297</v>
      </c>
      <c r="Q151">
        <v>2411.52</v>
      </c>
      <c r="R151" t="s">
        <v>1492</v>
      </c>
      <c r="S151" s="31">
        <v>2.1000000000000001E-2</v>
      </c>
      <c r="T151">
        <v>18</v>
      </c>
      <c r="U151">
        <v>42495.805439999996</v>
      </c>
      <c r="V151">
        <v>1104833.6397399995</v>
      </c>
      <c r="W151">
        <v>23346</v>
      </c>
      <c r="X151">
        <v>19149.805439999996</v>
      </c>
      <c r="Y151" s="31">
        <v>0.45062813239385913</v>
      </c>
      <c r="Z151">
        <v>202409</v>
      </c>
      <c r="AA151">
        <v>202301</v>
      </c>
      <c r="AB151" t="s">
        <v>1465</v>
      </c>
      <c r="AC151">
        <v>20</v>
      </c>
      <c r="AD151" t="s">
        <v>1484</v>
      </c>
      <c r="AE151">
        <v>0</v>
      </c>
      <c r="AF151">
        <v>0</v>
      </c>
    </row>
    <row r="152" spans="1:32" x14ac:dyDescent="0.25">
      <c r="A152" t="s">
        <v>157</v>
      </c>
      <c r="B152" s="4">
        <v>45763</v>
      </c>
      <c r="C152" t="s">
        <v>1473</v>
      </c>
      <c r="D152" t="s">
        <v>1480</v>
      </c>
      <c r="E152" s="4">
        <v>45793</v>
      </c>
      <c r="F152">
        <v>30</v>
      </c>
      <c r="G152" t="s">
        <v>640</v>
      </c>
      <c r="H152" t="s">
        <v>645</v>
      </c>
      <c r="I152" t="s">
        <v>673</v>
      </c>
      <c r="J152" t="s">
        <v>1511</v>
      </c>
      <c r="K152" t="s">
        <v>698</v>
      </c>
      <c r="L152" t="s">
        <v>702</v>
      </c>
      <c r="M152" t="s">
        <v>715</v>
      </c>
      <c r="N152" t="s">
        <v>720</v>
      </c>
      <c r="O152" t="s">
        <v>875</v>
      </c>
      <c r="P152">
        <v>763.32</v>
      </c>
      <c r="Q152">
        <v>568.29</v>
      </c>
      <c r="R152" t="s">
        <v>1496</v>
      </c>
      <c r="S152" s="31">
        <v>0.13100000000000001</v>
      </c>
      <c r="T152">
        <v>16</v>
      </c>
      <c r="U152">
        <v>7901.5041599999995</v>
      </c>
      <c r="V152">
        <v>1104833.6397399995</v>
      </c>
      <c r="W152">
        <v>12213.12</v>
      </c>
      <c r="X152">
        <v>-4311.6158400000013</v>
      </c>
      <c r="Y152" s="31">
        <v>-0.54567026134426555</v>
      </c>
      <c r="Z152">
        <v>202504</v>
      </c>
      <c r="AA152">
        <v>202301</v>
      </c>
      <c r="AB152" t="s">
        <v>1446</v>
      </c>
      <c r="AC152">
        <v>27</v>
      </c>
      <c r="AD152" t="s">
        <v>1484</v>
      </c>
      <c r="AE152">
        <v>0</v>
      </c>
      <c r="AF152">
        <v>0</v>
      </c>
    </row>
    <row r="153" spans="1:32" x14ac:dyDescent="0.25">
      <c r="A153" t="s">
        <v>158</v>
      </c>
      <c r="B153" s="4">
        <v>45110</v>
      </c>
      <c r="C153" t="s">
        <v>1468</v>
      </c>
      <c r="D153" t="s">
        <v>1481</v>
      </c>
      <c r="E153" s="4">
        <v>45130</v>
      </c>
      <c r="F153">
        <v>20</v>
      </c>
      <c r="G153" t="s">
        <v>638</v>
      </c>
      <c r="H153" t="s">
        <v>653</v>
      </c>
      <c r="I153" t="s">
        <v>674</v>
      </c>
      <c r="J153" t="s">
        <v>1512</v>
      </c>
      <c r="K153" t="s">
        <v>697</v>
      </c>
      <c r="L153" t="s">
        <v>702</v>
      </c>
      <c r="M153" t="s">
        <v>713</v>
      </c>
      <c r="N153" t="s">
        <v>723</v>
      </c>
      <c r="O153" t="s">
        <v>876</v>
      </c>
      <c r="P153">
        <v>1001.96</v>
      </c>
      <c r="Q153">
        <v>1254.95</v>
      </c>
      <c r="R153" t="s">
        <v>1492</v>
      </c>
      <c r="S153" s="31">
        <v>4.4999999999999998E-2</v>
      </c>
      <c r="T153">
        <v>18</v>
      </c>
      <c r="U153">
        <v>21572.590500000002</v>
      </c>
      <c r="V153">
        <v>1104833.6397399995</v>
      </c>
      <c r="W153">
        <v>18035.28</v>
      </c>
      <c r="X153">
        <v>3537.3105000000032</v>
      </c>
      <c r="Y153" s="31">
        <v>0.16397244920585699</v>
      </c>
      <c r="Z153">
        <v>202307</v>
      </c>
      <c r="AA153">
        <v>202301</v>
      </c>
      <c r="AB153" t="s">
        <v>1468</v>
      </c>
      <c r="AC153">
        <v>6</v>
      </c>
      <c r="AD153" t="s">
        <v>1484</v>
      </c>
      <c r="AE153">
        <v>0</v>
      </c>
      <c r="AF153">
        <v>0</v>
      </c>
    </row>
    <row r="154" spans="1:32" x14ac:dyDescent="0.25">
      <c r="A154" t="s">
        <v>159</v>
      </c>
      <c r="B154" s="4">
        <v>45267</v>
      </c>
      <c r="C154" t="s">
        <v>1450</v>
      </c>
      <c r="D154" t="s">
        <v>1482</v>
      </c>
      <c r="E154" s="4">
        <v>45269</v>
      </c>
      <c r="F154">
        <v>2</v>
      </c>
      <c r="G154" t="s">
        <v>639</v>
      </c>
      <c r="H154" t="s">
        <v>644</v>
      </c>
      <c r="I154" t="s">
        <v>681</v>
      </c>
      <c r="J154" t="s">
        <v>1519</v>
      </c>
      <c r="K154" t="s">
        <v>695</v>
      </c>
      <c r="L154" t="s">
        <v>701</v>
      </c>
      <c r="M154" t="s">
        <v>714</v>
      </c>
      <c r="N154" t="s">
        <v>720</v>
      </c>
      <c r="O154" t="s">
        <v>877</v>
      </c>
      <c r="P154">
        <v>1097.5899999999999</v>
      </c>
      <c r="Q154">
        <v>845.55</v>
      </c>
      <c r="R154" t="s">
        <v>1492</v>
      </c>
      <c r="S154" s="31">
        <v>0.184</v>
      </c>
      <c r="T154">
        <v>6</v>
      </c>
      <c r="U154">
        <v>4139.8127999999997</v>
      </c>
      <c r="V154">
        <v>1104833.6397399995</v>
      </c>
      <c r="W154">
        <v>6585.5399999999991</v>
      </c>
      <c r="X154">
        <v>-2445.7271999999994</v>
      </c>
      <c r="Y154" s="31">
        <v>-0.59078207594314402</v>
      </c>
      <c r="Z154">
        <v>202312</v>
      </c>
      <c r="AA154">
        <v>202303</v>
      </c>
      <c r="AB154" t="s">
        <v>1450</v>
      </c>
      <c r="AC154">
        <v>9</v>
      </c>
      <c r="AD154" t="s">
        <v>1483</v>
      </c>
      <c r="AE154">
        <v>1</v>
      </c>
      <c r="AF154">
        <v>0</v>
      </c>
    </row>
    <row r="155" spans="1:32" x14ac:dyDescent="0.25">
      <c r="A155" t="s">
        <v>160</v>
      </c>
      <c r="B155" s="4">
        <v>45340</v>
      </c>
      <c r="C155" t="s">
        <v>1452</v>
      </c>
      <c r="D155" t="s">
        <v>1479</v>
      </c>
      <c r="E155" s="4">
        <v>45355</v>
      </c>
      <c r="F155">
        <v>15</v>
      </c>
      <c r="G155" t="s">
        <v>638</v>
      </c>
      <c r="H155" t="s">
        <v>642</v>
      </c>
      <c r="I155" t="s">
        <v>654</v>
      </c>
      <c r="J155" t="s">
        <v>1489</v>
      </c>
      <c r="K155" t="s">
        <v>694</v>
      </c>
      <c r="L155" t="s">
        <v>703</v>
      </c>
      <c r="M155" t="s">
        <v>715</v>
      </c>
      <c r="N155" t="s">
        <v>720</v>
      </c>
      <c r="O155" t="s">
        <v>878</v>
      </c>
      <c r="P155">
        <v>928.68</v>
      </c>
      <c r="Q155">
        <v>2145.17</v>
      </c>
      <c r="R155" t="s">
        <v>1496</v>
      </c>
      <c r="S155" s="31">
        <v>0.13600000000000001</v>
      </c>
      <c r="T155">
        <v>16</v>
      </c>
      <c r="U155">
        <v>29654.83008</v>
      </c>
      <c r="V155">
        <v>1104833.6397399995</v>
      </c>
      <c r="W155">
        <v>14858.88</v>
      </c>
      <c r="X155">
        <v>14795.950080000001</v>
      </c>
      <c r="Y155" s="31">
        <v>0.49893896003062177</v>
      </c>
      <c r="Z155">
        <v>202402</v>
      </c>
      <c r="AA155">
        <v>202301</v>
      </c>
      <c r="AB155" t="s">
        <v>1451</v>
      </c>
      <c r="AC155">
        <v>13</v>
      </c>
      <c r="AD155" t="s">
        <v>1484</v>
      </c>
      <c r="AE155">
        <v>0</v>
      </c>
      <c r="AF155">
        <v>0</v>
      </c>
    </row>
    <row r="156" spans="1:32" x14ac:dyDescent="0.25">
      <c r="A156" t="s">
        <v>161</v>
      </c>
      <c r="B156" s="4">
        <v>45230</v>
      </c>
      <c r="C156" t="s">
        <v>1476</v>
      </c>
      <c r="D156" t="s">
        <v>1482</v>
      </c>
      <c r="E156" s="4">
        <v>45232</v>
      </c>
      <c r="F156">
        <v>2</v>
      </c>
      <c r="G156" t="s">
        <v>638</v>
      </c>
      <c r="H156" t="s">
        <v>642</v>
      </c>
      <c r="I156" t="s">
        <v>654</v>
      </c>
      <c r="J156" t="s">
        <v>1489</v>
      </c>
      <c r="K156" t="s">
        <v>694</v>
      </c>
      <c r="L156" t="s">
        <v>699</v>
      </c>
      <c r="M156" t="s">
        <v>711</v>
      </c>
      <c r="N156" t="s">
        <v>725</v>
      </c>
      <c r="O156" t="s">
        <v>879</v>
      </c>
      <c r="P156">
        <v>867.89</v>
      </c>
      <c r="Q156">
        <v>1349.94</v>
      </c>
      <c r="R156" t="s">
        <v>1496</v>
      </c>
      <c r="S156" s="31">
        <v>0.184</v>
      </c>
      <c r="T156">
        <v>10</v>
      </c>
      <c r="U156">
        <v>11015.510400000003</v>
      </c>
      <c r="V156">
        <v>1104833.6397399995</v>
      </c>
      <c r="W156">
        <v>8678.9</v>
      </c>
      <c r="X156">
        <v>2336.6104000000032</v>
      </c>
      <c r="Y156" s="31">
        <v>0.21212003031652557</v>
      </c>
      <c r="Z156">
        <v>202310</v>
      </c>
      <c r="AA156">
        <v>202301</v>
      </c>
      <c r="AB156" t="s">
        <v>1476</v>
      </c>
      <c r="AC156">
        <v>9</v>
      </c>
      <c r="AD156" t="s">
        <v>1483</v>
      </c>
      <c r="AE156">
        <v>1</v>
      </c>
      <c r="AF156">
        <v>0</v>
      </c>
    </row>
    <row r="157" spans="1:32" x14ac:dyDescent="0.25">
      <c r="A157" t="s">
        <v>162</v>
      </c>
      <c r="B157" s="4">
        <v>45511</v>
      </c>
      <c r="C157" t="s">
        <v>1474</v>
      </c>
      <c r="D157" t="s">
        <v>1481</v>
      </c>
      <c r="E157" s="4">
        <v>45521</v>
      </c>
      <c r="F157">
        <v>10</v>
      </c>
      <c r="G157" t="s">
        <v>639</v>
      </c>
      <c r="H157" t="s">
        <v>644</v>
      </c>
      <c r="I157" t="s">
        <v>658</v>
      </c>
      <c r="J157" t="s">
        <v>1495</v>
      </c>
      <c r="K157" t="s">
        <v>696</v>
      </c>
      <c r="L157" t="s">
        <v>700</v>
      </c>
      <c r="M157" t="s">
        <v>715</v>
      </c>
      <c r="N157" t="s">
        <v>721</v>
      </c>
      <c r="O157" t="s">
        <v>880</v>
      </c>
      <c r="P157">
        <v>436.58</v>
      </c>
      <c r="Q157">
        <v>527.48</v>
      </c>
      <c r="R157" t="s">
        <v>1490</v>
      </c>
      <c r="S157" s="31">
        <v>0.111</v>
      </c>
      <c r="T157">
        <v>19</v>
      </c>
      <c r="U157">
        <v>8909.6646800000017</v>
      </c>
      <c r="V157">
        <v>1104833.6397399995</v>
      </c>
      <c r="W157">
        <v>8295.02</v>
      </c>
      <c r="X157">
        <v>614.64468000000124</v>
      </c>
      <c r="Y157" s="31">
        <v>6.8986286473802644E-2</v>
      </c>
      <c r="Z157">
        <v>202408</v>
      </c>
      <c r="AA157">
        <v>202303</v>
      </c>
      <c r="AB157" t="s">
        <v>1448</v>
      </c>
      <c r="AC157">
        <v>17</v>
      </c>
      <c r="AD157" t="s">
        <v>1484</v>
      </c>
      <c r="AE157">
        <v>0</v>
      </c>
      <c r="AF157">
        <v>0</v>
      </c>
    </row>
    <row r="158" spans="1:32" x14ac:dyDescent="0.25">
      <c r="A158" t="s">
        <v>163</v>
      </c>
      <c r="B158" s="4">
        <v>45323</v>
      </c>
      <c r="C158" t="s">
        <v>1452</v>
      </c>
      <c r="D158" t="s">
        <v>1479</v>
      </c>
      <c r="E158" s="4">
        <v>45343</v>
      </c>
      <c r="F158">
        <v>20</v>
      </c>
      <c r="G158" t="s">
        <v>641</v>
      </c>
      <c r="H158" t="s">
        <v>649</v>
      </c>
      <c r="I158" t="s">
        <v>682</v>
      </c>
      <c r="J158" t="s">
        <v>1520</v>
      </c>
      <c r="K158" t="s">
        <v>697</v>
      </c>
      <c r="L158" t="s">
        <v>701</v>
      </c>
      <c r="M158" t="s">
        <v>712</v>
      </c>
      <c r="N158" t="s">
        <v>721</v>
      </c>
      <c r="O158" t="s">
        <v>881</v>
      </c>
      <c r="P158">
        <v>656.2</v>
      </c>
      <c r="Q158">
        <v>1467.17</v>
      </c>
      <c r="R158" t="s">
        <v>1496</v>
      </c>
      <c r="S158" s="31">
        <v>1.7999999999999999E-2</v>
      </c>
      <c r="T158">
        <v>5</v>
      </c>
      <c r="U158">
        <v>7203.8047000000006</v>
      </c>
      <c r="V158">
        <v>1104833.6397399995</v>
      </c>
      <c r="W158">
        <v>3281</v>
      </c>
      <c r="X158">
        <v>3922.8047000000006</v>
      </c>
      <c r="Y158" s="31">
        <v>0.54454623124360946</v>
      </c>
      <c r="Z158">
        <v>202402</v>
      </c>
      <c r="AA158">
        <v>202301</v>
      </c>
      <c r="AB158" t="s">
        <v>1451</v>
      </c>
      <c r="AC158">
        <v>13</v>
      </c>
      <c r="AD158" t="s">
        <v>1484</v>
      </c>
      <c r="AE158">
        <v>0</v>
      </c>
      <c r="AF158">
        <v>0</v>
      </c>
    </row>
    <row r="159" spans="1:32" x14ac:dyDescent="0.25">
      <c r="A159" t="s">
        <v>164</v>
      </c>
      <c r="B159" s="4">
        <v>45531</v>
      </c>
      <c r="C159" t="s">
        <v>1474</v>
      </c>
      <c r="D159" t="s">
        <v>1481</v>
      </c>
      <c r="E159" s="4">
        <v>45553</v>
      </c>
      <c r="F159">
        <v>22</v>
      </c>
      <c r="G159" t="s">
        <v>639</v>
      </c>
      <c r="H159" t="s">
        <v>646</v>
      </c>
      <c r="I159" t="s">
        <v>672</v>
      </c>
      <c r="J159" t="s">
        <v>1510</v>
      </c>
      <c r="K159" t="s">
        <v>696</v>
      </c>
      <c r="L159" t="s">
        <v>703</v>
      </c>
      <c r="M159" t="s">
        <v>709</v>
      </c>
      <c r="N159" t="s">
        <v>719</v>
      </c>
      <c r="O159" t="s">
        <v>882</v>
      </c>
      <c r="P159">
        <v>896.75</v>
      </c>
      <c r="Q159">
        <v>1651.14</v>
      </c>
      <c r="R159" t="s">
        <v>1496</v>
      </c>
      <c r="S159" s="31">
        <v>2.5000000000000001E-2</v>
      </c>
      <c r="T159">
        <v>15</v>
      </c>
      <c r="U159">
        <v>24147.922500000001</v>
      </c>
      <c r="V159">
        <v>1104833.6397399995</v>
      </c>
      <c r="W159">
        <v>13451.25</v>
      </c>
      <c r="X159">
        <v>10696.672500000001</v>
      </c>
      <c r="Y159" s="31">
        <v>0.44296450346815552</v>
      </c>
      <c r="Z159">
        <v>202408</v>
      </c>
      <c r="AA159">
        <v>202301</v>
      </c>
      <c r="AB159" t="s">
        <v>1448</v>
      </c>
      <c r="AC159">
        <v>19</v>
      </c>
      <c r="AD159" t="s">
        <v>1484</v>
      </c>
      <c r="AE159">
        <v>0</v>
      </c>
      <c r="AF159">
        <v>0</v>
      </c>
    </row>
    <row r="160" spans="1:32" x14ac:dyDescent="0.25">
      <c r="A160" t="s">
        <v>165</v>
      </c>
      <c r="B160" s="4">
        <v>45703</v>
      </c>
      <c r="C160" t="s">
        <v>1453</v>
      </c>
      <c r="D160" t="s">
        <v>1479</v>
      </c>
      <c r="E160" s="4">
        <v>45703</v>
      </c>
      <c r="F160">
        <v>0</v>
      </c>
      <c r="G160" t="s">
        <v>641</v>
      </c>
      <c r="H160" t="s">
        <v>648</v>
      </c>
      <c r="I160" t="s">
        <v>690</v>
      </c>
      <c r="J160" t="s">
        <v>1529</v>
      </c>
      <c r="K160" t="s">
        <v>697</v>
      </c>
      <c r="L160" t="s">
        <v>701</v>
      </c>
      <c r="M160" t="s">
        <v>708</v>
      </c>
      <c r="N160" t="s">
        <v>725</v>
      </c>
      <c r="O160" t="s">
        <v>883</v>
      </c>
      <c r="P160">
        <v>815.83</v>
      </c>
      <c r="Q160">
        <v>1982.18</v>
      </c>
      <c r="R160" t="s">
        <v>1496</v>
      </c>
      <c r="S160" s="31">
        <v>0.127</v>
      </c>
      <c r="T160">
        <v>6</v>
      </c>
      <c r="U160">
        <v>10382.65884</v>
      </c>
      <c r="V160">
        <v>1080685.7172399994</v>
      </c>
      <c r="W160">
        <v>4894.9800000000005</v>
      </c>
      <c r="X160">
        <v>5487.6788399999996</v>
      </c>
      <c r="Y160" s="31">
        <v>0.52854272923408507</v>
      </c>
      <c r="Z160">
        <v>202502</v>
      </c>
      <c r="AA160">
        <v>202301</v>
      </c>
      <c r="AB160" t="s">
        <v>1451</v>
      </c>
      <c r="AC160">
        <v>25</v>
      </c>
      <c r="AD160" t="s">
        <v>1483</v>
      </c>
      <c r="AE160">
        <v>1</v>
      </c>
      <c r="AF160">
        <v>0</v>
      </c>
    </row>
    <row r="161" spans="1:32" x14ac:dyDescent="0.25">
      <c r="A161" t="s">
        <v>166</v>
      </c>
      <c r="B161" s="4">
        <v>45870</v>
      </c>
      <c r="C161" t="s">
        <v>1449</v>
      </c>
      <c r="D161" t="s">
        <v>1481</v>
      </c>
      <c r="E161" s="4">
        <v>45890</v>
      </c>
      <c r="F161">
        <v>20</v>
      </c>
      <c r="G161" t="s">
        <v>639</v>
      </c>
      <c r="H161" t="s">
        <v>651</v>
      </c>
      <c r="I161" t="s">
        <v>677</v>
      </c>
      <c r="J161" t="s">
        <v>1515</v>
      </c>
      <c r="K161" t="s">
        <v>693</v>
      </c>
      <c r="L161" t="s">
        <v>703</v>
      </c>
      <c r="M161" t="s">
        <v>706</v>
      </c>
      <c r="N161" t="s">
        <v>722</v>
      </c>
      <c r="O161" t="s">
        <v>884</v>
      </c>
      <c r="P161">
        <v>1220.4100000000001</v>
      </c>
      <c r="Q161">
        <v>2552.2199999999998</v>
      </c>
      <c r="R161" t="s">
        <v>1492</v>
      </c>
      <c r="S161" s="31">
        <v>0.18099999999999999</v>
      </c>
      <c r="T161">
        <v>14</v>
      </c>
      <c r="U161">
        <v>29263.754519999995</v>
      </c>
      <c r="V161">
        <v>1080685.7172399994</v>
      </c>
      <c r="W161">
        <v>17085.740000000002</v>
      </c>
      <c r="X161">
        <v>12178.014519999993</v>
      </c>
      <c r="Y161" s="31">
        <v>0.41614668793360271</v>
      </c>
      <c r="Z161">
        <v>202508</v>
      </c>
      <c r="AA161">
        <v>202301</v>
      </c>
      <c r="AB161" t="s">
        <v>1448</v>
      </c>
      <c r="AC161">
        <v>31</v>
      </c>
      <c r="AD161" t="s">
        <v>1484</v>
      </c>
      <c r="AE161">
        <v>0</v>
      </c>
      <c r="AF161">
        <v>0</v>
      </c>
    </row>
    <row r="162" spans="1:32" x14ac:dyDescent="0.25">
      <c r="A162" t="s">
        <v>167</v>
      </c>
      <c r="B162" s="4">
        <v>44977</v>
      </c>
      <c r="C162" t="s">
        <v>1451</v>
      </c>
      <c r="D162" t="s">
        <v>1479</v>
      </c>
      <c r="E162" s="4">
        <v>44989</v>
      </c>
      <c r="F162">
        <v>12</v>
      </c>
      <c r="G162" t="s">
        <v>639</v>
      </c>
      <c r="H162" t="s">
        <v>646</v>
      </c>
      <c r="I162" t="s">
        <v>672</v>
      </c>
      <c r="J162" t="s">
        <v>1510</v>
      </c>
      <c r="K162" t="s">
        <v>696</v>
      </c>
      <c r="L162" t="s">
        <v>702</v>
      </c>
      <c r="M162" t="s">
        <v>716</v>
      </c>
      <c r="N162" t="s">
        <v>724</v>
      </c>
      <c r="O162" t="s">
        <v>885</v>
      </c>
      <c r="P162">
        <v>299.75</v>
      </c>
      <c r="Q162">
        <v>523.01</v>
      </c>
      <c r="R162" t="s">
        <v>1490</v>
      </c>
      <c r="S162" s="31">
        <v>0.157</v>
      </c>
      <c r="T162">
        <v>50</v>
      </c>
      <c r="U162">
        <v>22044.871499999997</v>
      </c>
      <c r="V162">
        <v>1080685.7172399994</v>
      </c>
      <c r="W162">
        <v>14987.5</v>
      </c>
      <c r="X162">
        <v>7057.3714999999975</v>
      </c>
      <c r="Y162" s="31">
        <v>0.32013665854210122</v>
      </c>
      <c r="Z162">
        <v>202302</v>
      </c>
      <c r="AA162">
        <v>202301</v>
      </c>
      <c r="AB162" t="s">
        <v>1451</v>
      </c>
      <c r="AC162">
        <v>1</v>
      </c>
      <c r="AD162" t="s">
        <v>1484</v>
      </c>
      <c r="AE162">
        <v>0</v>
      </c>
      <c r="AF162">
        <v>0</v>
      </c>
    </row>
    <row r="163" spans="1:32" x14ac:dyDescent="0.25">
      <c r="A163" t="s">
        <v>168</v>
      </c>
      <c r="B163" s="4">
        <v>45595</v>
      </c>
      <c r="C163" t="s">
        <v>1464</v>
      </c>
      <c r="D163" t="s">
        <v>1482</v>
      </c>
      <c r="E163" s="4">
        <v>45620</v>
      </c>
      <c r="F163">
        <v>25</v>
      </c>
      <c r="G163" t="s">
        <v>639</v>
      </c>
      <c r="H163" t="s">
        <v>651</v>
      </c>
      <c r="I163" t="s">
        <v>668</v>
      </c>
      <c r="J163" t="s">
        <v>1506</v>
      </c>
      <c r="K163" t="s">
        <v>697</v>
      </c>
      <c r="L163" t="s">
        <v>700</v>
      </c>
      <c r="M163" t="s">
        <v>710</v>
      </c>
      <c r="N163" t="s">
        <v>719</v>
      </c>
      <c r="O163" t="s">
        <v>886</v>
      </c>
      <c r="P163">
        <v>811.05</v>
      </c>
      <c r="Q163">
        <v>1217.71</v>
      </c>
      <c r="R163" t="s">
        <v>1496</v>
      </c>
      <c r="S163" s="31">
        <v>7.1999999999999995E-2</v>
      </c>
      <c r="T163">
        <v>5</v>
      </c>
      <c r="U163">
        <v>5650.1744000000008</v>
      </c>
      <c r="V163">
        <v>1080685.7172399994</v>
      </c>
      <c r="W163">
        <v>4055.25</v>
      </c>
      <c r="X163">
        <v>1594.9244000000008</v>
      </c>
      <c r="Y163" s="31">
        <v>0.28227879125288602</v>
      </c>
      <c r="Z163">
        <v>202410</v>
      </c>
      <c r="AA163">
        <v>202301</v>
      </c>
      <c r="AB163" t="s">
        <v>1476</v>
      </c>
      <c r="AC163">
        <v>21</v>
      </c>
      <c r="AD163" t="s">
        <v>1484</v>
      </c>
      <c r="AE163">
        <v>0</v>
      </c>
      <c r="AF163">
        <v>0</v>
      </c>
    </row>
    <row r="164" spans="1:32" x14ac:dyDescent="0.25">
      <c r="A164" t="s">
        <v>169</v>
      </c>
      <c r="B164" s="4">
        <v>45385</v>
      </c>
      <c r="C164" t="s">
        <v>1447</v>
      </c>
      <c r="D164" t="s">
        <v>1480</v>
      </c>
      <c r="E164" s="4">
        <v>45389</v>
      </c>
      <c r="F164">
        <v>4</v>
      </c>
      <c r="G164" t="s">
        <v>640</v>
      </c>
      <c r="H164" t="s">
        <v>647</v>
      </c>
      <c r="I164" t="s">
        <v>664</v>
      </c>
      <c r="J164" t="s">
        <v>1502</v>
      </c>
      <c r="K164" t="s">
        <v>695</v>
      </c>
      <c r="L164" t="s">
        <v>703</v>
      </c>
      <c r="M164" t="s">
        <v>717</v>
      </c>
      <c r="N164" t="s">
        <v>722</v>
      </c>
      <c r="O164" t="s">
        <v>887</v>
      </c>
      <c r="P164">
        <v>1023.27</v>
      </c>
      <c r="Q164">
        <v>1343.64</v>
      </c>
      <c r="R164" t="s">
        <v>1492</v>
      </c>
      <c r="S164" s="31">
        <v>0.13300000000000001</v>
      </c>
      <c r="T164">
        <v>7</v>
      </c>
      <c r="U164">
        <v>8154.5511600000009</v>
      </c>
      <c r="V164">
        <v>1075035.5428399993</v>
      </c>
      <c r="W164">
        <v>7162.8899999999994</v>
      </c>
      <c r="X164">
        <v>991.66116000000147</v>
      </c>
      <c r="Y164" s="31">
        <v>0.12160830688810116</v>
      </c>
      <c r="Z164">
        <v>202404</v>
      </c>
      <c r="AA164">
        <v>202301</v>
      </c>
      <c r="AB164" t="s">
        <v>1446</v>
      </c>
      <c r="AC164">
        <v>15</v>
      </c>
      <c r="AD164" t="s">
        <v>1483</v>
      </c>
      <c r="AE164">
        <v>1</v>
      </c>
      <c r="AF164">
        <v>0</v>
      </c>
    </row>
    <row r="165" spans="1:32" x14ac:dyDescent="0.25">
      <c r="A165" t="s">
        <v>170</v>
      </c>
      <c r="B165" s="4">
        <v>45010</v>
      </c>
      <c r="C165" t="s">
        <v>1469</v>
      </c>
      <c r="D165" t="s">
        <v>1479</v>
      </c>
      <c r="E165" s="4">
        <v>45011</v>
      </c>
      <c r="F165">
        <v>1</v>
      </c>
      <c r="G165" t="s">
        <v>639</v>
      </c>
      <c r="H165" t="s">
        <v>644</v>
      </c>
      <c r="I165" t="s">
        <v>658</v>
      </c>
      <c r="J165" t="s">
        <v>1495</v>
      </c>
      <c r="K165" t="s">
        <v>697</v>
      </c>
      <c r="L165" t="s">
        <v>702</v>
      </c>
      <c r="M165" t="s">
        <v>706</v>
      </c>
      <c r="N165" t="s">
        <v>724</v>
      </c>
      <c r="O165" t="s">
        <v>888</v>
      </c>
      <c r="P165">
        <v>135.12</v>
      </c>
      <c r="Q165">
        <v>301.7</v>
      </c>
      <c r="R165" t="s">
        <v>1490</v>
      </c>
      <c r="S165" s="31">
        <v>0.14000000000000001</v>
      </c>
      <c r="T165">
        <v>47</v>
      </c>
      <c r="U165">
        <v>12194.714</v>
      </c>
      <c r="V165">
        <v>1075035.5428399993</v>
      </c>
      <c r="W165">
        <v>6350.64</v>
      </c>
      <c r="X165">
        <v>5844.0739999999996</v>
      </c>
      <c r="Y165" s="31">
        <v>0.47923009920527859</v>
      </c>
      <c r="Z165">
        <v>202303</v>
      </c>
      <c r="AA165">
        <v>202303</v>
      </c>
      <c r="AB165" t="s">
        <v>1469</v>
      </c>
      <c r="AC165">
        <v>0</v>
      </c>
      <c r="AD165" t="s">
        <v>1483</v>
      </c>
      <c r="AE165">
        <v>1</v>
      </c>
      <c r="AF165">
        <v>0</v>
      </c>
    </row>
    <row r="166" spans="1:32" x14ac:dyDescent="0.25">
      <c r="A166" t="s">
        <v>171</v>
      </c>
      <c r="B166" s="4">
        <v>45447</v>
      </c>
      <c r="C166" t="s">
        <v>1459</v>
      </c>
      <c r="D166" t="s">
        <v>1480</v>
      </c>
      <c r="E166" s="4">
        <v>45459</v>
      </c>
      <c r="F166">
        <v>12</v>
      </c>
      <c r="G166" t="s">
        <v>639</v>
      </c>
      <c r="H166" t="s">
        <v>651</v>
      </c>
      <c r="I166" t="s">
        <v>677</v>
      </c>
      <c r="J166" t="s">
        <v>1515</v>
      </c>
      <c r="K166" t="s">
        <v>693</v>
      </c>
      <c r="L166" t="s">
        <v>699</v>
      </c>
      <c r="M166" t="s">
        <v>705</v>
      </c>
      <c r="N166" t="s">
        <v>720</v>
      </c>
      <c r="O166" t="s">
        <v>889</v>
      </c>
      <c r="P166">
        <v>918.42</v>
      </c>
      <c r="Q166">
        <v>1511.71</v>
      </c>
      <c r="R166" t="s">
        <v>1496</v>
      </c>
      <c r="S166" s="31">
        <v>0.02</v>
      </c>
      <c r="T166">
        <v>8</v>
      </c>
      <c r="U166">
        <v>11851.806399999999</v>
      </c>
      <c r="V166">
        <v>1075035.5428399993</v>
      </c>
      <c r="W166">
        <v>7347.36</v>
      </c>
      <c r="X166">
        <v>4504.4463999999998</v>
      </c>
      <c r="Y166" s="31">
        <v>0.38006412254590999</v>
      </c>
      <c r="Z166">
        <v>202406</v>
      </c>
      <c r="AA166">
        <v>202301</v>
      </c>
      <c r="AB166" t="s">
        <v>1458</v>
      </c>
      <c r="AC166">
        <v>17</v>
      </c>
      <c r="AD166" t="s">
        <v>1484</v>
      </c>
      <c r="AE166">
        <v>0</v>
      </c>
      <c r="AF166">
        <v>0</v>
      </c>
    </row>
    <row r="167" spans="1:32" x14ac:dyDescent="0.25">
      <c r="A167" t="s">
        <v>172</v>
      </c>
      <c r="B167" s="4">
        <v>44976</v>
      </c>
      <c r="C167" t="s">
        <v>1451</v>
      </c>
      <c r="D167" t="s">
        <v>1479</v>
      </c>
      <c r="E167" s="4">
        <v>44997</v>
      </c>
      <c r="F167">
        <v>21</v>
      </c>
      <c r="G167" t="s">
        <v>641</v>
      </c>
      <c r="H167" t="s">
        <v>648</v>
      </c>
      <c r="I167" t="s">
        <v>663</v>
      </c>
      <c r="J167" t="s">
        <v>1501</v>
      </c>
      <c r="K167" t="s">
        <v>697</v>
      </c>
      <c r="L167" t="s">
        <v>703</v>
      </c>
      <c r="M167" t="s">
        <v>708</v>
      </c>
      <c r="N167" t="s">
        <v>724</v>
      </c>
      <c r="O167" t="s">
        <v>890</v>
      </c>
      <c r="P167">
        <v>1234.81</v>
      </c>
      <c r="Q167">
        <v>2055.2399999999998</v>
      </c>
      <c r="R167" t="s">
        <v>1492</v>
      </c>
      <c r="S167" s="31">
        <v>5.2999999999999999E-2</v>
      </c>
      <c r="T167">
        <v>44</v>
      </c>
      <c r="U167">
        <v>85637.740319999997</v>
      </c>
      <c r="V167">
        <v>1075035.5428399993</v>
      </c>
      <c r="W167">
        <v>54331.64</v>
      </c>
      <c r="X167">
        <v>31306.100319999998</v>
      </c>
      <c r="Y167" s="31">
        <v>0.36556429680441616</v>
      </c>
      <c r="Z167">
        <v>202302</v>
      </c>
      <c r="AA167">
        <v>202301</v>
      </c>
      <c r="AB167" t="s">
        <v>1451</v>
      </c>
      <c r="AC167">
        <v>1</v>
      </c>
      <c r="AD167" t="s">
        <v>1484</v>
      </c>
      <c r="AE167">
        <v>0</v>
      </c>
      <c r="AF167">
        <v>0</v>
      </c>
    </row>
    <row r="168" spans="1:32" x14ac:dyDescent="0.25">
      <c r="A168" t="s">
        <v>173</v>
      </c>
      <c r="B168" s="4">
        <v>45034</v>
      </c>
      <c r="C168" t="s">
        <v>1446</v>
      </c>
      <c r="D168" t="s">
        <v>1480</v>
      </c>
      <c r="E168" s="4">
        <v>45064</v>
      </c>
      <c r="F168">
        <v>30</v>
      </c>
      <c r="G168" t="s">
        <v>639</v>
      </c>
      <c r="H168" t="s">
        <v>651</v>
      </c>
      <c r="I168" t="s">
        <v>668</v>
      </c>
      <c r="J168" t="s">
        <v>1506</v>
      </c>
      <c r="K168" t="s">
        <v>695</v>
      </c>
      <c r="L168" t="s">
        <v>699</v>
      </c>
      <c r="M168" t="s">
        <v>714</v>
      </c>
      <c r="N168" t="s">
        <v>723</v>
      </c>
      <c r="O168" t="s">
        <v>891</v>
      </c>
      <c r="P168">
        <v>329.03</v>
      </c>
      <c r="Q168">
        <v>391.15</v>
      </c>
      <c r="R168" t="s">
        <v>1490</v>
      </c>
      <c r="S168" s="31">
        <v>0.19700000000000001</v>
      </c>
      <c r="T168">
        <v>46</v>
      </c>
      <c r="U168">
        <v>14448.298699999998</v>
      </c>
      <c r="V168">
        <v>1075035.5428399993</v>
      </c>
      <c r="W168">
        <v>15135.38</v>
      </c>
      <c r="X168">
        <v>-687.08130000000165</v>
      </c>
      <c r="Y168" s="31">
        <v>-4.7554477815440081E-2</v>
      </c>
      <c r="Z168">
        <v>202304</v>
      </c>
      <c r="AA168">
        <v>202301</v>
      </c>
      <c r="AB168" t="s">
        <v>1446</v>
      </c>
      <c r="AC168">
        <v>3</v>
      </c>
      <c r="AD168" t="s">
        <v>1484</v>
      </c>
      <c r="AE168">
        <v>0</v>
      </c>
      <c r="AF168">
        <v>0</v>
      </c>
    </row>
    <row r="169" spans="1:32" x14ac:dyDescent="0.25">
      <c r="A169" t="s">
        <v>174</v>
      </c>
      <c r="B169" s="4">
        <v>45435</v>
      </c>
      <c r="C169" t="s">
        <v>1463</v>
      </c>
      <c r="D169" t="s">
        <v>1480</v>
      </c>
      <c r="E169" s="4">
        <v>45457</v>
      </c>
      <c r="F169">
        <v>22</v>
      </c>
      <c r="G169" t="s">
        <v>641</v>
      </c>
      <c r="H169" t="s">
        <v>649</v>
      </c>
      <c r="I169" t="s">
        <v>665</v>
      </c>
      <c r="J169" t="s">
        <v>1503</v>
      </c>
      <c r="K169" t="s">
        <v>697</v>
      </c>
      <c r="L169" t="s">
        <v>700</v>
      </c>
      <c r="M169" t="s">
        <v>717</v>
      </c>
      <c r="N169" t="s">
        <v>724</v>
      </c>
      <c r="O169" t="s">
        <v>892</v>
      </c>
      <c r="P169">
        <v>1481.74</v>
      </c>
      <c r="Q169">
        <v>1848.97</v>
      </c>
      <c r="R169" t="s">
        <v>1492</v>
      </c>
      <c r="S169" s="31">
        <v>0.254</v>
      </c>
      <c r="T169">
        <v>9</v>
      </c>
      <c r="U169">
        <v>12413.98458</v>
      </c>
      <c r="V169">
        <v>1075035.5428399993</v>
      </c>
      <c r="W169">
        <v>13335.66</v>
      </c>
      <c r="X169">
        <v>-921.67541999999958</v>
      </c>
      <c r="Y169" s="31">
        <v>-7.4244930309072407E-2</v>
      </c>
      <c r="Z169">
        <v>202405</v>
      </c>
      <c r="AA169">
        <v>202301</v>
      </c>
      <c r="AB169" t="s">
        <v>1462</v>
      </c>
      <c r="AC169">
        <v>16</v>
      </c>
      <c r="AD169" t="s">
        <v>1484</v>
      </c>
      <c r="AE169">
        <v>0</v>
      </c>
      <c r="AF169">
        <v>1</v>
      </c>
    </row>
    <row r="170" spans="1:32" x14ac:dyDescent="0.25">
      <c r="A170" t="s">
        <v>175</v>
      </c>
      <c r="B170" s="4">
        <v>45206</v>
      </c>
      <c r="C170" t="s">
        <v>1476</v>
      </c>
      <c r="D170" t="s">
        <v>1482</v>
      </c>
      <c r="E170" s="4">
        <v>45222</v>
      </c>
      <c r="F170">
        <v>16</v>
      </c>
      <c r="G170" t="s">
        <v>639</v>
      </c>
      <c r="H170" t="s">
        <v>646</v>
      </c>
      <c r="I170" t="s">
        <v>688</v>
      </c>
      <c r="J170" t="s">
        <v>1526</v>
      </c>
      <c r="K170" t="s">
        <v>696</v>
      </c>
      <c r="L170" t="s">
        <v>699</v>
      </c>
      <c r="M170" t="s">
        <v>707</v>
      </c>
      <c r="N170" t="s">
        <v>724</v>
      </c>
      <c r="O170" t="s">
        <v>893</v>
      </c>
      <c r="P170">
        <v>906.81</v>
      </c>
      <c r="Q170">
        <v>1395.56</v>
      </c>
      <c r="R170" t="s">
        <v>1496</v>
      </c>
      <c r="S170" s="31">
        <v>0.185</v>
      </c>
      <c r="T170">
        <v>6</v>
      </c>
      <c r="U170">
        <v>6824.2884000000004</v>
      </c>
      <c r="V170">
        <v>1075035.5428399993</v>
      </c>
      <c r="W170">
        <v>5440.86</v>
      </c>
      <c r="X170">
        <v>1383.4284000000007</v>
      </c>
      <c r="Y170" s="31">
        <v>0.20272126834498974</v>
      </c>
      <c r="Z170">
        <v>202310</v>
      </c>
      <c r="AA170">
        <v>202301</v>
      </c>
      <c r="AB170" t="s">
        <v>1476</v>
      </c>
      <c r="AC170">
        <v>9</v>
      </c>
      <c r="AD170" t="s">
        <v>1484</v>
      </c>
      <c r="AE170">
        <v>0</v>
      </c>
      <c r="AF170">
        <v>0</v>
      </c>
    </row>
    <row r="171" spans="1:32" x14ac:dyDescent="0.25">
      <c r="A171" t="s">
        <v>176</v>
      </c>
      <c r="B171" s="4">
        <v>45574</v>
      </c>
      <c r="C171" t="s">
        <v>1464</v>
      </c>
      <c r="D171" t="s">
        <v>1482</v>
      </c>
      <c r="E171" s="4">
        <v>45604</v>
      </c>
      <c r="F171">
        <v>30</v>
      </c>
      <c r="G171" t="s">
        <v>641</v>
      </c>
      <c r="H171" t="s">
        <v>650</v>
      </c>
      <c r="I171" t="s">
        <v>685</v>
      </c>
      <c r="J171" t="s">
        <v>1523</v>
      </c>
      <c r="K171" t="s">
        <v>697</v>
      </c>
      <c r="L171" t="s">
        <v>702</v>
      </c>
      <c r="M171" t="s">
        <v>705</v>
      </c>
      <c r="N171" t="s">
        <v>719</v>
      </c>
      <c r="O171" t="s">
        <v>894</v>
      </c>
      <c r="P171">
        <v>343.85</v>
      </c>
      <c r="Q171">
        <v>538.04</v>
      </c>
      <c r="R171" t="s">
        <v>1490</v>
      </c>
      <c r="S171" s="31">
        <v>0.13900000000000001</v>
      </c>
      <c r="T171">
        <v>5</v>
      </c>
      <c r="U171">
        <v>2316.2621999999997</v>
      </c>
      <c r="V171">
        <v>1075035.5428399993</v>
      </c>
      <c r="W171">
        <v>1719.25</v>
      </c>
      <c r="X171">
        <v>597.01219999999967</v>
      </c>
      <c r="Y171" s="31">
        <v>0.25774810813732563</v>
      </c>
      <c r="Z171">
        <v>202410</v>
      </c>
      <c r="AA171">
        <v>202301</v>
      </c>
      <c r="AB171" t="s">
        <v>1476</v>
      </c>
      <c r="AC171">
        <v>21</v>
      </c>
      <c r="AD171" t="s">
        <v>1484</v>
      </c>
      <c r="AE171">
        <v>0</v>
      </c>
      <c r="AF171">
        <v>0</v>
      </c>
    </row>
    <row r="172" spans="1:32" x14ac:dyDescent="0.25">
      <c r="A172" t="s">
        <v>177</v>
      </c>
      <c r="B172" s="4">
        <v>45488</v>
      </c>
      <c r="C172" t="s">
        <v>1456</v>
      </c>
      <c r="D172" t="s">
        <v>1481</v>
      </c>
      <c r="E172" s="4">
        <v>45488</v>
      </c>
      <c r="F172">
        <v>0</v>
      </c>
      <c r="G172" t="s">
        <v>639</v>
      </c>
      <c r="H172" t="s">
        <v>644</v>
      </c>
      <c r="I172" t="s">
        <v>681</v>
      </c>
      <c r="J172" t="s">
        <v>1519</v>
      </c>
      <c r="K172" t="s">
        <v>697</v>
      </c>
      <c r="L172" t="s">
        <v>701</v>
      </c>
      <c r="M172" t="s">
        <v>707</v>
      </c>
      <c r="N172" t="s">
        <v>725</v>
      </c>
      <c r="O172" t="s">
        <v>895</v>
      </c>
      <c r="P172">
        <v>801.77</v>
      </c>
      <c r="Q172">
        <v>1218.92</v>
      </c>
      <c r="R172" t="s">
        <v>1496</v>
      </c>
      <c r="S172" s="31">
        <v>0.254</v>
      </c>
      <c r="T172">
        <v>16</v>
      </c>
      <c r="U172">
        <v>14549.029120000001</v>
      </c>
      <c r="V172">
        <v>1072719.2806399995</v>
      </c>
      <c r="W172">
        <v>12828.32</v>
      </c>
      <c r="X172">
        <v>1720.7091200000013</v>
      </c>
      <c r="Y172" s="31">
        <v>0.11826968698788344</v>
      </c>
      <c r="Z172">
        <v>202407</v>
      </c>
      <c r="AA172">
        <v>202303</v>
      </c>
      <c r="AB172" t="s">
        <v>1468</v>
      </c>
      <c r="AC172">
        <v>16</v>
      </c>
      <c r="AD172" t="s">
        <v>1483</v>
      </c>
      <c r="AE172">
        <v>1</v>
      </c>
      <c r="AF172">
        <v>1</v>
      </c>
    </row>
    <row r="173" spans="1:32" x14ac:dyDescent="0.25">
      <c r="A173" t="s">
        <v>178</v>
      </c>
      <c r="B173" s="4">
        <v>45190</v>
      </c>
      <c r="C173" t="s">
        <v>1465</v>
      </c>
      <c r="D173" t="s">
        <v>1481</v>
      </c>
      <c r="E173" s="4">
        <v>45209</v>
      </c>
      <c r="F173">
        <v>19</v>
      </c>
      <c r="G173" t="s">
        <v>639</v>
      </c>
      <c r="H173" t="s">
        <v>644</v>
      </c>
      <c r="I173" t="s">
        <v>681</v>
      </c>
      <c r="J173" t="s">
        <v>1519</v>
      </c>
      <c r="K173" t="s">
        <v>694</v>
      </c>
      <c r="L173" t="s">
        <v>700</v>
      </c>
      <c r="M173" t="s">
        <v>718</v>
      </c>
      <c r="N173" t="s">
        <v>719</v>
      </c>
      <c r="O173" t="s">
        <v>896</v>
      </c>
      <c r="P173">
        <v>845.63</v>
      </c>
      <c r="Q173">
        <v>2062.12</v>
      </c>
      <c r="R173" t="s">
        <v>1496</v>
      </c>
      <c r="S173" s="31">
        <v>0.13400000000000001</v>
      </c>
      <c r="T173">
        <v>5</v>
      </c>
      <c r="U173">
        <v>8928.9795999999988</v>
      </c>
      <c r="V173">
        <v>1072719.2806399995</v>
      </c>
      <c r="W173">
        <v>4228.1499999999996</v>
      </c>
      <c r="X173">
        <v>4700.8295999999991</v>
      </c>
      <c r="Y173" s="31">
        <v>0.52646884757133949</v>
      </c>
      <c r="Z173">
        <v>202309</v>
      </c>
      <c r="AA173">
        <v>202303</v>
      </c>
      <c r="AB173" t="s">
        <v>1465</v>
      </c>
      <c r="AC173">
        <v>6</v>
      </c>
      <c r="AD173" t="s">
        <v>1484</v>
      </c>
      <c r="AE173">
        <v>0</v>
      </c>
      <c r="AF173">
        <v>0</v>
      </c>
    </row>
    <row r="174" spans="1:32" x14ac:dyDescent="0.25">
      <c r="A174" t="s">
        <v>179</v>
      </c>
      <c r="B174" s="4">
        <v>44981</v>
      </c>
      <c r="C174" t="s">
        <v>1451</v>
      </c>
      <c r="D174" t="s">
        <v>1479</v>
      </c>
      <c r="E174" s="4">
        <v>44994</v>
      </c>
      <c r="F174">
        <v>13</v>
      </c>
      <c r="G174" t="s">
        <v>640</v>
      </c>
      <c r="H174" t="s">
        <v>652</v>
      </c>
      <c r="I174" t="s">
        <v>692</v>
      </c>
      <c r="J174" t="s">
        <v>1532</v>
      </c>
      <c r="K174" t="s">
        <v>698</v>
      </c>
      <c r="L174" t="s">
        <v>700</v>
      </c>
      <c r="M174" t="s">
        <v>716</v>
      </c>
      <c r="N174" t="s">
        <v>719</v>
      </c>
      <c r="O174" t="s">
        <v>897</v>
      </c>
      <c r="P174">
        <v>6.85</v>
      </c>
      <c r="Q174">
        <v>10.18</v>
      </c>
      <c r="R174" t="s">
        <v>1490</v>
      </c>
      <c r="S174" s="31">
        <v>4.7E-2</v>
      </c>
      <c r="T174">
        <v>10</v>
      </c>
      <c r="U174">
        <v>97.0154</v>
      </c>
      <c r="V174">
        <v>1063790.3010399996</v>
      </c>
      <c r="W174">
        <v>68.5</v>
      </c>
      <c r="X174">
        <v>28.5154</v>
      </c>
      <c r="Y174" s="31">
        <v>0.2939265312517394</v>
      </c>
      <c r="Z174">
        <v>202302</v>
      </c>
      <c r="AA174">
        <v>202301</v>
      </c>
      <c r="AB174" t="s">
        <v>1451</v>
      </c>
      <c r="AC174">
        <v>1</v>
      </c>
      <c r="AD174" t="s">
        <v>1484</v>
      </c>
      <c r="AE174">
        <v>0</v>
      </c>
      <c r="AF174">
        <v>0</v>
      </c>
    </row>
    <row r="175" spans="1:32" x14ac:dyDescent="0.25">
      <c r="A175" t="s">
        <v>180</v>
      </c>
      <c r="B175" s="4">
        <v>45798</v>
      </c>
      <c r="C175" t="s">
        <v>1471</v>
      </c>
      <c r="D175" t="s">
        <v>1480</v>
      </c>
      <c r="E175" s="4">
        <v>45800</v>
      </c>
      <c r="F175">
        <v>2</v>
      </c>
      <c r="G175" t="s">
        <v>638</v>
      </c>
      <c r="H175" t="s">
        <v>653</v>
      </c>
      <c r="I175" t="s">
        <v>674</v>
      </c>
      <c r="J175" t="s">
        <v>1512</v>
      </c>
      <c r="K175" t="s">
        <v>695</v>
      </c>
      <c r="L175" t="s">
        <v>702</v>
      </c>
      <c r="M175" t="s">
        <v>711</v>
      </c>
      <c r="N175" t="s">
        <v>723</v>
      </c>
      <c r="O175" t="s">
        <v>898</v>
      </c>
      <c r="P175">
        <v>1263.8399999999999</v>
      </c>
      <c r="Q175">
        <v>2281.7199999999998</v>
      </c>
      <c r="R175" t="s">
        <v>1492</v>
      </c>
      <c r="S175" s="31">
        <v>7.8E-2</v>
      </c>
      <c r="T175">
        <v>15</v>
      </c>
      <c r="U175">
        <v>31556.187599999997</v>
      </c>
      <c r="V175">
        <v>1063693.2856399994</v>
      </c>
      <c r="W175">
        <v>18957.599999999999</v>
      </c>
      <c r="X175">
        <v>12598.587599999999</v>
      </c>
      <c r="Y175" s="31">
        <v>0.39924301882398494</v>
      </c>
      <c r="Z175">
        <v>202505</v>
      </c>
      <c r="AA175">
        <v>202301</v>
      </c>
      <c r="AB175" t="s">
        <v>1462</v>
      </c>
      <c r="AC175">
        <v>28</v>
      </c>
      <c r="AD175" t="s">
        <v>1483</v>
      </c>
      <c r="AE175">
        <v>1</v>
      </c>
      <c r="AF175">
        <v>0</v>
      </c>
    </row>
    <row r="176" spans="1:32" x14ac:dyDescent="0.25">
      <c r="A176" t="s">
        <v>181</v>
      </c>
      <c r="B176" s="4">
        <v>45435</v>
      </c>
      <c r="C176" t="s">
        <v>1463</v>
      </c>
      <c r="D176" t="s">
        <v>1480</v>
      </c>
      <c r="E176" s="4">
        <v>45446</v>
      </c>
      <c r="F176">
        <v>11</v>
      </c>
      <c r="G176" t="s">
        <v>638</v>
      </c>
      <c r="H176" t="s">
        <v>653</v>
      </c>
      <c r="I176" t="s">
        <v>674</v>
      </c>
      <c r="J176" t="s">
        <v>1512</v>
      </c>
      <c r="K176" t="s">
        <v>697</v>
      </c>
      <c r="L176" t="s">
        <v>702</v>
      </c>
      <c r="M176" t="s">
        <v>713</v>
      </c>
      <c r="N176" t="s">
        <v>720</v>
      </c>
      <c r="O176" t="s">
        <v>899</v>
      </c>
      <c r="P176">
        <v>180.89</v>
      </c>
      <c r="Q176">
        <v>249.57</v>
      </c>
      <c r="R176" t="s">
        <v>1490</v>
      </c>
      <c r="S176" s="31">
        <v>2.1999999999999999E-2</v>
      </c>
      <c r="T176">
        <v>8</v>
      </c>
      <c r="U176">
        <v>1952.6356799999999</v>
      </c>
      <c r="V176">
        <v>1063693.2856399994</v>
      </c>
      <c r="W176">
        <v>1447.12</v>
      </c>
      <c r="X176">
        <v>505.51567999999997</v>
      </c>
      <c r="Y176" s="31">
        <v>0.25888888806948362</v>
      </c>
      <c r="Z176">
        <v>202405</v>
      </c>
      <c r="AA176">
        <v>202301</v>
      </c>
      <c r="AB176" t="s">
        <v>1462</v>
      </c>
      <c r="AC176">
        <v>16</v>
      </c>
      <c r="AD176" t="s">
        <v>1484</v>
      </c>
      <c r="AE176">
        <v>0</v>
      </c>
      <c r="AF176">
        <v>0</v>
      </c>
    </row>
    <row r="177" spans="1:32" x14ac:dyDescent="0.25">
      <c r="A177" t="s">
        <v>182</v>
      </c>
      <c r="B177" s="4">
        <v>45761</v>
      </c>
      <c r="C177" t="s">
        <v>1473</v>
      </c>
      <c r="D177" t="s">
        <v>1480</v>
      </c>
      <c r="E177" s="4">
        <v>45781</v>
      </c>
      <c r="F177">
        <v>20</v>
      </c>
      <c r="G177" t="s">
        <v>641</v>
      </c>
      <c r="H177" t="s">
        <v>650</v>
      </c>
      <c r="I177" t="s">
        <v>666</v>
      </c>
      <c r="J177" t="s">
        <v>1504</v>
      </c>
      <c r="K177" t="s">
        <v>698</v>
      </c>
      <c r="L177" t="s">
        <v>701</v>
      </c>
      <c r="M177" t="s">
        <v>715</v>
      </c>
      <c r="N177" t="s">
        <v>724</v>
      </c>
      <c r="O177" t="s">
        <v>900</v>
      </c>
      <c r="P177">
        <v>1413.87</v>
      </c>
      <c r="Q177">
        <v>3275</v>
      </c>
      <c r="R177" t="s">
        <v>1492</v>
      </c>
      <c r="S177" s="31">
        <v>0.255</v>
      </c>
      <c r="T177">
        <v>38</v>
      </c>
      <c r="U177">
        <v>92715.25</v>
      </c>
      <c r="V177">
        <v>1063693.2856399994</v>
      </c>
      <c r="W177">
        <v>53727.06</v>
      </c>
      <c r="X177">
        <v>38988.19</v>
      </c>
      <c r="Y177" s="31">
        <v>0.42051539525590453</v>
      </c>
      <c r="Z177">
        <v>202504</v>
      </c>
      <c r="AA177">
        <v>202301</v>
      </c>
      <c r="AB177" t="s">
        <v>1446</v>
      </c>
      <c r="AC177">
        <v>27</v>
      </c>
      <c r="AD177" t="s">
        <v>1484</v>
      </c>
      <c r="AE177">
        <v>0</v>
      </c>
      <c r="AF177">
        <v>1</v>
      </c>
    </row>
    <row r="178" spans="1:32" x14ac:dyDescent="0.25">
      <c r="A178" t="s">
        <v>183</v>
      </c>
      <c r="B178" s="4">
        <v>45165</v>
      </c>
      <c r="C178" t="s">
        <v>1448</v>
      </c>
      <c r="D178" t="s">
        <v>1481</v>
      </c>
      <c r="E178" s="4">
        <v>45180</v>
      </c>
      <c r="F178">
        <v>15</v>
      </c>
      <c r="G178" t="s">
        <v>641</v>
      </c>
      <c r="H178" t="s">
        <v>650</v>
      </c>
      <c r="I178" t="s">
        <v>675</v>
      </c>
      <c r="J178" t="s">
        <v>1513</v>
      </c>
      <c r="K178" t="s">
        <v>696</v>
      </c>
      <c r="L178" t="s">
        <v>701</v>
      </c>
      <c r="M178" t="s">
        <v>717</v>
      </c>
      <c r="N178" t="s">
        <v>720</v>
      </c>
      <c r="O178" t="s">
        <v>901</v>
      </c>
      <c r="P178">
        <v>943.79</v>
      </c>
      <c r="Q178">
        <v>1913.76</v>
      </c>
      <c r="R178" t="s">
        <v>1496</v>
      </c>
      <c r="S178" s="31">
        <v>9.0999999999999998E-2</v>
      </c>
      <c r="T178">
        <v>9</v>
      </c>
      <c r="U178">
        <v>15656.47056</v>
      </c>
      <c r="V178">
        <v>1063693.2856399994</v>
      </c>
      <c r="W178">
        <v>8494.11</v>
      </c>
      <c r="X178">
        <v>7162.3605599999992</v>
      </c>
      <c r="Y178" s="31">
        <v>0.45746967891338081</v>
      </c>
      <c r="Z178">
        <v>202308</v>
      </c>
      <c r="AA178">
        <v>202301</v>
      </c>
      <c r="AB178" t="s">
        <v>1448</v>
      </c>
      <c r="AC178">
        <v>7</v>
      </c>
      <c r="AD178" t="s">
        <v>1484</v>
      </c>
      <c r="AE178">
        <v>0</v>
      </c>
      <c r="AF178">
        <v>0</v>
      </c>
    </row>
    <row r="179" spans="1:32" x14ac:dyDescent="0.25">
      <c r="A179" t="s">
        <v>184</v>
      </c>
      <c r="B179" s="4">
        <v>45325</v>
      </c>
      <c r="C179" t="s">
        <v>1452</v>
      </c>
      <c r="D179" t="s">
        <v>1479</v>
      </c>
      <c r="E179" s="4">
        <v>45343</v>
      </c>
      <c r="F179">
        <v>18</v>
      </c>
      <c r="G179" t="s">
        <v>641</v>
      </c>
      <c r="H179" t="s">
        <v>648</v>
      </c>
      <c r="I179" t="s">
        <v>690</v>
      </c>
      <c r="J179" t="s">
        <v>1529</v>
      </c>
      <c r="K179" t="s">
        <v>693</v>
      </c>
      <c r="L179" t="s">
        <v>699</v>
      </c>
      <c r="M179" t="s">
        <v>714</v>
      </c>
      <c r="N179" t="s">
        <v>719</v>
      </c>
      <c r="O179" t="s">
        <v>902</v>
      </c>
      <c r="P179">
        <v>39.229999999999997</v>
      </c>
      <c r="Q179">
        <v>30.09</v>
      </c>
      <c r="R179" t="s">
        <v>1490</v>
      </c>
      <c r="S179" s="31">
        <v>0.17699999999999999</v>
      </c>
      <c r="T179">
        <v>13</v>
      </c>
      <c r="U179">
        <v>321.93290999999999</v>
      </c>
      <c r="V179">
        <v>1063693.2856399994</v>
      </c>
      <c r="W179">
        <v>509.98999999999995</v>
      </c>
      <c r="X179">
        <v>-188.05708999999996</v>
      </c>
      <c r="Y179" s="31">
        <v>-0.58414993981199359</v>
      </c>
      <c r="Z179">
        <v>202402</v>
      </c>
      <c r="AA179">
        <v>202301</v>
      </c>
      <c r="AB179" t="s">
        <v>1451</v>
      </c>
      <c r="AC179">
        <v>13</v>
      </c>
      <c r="AD179" t="s">
        <v>1484</v>
      </c>
      <c r="AE179">
        <v>0</v>
      </c>
      <c r="AF179">
        <v>0</v>
      </c>
    </row>
    <row r="180" spans="1:32" x14ac:dyDescent="0.25">
      <c r="A180" t="s">
        <v>185</v>
      </c>
      <c r="B180" s="4">
        <v>45021</v>
      </c>
      <c r="C180" t="s">
        <v>1446</v>
      </c>
      <c r="D180" t="s">
        <v>1480</v>
      </c>
      <c r="E180" s="4">
        <v>45032</v>
      </c>
      <c r="F180">
        <v>11</v>
      </c>
      <c r="G180" t="s">
        <v>640</v>
      </c>
      <c r="H180" t="s">
        <v>645</v>
      </c>
      <c r="I180" t="s">
        <v>680</v>
      </c>
      <c r="J180" t="s">
        <v>1518</v>
      </c>
      <c r="K180" t="s">
        <v>695</v>
      </c>
      <c r="L180" t="s">
        <v>700</v>
      </c>
      <c r="M180" t="s">
        <v>711</v>
      </c>
      <c r="N180" t="s">
        <v>724</v>
      </c>
      <c r="O180" t="s">
        <v>903</v>
      </c>
      <c r="P180">
        <v>213.1</v>
      </c>
      <c r="Q180">
        <v>501.31</v>
      </c>
      <c r="R180" t="s">
        <v>1490</v>
      </c>
      <c r="S180" s="31">
        <v>5.6000000000000001E-2</v>
      </c>
      <c r="T180">
        <v>15</v>
      </c>
      <c r="U180">
        <v>7098.5495999999994</v>
      </c>
      <c r="V180">
        <v>1063371.3527299995</v>
      </c>
      <c r="W180">
        <v>3196.5</v>
      </c>
      <c r="X180">
        <v>3902.0495999999994</v>
      </c>
      <c r="Y180" s="31">
        <v>0.54969674368409005</v>
      </c>
      <c r="Z180">
        <v>202304</v>
      </c>
      <c r="AA180">
        <v>202301</v>
      </c>
      <c r="AB180" t="s">
        <v>1446</v>
      </c>
      <c r="AC180">
        <v>3</v>
      </c>
      <c r="AD180" t="s">
        <v>1484</v>
      </c>
      <c r="AE180">
        <v>0</v>
      </c>
      <c r="AF180">
        <v>0</v>
      </c>
    </row>
    <row r="181" spans="1:32" x14ac:dyDescent="0.25">
      <c r="A181" t="s">
        <v>186</v>
      </c>
      <c r="B181" s="4">
        <v>45890</v>
      </c>
      <c r="C181" t="s">
        <v>1449</v>
      </c>
      <c r="D181" t="s">
        <v>1481</v>
      </c>
      <c r="E181" s="4">
        <v>45912</v>
      </c>
      <c r="F181">
        <v>22</v>
      </c>
      <c r="G181" t="s">
        <v>639</v>
      </c>
      <c r="H181" t="s">
        <v>651</v>
      </c>
      <c r="I181" t="s">
        <v>668</v>
      </c>
      <c r="J181" t="s">
        <v>1506</v>
      </c>
      <c r="K181" t="s">
        <v>694</v>
      </c>
      <c r="L181" t="s">
        <v>699</v>
      </c>
      <c r="M181" t="s">
        <v>709</v>
      </c>
      <c r="N181" t="s">
        <v>720</v>
      </c>
      <c r="O181" t="s">
        <v>904</v>
      </c>
      <c r="P181">
        <v>352.66</v>
      </c>
      <c r="Q181">
        <v>411.18</v>
      </c>
      <c r="R181" t="s">
        <v>1490</v>
      </c>
      <c r="S181" s="31">
        <v>0.17299999999999999</v>
      </c>
      <c r="T181">
        <v>13</v>
      </c>
      <c r="U181">
        <v>4420.5961799999995</v>
      </c>
      <c r="V181">
        <v>1063371.3527299995</v>
      </c>
      <c r="W181">
        <v>4584.58</v>
      </c>
      <c r="X181">
        <v>-163.98382000000038</v>
      </c>
      <c r="Y181" s="31">
        <v>-3.7095408248758066E-2</v>
      </c>
      <c r="Z181">
        <v>202508</v>
      </c>
      <c r="AA181">
        <v>202301</v>
      </c>
      <c r="AB181" t="s">
        <v>1448</v>
      </c>
      <c r="AC181">
        <v>31</v>
      </c>
      <c r="AD181" t="s">
        <v>1484</v>
      </c>
      <c r="AE181">
        <v>0</v>
      </c>
      <c r="AF181">
        <v>0</v>
      </c>
    </row>
    <row r="182" spans="1:32" x14ac:dyDescent="0.25">
      <c r="A182" t="s">
        <v>187</v>
      </c>
      <c r="B182" s="4">
        <v>45915</v>
      </c>
      <c r="C182" t="s">
        <v>1467</v>
      </c>
      <c r="D182" t="s">
        <v>1481</v>
      </c>
      <c r="E182" s="4">
        <v>45918</v>
      </c>
      <c r="F182">
        <v>3</v>
      </c>
      <c r="G182" t="s">
        <v>640</v>
      </c>
      <c r="H182" t="s">
        <v>647</v>
      </c>
      <c r="I182" t="s">
        <v>684</v>
      </c>
      <c r="J182" t="s">
        <v>1522</v>
      </c>
      <c r="K182" t="s">
        <v>695</v>
      </c>
      <c r="L182" t="s">
        <v>703</v>
      </c>
      <c r="M182" t="s">
        <v>708</v>
      </c>
      <c r="N182" t="s">
        <v>725</v>
      </c>
      <c r="O182" t="s">
        <v>905</v>
      </c>
      <c r="P182">
        <v>5.5</v>
      </c>
      <c r="Q182">
        <v>5.92</v>
      </c>
      <c r="R182" t="s">
        <v>1490</v>
      </c>
      <c r="S182" s="31">
        <v>0.21199999999999999</v>
      </c>
      <c r="T182">
        <v>4</v>
      </c>
      <c r="U182">
        <v>18.659839999999999</v>
      </c>
      <c r="V182">
        <v>1063371.3527299995</v>
      </c>
      <c r="W182">
        <v>22</v>
      </c>
      <c r="X182">
        <v>-3.3401600000000009</v>
      </c>
      <c r="Y182" s="31">
        <v>-0.17900260666758133</v>
      </c>
      <c r="Z182">
        <v>202509</v>
      </c>
      <c r="AA182">
        <v>202301</v>
      </c>
      <c r="AB182" t="s">
        <v>1465</v>
      </c>
      <c r="AC182">
        <v>32</v>
      </c>
      <c r="AD182" t="s">
        <v>1483</v>
      </c>
      <c r="AE182">
        <v>1</v>
      </c>
      <c r="AF182">
        <v>1</v>
      </c>
    </row>
    <row r="183" spans="1:32" x14ac:dyDescent="0.25">
      <c r="A183" t="s">
        <v>188</v>
      </c>
      <c r="B183" s="4">
        <v>45568</v>
      </c>
      <c r="C183" t="s">
        <v>1464</v>
      </c>
      <c r="D183" t="s">
        <v>1482</v>
      </c>
      <c r="E183" s="4">
        <v>45576</v>
      </c>
      <c r="F183">
        <v>8</v>
      </c>
      <c r="G183" t="s">
        <v>639</v>
      </c>
      <c r="H183" t="s">
        <v>651</v>
      </c>
      <c r="I183" t="s">
        <v>691</v>
      </c>
      <c r="J183" t="s">
        <v>1530</v>
      </c>
      <c r="K183" t="s">
        <v>698</v>
      </c>
      <c r="L183" t="s">
        <v>703</v>
      </c>
      <c r="M183" t="s">
        <v>709</v>
      </c>
      <c r="N183" t="s">
        <v>722</v>
      </c>
      <c r="O183" t="s">
        <v>906</v>
      </c>
      <c r="P183">
        <v>1132.6099999999999</v>
      </c>
      <c r="Q183">
        <v>2206.63</v>
      </c>
      <c r="R183" t="s">
        <v>1492</v>
      </c>
      <c r="S183" s="31">
        <v>6.3E-2</v>
      </c>
      <c r="T183">
        <v>20</v>
      </c>
      <c r="U183">
        <v>41352.246200000009</v>
      </c>
      <c r="V183">
        <v>1063371.3527299995</v>
      </c>
      <c r="W183">
        <v>22652.199999999997</v>
      </c>
      <c r="X183">
        <v>18700.046200000012</v>
      </c>
      <c r="Y183" s="31">
        <v>0.45221355351671338</v>
      </c>
      <c r="Z183">
        <v>202410</v>
      </c>
      <c r="AA183">
        <v>202301</v>
      </c>
      <c r="AB183" t="s">
        <v>1476</v>
      </c>
      <c r="AC183">
        <v>21</v>
      </c>
      <c r="AD183" t="s">
        <v>1484</v>
      </c>
      <c r="AE183">
        <v>0</v>
      </c>
      <c r="AF183">
        <v>0</v>
      </c>
    </row>
    <row r="184" spans="1:32" x14ac:dyDescent="0.25">
      <c r="A184" t="s">
        <v>189</v>
      </c>
      <c r="B184" s="4">
        <v>45690</v>
      </c>
      <c r="C184" t="s">
        <v>1453</v>
      </c>
      <c r="D184" t="s">
        <v>1479</v>
      </c>
      <c r="E184" s="4">
        <v>45720</v>
      </c>
      <c r="F184">
        <v>30</v>
      </c>
      <c r="G184" t="s">
        <v>639</v>
      </c>
      <c r="H184" t="s">
        <v>644</v>
      </c>
      <c r="I184" t="s">
        <v>658</v>
      </c>
      <c r="J184" t="s">
        <v>1495</v>
      </c>
      <c r="K184" t="s">
        <v>694</v>
      </c>
      <c r="L184" t="s">
        <v>702</v>
      </c>
      <c r="M184" t="s">
        <v>708</v>
      </c>
      <c r="N184" t="s">
        <v>725</v>
      </c>
      <c r="O184" t="s">
        <v>907</v>
      </c>
      <c r="P184">
        <v>766.59</v>
      </c>
      <c r="Q184">
        <v>1912.8</v>
      </c>
      <c r="R184" t="s">
        <v>1496</v>
      </c>
      <c r="S184" s="31">
        <v>0.19600000000000001</v>
      </c>
      <c r="T184">
        <v>5</v>
      </c>
      <c r="U184">
        <v>7689.4560000000001</v>
      </c>
      <c r="V184">
        <v>1063371.3527299995</v>
      </c>
      <c r="W184">
        <v>3832.9500000000003</v>
      </c>
      <c r="X184">
        <v>3856.5059999999999</v>
      </c>
      <c r="Y184" s="31">
        <v>0.50153170783472845</v>
      </c>
      <c r="Z184">
        <v>202502</v>
      </c>
      <c r="AA184">
        <v>202303</v>
      </c>
      <c r="AB184" t="s">
        <v>1451</v>
      </c>
      <c r="AC184">
        <v>23</v>
      </c>
      <c r="AD184" t="s">
        <v>1484</v>
      </c>
      <c r="AE184">
        <v>0</v>
      </c>
      <c r="AF184">
        <v>0</v>
      </c>
    </row>
    <row r="185" spans="1:32" x14ac:dyDescent="0.25">
      <c r="A185" t="s">
        <v>190</v>
      </c>
      <c r="B185" s="4">
        <v>45157</v>
      </c>
      <c r="C185" t="s">
        <v>1448</v>
      </c>
      <c r="D185" t="s">
        <v>1481</v>
      </c>
      <c r="E185" s="4">
        <v>45161</v>
      </c>
      <c r="F185">
        <v>4</v>
      </c>
      <c r="G185" t="s">
        <v>638</v>
      </c>
      <c r="H185" t="s">
        <v>643</v>
      </c>
      <c r="I185" t="s">
        <v>661</v>
      </c>
      <c r="J185" t="s">
        <v>1499</v>
      </c>
      <c r="K185" t="s">
        <v>697</v>
      </c>
      <c r="L185" t="s">
        <v>700</v>
      </c>
      <c r="M185" t="s">
        <v>705</v>
      </c>
      <c r="N185" t="s">
        <v>724</v>
      </c>
      <c r="O185" t="s">
        <v>908</v>
      </c>
      <c r="P185">
        <v>790.63</v>
      </c>
      <c r="Q185">
        <v>1382.31</v>
      </c>
      <c r="R185" t="s">
        <v>1496</v>
      </c>
      <c r="S185" s="31">
        <v>0.10100000000000001</v>
      </c>
      <c r="T185">
        <v>7</v>
      </c>
      <c r="U185">
        <v>8698.8768300000011</v>
      </c>
      <c r="V185">
        <v>1063371.3527299995</v>
      </c>
      <c r="W185">
        <v>5534.41</v>
      </c>
      <c r="X185">
        <v>3164.4668300000012</v>
      </c>
      <c r="Y185" s="31">
        <v>0.36377878338116448</v>
      </c>
      <c r="Z185">
        <v>202308</v>
      </c>
      <c r="AA185">
        <v>202301</v>
      </c>
      <c r="AB185" t="s">
        <v>1448</v>
      </c>
      <c r="AC185">
        <v>7</v>
      </c>
      <c r="AD185" t="s">
        <v>1483</v>
      </c>
      <c r="AE185">
        <v>1</v>
      </c>
      <c r="AF185">
        <v>0</v>
      </c>
    </row>
    <row r="186" spans="1:32" x14ac:dyDescent="0.25">
      <c r="A186" t="s">
        <v>191</v>
      </c>
      <c r="B186" s="4">
        <v>45587</v>
      </c>
      <c r="C186" t="s">
        <v>1464</v>
      </c>
      <c r="D186" t="s">
        <v>1482</v>
      </c>
      <c r="E186" s="4">
        <v>45594</v>
      </c>
      <c r="F186">
        <v>7</v>
      </c>
      <c r="G186" t="s">
        <v>638</v>
      </c>
      <c r="H186" t="s">
        <v>643</v>
      </c>
      <c r="I186" t="s">
        <v>655</v>
      </c>
      <c r="J186" t="s">
        <v>1491</v>
      </c>
      <c r="K186" t="s">
        <v>698</v>
      </c>
      <c r="L186" t="s">
        <v>702</v>
      </c>
      <c r="M186" t="s">
        <v>716</v>
      </c>
      <c r="N186" t="s">
        <v>724</v>
      </c>
      <c r="O186" t="s">
        <v>909</v>
      </c>
      <c r="P186">
        <v>1023.06</v>
      </c>
      <c r="Q186">
        <v>1355.61</v>
      </c>
      <c r="R186" t="s">
        <v>1492</v>
      </c>
      <c r="S186" s="31">
        <v>0.153</v>
      </c>
      <c r="T186">
        <v>23</v>
      </c>
      <c r="U186">
        <v>26408.63841</v>
      </c>
      <c r="V186">
        <v>1063371.3527299995</v>
      </c>
      <c r="W186">
        <v>23530.379999999997</v>
      </c>
      <c r="X186">
        <v>2878.2584100000022</v>
      </c>
      <c r="Y186" s="31">
        <v>0.10898927711888809</v>
      </c>
      <c r="Z186">
        <v>202410</v>
      </c>
      <c r="AA186">
        <v>202301</v>
      </c>
      <c r="AB186" t="s">
        <v>1476</v>
      </c>
      <c r="AC186">
        <v>21</v>
      </c>
      <c r="AD186" t="s">
        <v>1483</v>
      </c>
      <c r="AE186">
        <v>1</v>
      </c>
      <c r="AF186">
        <v>0</v>
      </c>
    </row>
    <row r="187" spans="1:32" x14ac:dyDescent="0.25">
      <c r="A187" t="s">
        <v>192</v>
      </c>
      <c r="B187" s="4">
        <v>45099</v>
      </c>
      <c r="C187" t="s">
        <v>1458</v>
      </c>
      <c r="D187" t="s">
        <v>1480</v>
      </c>
      <c r="E187" s="4">
        <v>45128</v>
      </c>
      <c r="F187">
        <v>29</v>
      </c>
      <c r="G187" t="s">
        <v>641</v>
      </c>
      <c r="H187" t="s">
        <v>649</v>
      </c>
      <c r="I187" t="s">
        <v>671</v>
      </c>
      <c r="J187" t="s">
        <v>1509</v>
      </c>
      <c r="K187" t="s">
        <v>693</v>
      </c>
      <c r="L187" t="s">
        <v>699</v>
      </c>
      <c r="M187" t="s">
        <v>705</v>
      </c>
      <c r="N187" t="s">
        <v>725</v>
      </c>
      <c r="O187" t="s">
        <v>910</v>
      </c>
      <c r="P187">
        <v>734.34</v>
      </c>
      <c r="Q187">
        <v>887.9</v>
      </c>
      <c r="R187" t="s">
        <v>1496</v>
      </c>
      <c r="S187" s="31">
        <v>2.5000000000000001E-2</v>
      </c>
      <c r="T187">
        <v>12</v>
      </c>
      <c r="U187">
        <v>10388.429999999998</v>
      </c>
      <c r="V187">
        <v>1063371.3527299995</v>
      </c>
      <c r="W187">
        <v>8812.08</v>
      </c>
      <c r="X187">
        <v>1576.3499999999985</v>
      </c>
      <c r="Y187" s="31">
        <v>0.15174092716608753</v>
      </c>
      <c r="Z187">
        <v>202306</v>
      </c>
      <c r="AA187">
        <v>202301</v>
      </c>
      <c r="AB187" t="s">
        <v>1458</v>
      </c>
      <c r="AC187">
        <v>5</v>
      </c>
      <c r="AD187" t="s">
        <v>1484</v>
      </c>
      <c r="AE187">
        <v>0</v>
      </c>
      <c r="AF187">
        <v>0</v>
      </c>
    </row>
    <row r="188" spans="1:32" x14ac:dyDescent="0.25">
      <c r="A188" t="s">
        <v>193</v>
      </c>
      <c r="B188" s="4">
        <v>45670</v>
      </c>
      <c r="C188" t="s">
        <v>1455</v>
      </c>
      <c r="D188" t="s">
        <v>1479</v>
      </c>
      <c r="E188" s="4">
        <v>45696</v>
      </c>
      <c r="F188">
        <v>26</v>
      </c>
      <c r="G188" t="s">
        <v>641</v>
      </c>
      <c r="H188" t="s">
        <v>649</v>
      </c>
      <c r="I188" t="s">
        <v>682</v>
      </c>
      <c r="J188" t="s">
        <v>1520</v>
      </c>
      <c r="K188" t="s">
        <v>695</v>
      </c>
      <c r="L188" t="s">
        <v>1413</v>
      </c>
      <c r="M188" t="s">
        <v>710</v>
      </c>
      <c r="N188" t="s">
        <v>724</v>
      </c>
      <c r="O188" t="s">
        <v>911</v>
      </c>
      <c r="P188">
        <v>594.74</v>
      </c>
      <c r="Q188">
        <v>1020.69</v>
      </c>
      <c r="R188" t="s">
        <v>1496</v>
      </c>
      <c r="S188" s="31">
        <v>0.21099999999999999</v>
      </c>
      <c r="T188">
        <v>6</v>
      </c>
      <c r="U188">
        <v>4831.9464600000001</v>
      </c>
      <c r="V188">
        <v>1063371.3527299995</v>
      </c>
      <c r="W188">
        <v>3568.44</v>
      </c>
      <c r="X188">
        <v>1263.5064600000001</v>
      </c>
      <c r="Y188" s="31">
        <v>0.26149016146176424</v>
      </c>
      <c r="Z188">
        <v>202501</v>
      </c>
      <c r="AA188">
        <v>202301</v>
      </c>
      <c r="AB188" t="s">
        <v>1477</v>
      </c>
      <c r="AC188">
        <v>24</v>
      </c>
      <c r="AD188" t="s">
        <v>1484</v>
      </c>
      <c r="AE188">
        <v>0</v>
      </c>
      <c r="AF188">
        <v>1</v>
      </c>
    </row>
    <row r="189" spans="1:32" x14ac:dyDescent="0.25">
      <c r="A189" t="s">
        <v>136</v>
      </c>
      <c r="B189" s="4">
        <v>44955</v>
      </c>
      <c r="C189" t="s">
        <v>1477</v>
      </c>
      <c r="D189" t="s">
        <v>1479</v>
      </c>
      <c r="E189" s="4">
        <v>44985</v>
      </c>
      <c r="F189">
        <v>30</v>
      </c>
      <c r="G189" t="s">
        <v>639</v>
      </c>
      <c r="H189" t="s">
        <v>646</v>
      </c>
      <c r="I189" t="s">
        <v>660</v>
      </c>
      <c r="J189" t="s">
        <v>1498</v>
      </c>
      <c r="K189" t="s">
        <v>695</v>
      </c>
      <c r="L189" t="s">
        <v>699</v>
      </c>
      <c r="M189" t="s">
        <v>709</v>
      </c>
      <c r="N189" t="s">
        <v>725</v>
      </c>
      <c r="O189" t="s">
        <v>912</v>
      </c>
      <c r="P189">
        <v>1262.0999999999999</v>
      </c>
      <c r="Q189">
        <v>1395.53</v>
      </c>
      <c r="R189" t="s">
        <v>1492</v>
      </c>
      <c r="S189" s="31">
        <v>0.23300000000000001</v>
      </c>
      <c r="T189">
        <v>25</v>
      </c>
      <c r="U189">
        <v>26759.28775</v>
      </c>
      <c r="V189">
        <v>1063371.3527299995</v>
      </c>
      <c r="W189">
        <v>31552.499999999996</v>
      </c>
      <c r="X189">
        <v>-4793.2122499999969</v>
      </c>
      <c r="Y189" s="31">
        <v>-0.17912331205452198</v>
      </c>
      <c r="Z189">
        <v>202301</v>
      </c>
      <c r="AA189">
        <v>202301</v>
      </c>
      <c r="AB189" t="s">
        <v>1477</v>
      </c>
      <c r="AC189">
        <v>0</v>
      </c>
      <c r="AD189" t="s">
        <v>1484</v>
      </c>
      <c r="AE189">
        <v>0</v>
      </c>
      <c r="AF189">
        <v>1</v>
      </c>
    </row>
    <row r="190" spans="1:32" x14ac:dyDescent="0.25">
      <c r="A190" t="s">
        <v>194</v>
      </c>
      <c r="B190" s="4">
        <v>45126</v>
      </c>
      <c r="C190" t="s">
        <v>1468</v>
      </c>
      <c r="D190" t="s">
        <v>1481</v>
      </c>
      <c r="E190" s="4">
        <v>45138</v>
      </c>
      <c r="F190">
        <v>12</v>
      </c>
      <c r="G190" t="s">
        <v>640</v>
      </c>
      <c r="H190" t="s">
        <v>647</v>
      </c>
      <c r="I190" t="s">
        <v>684</v>
      </c>
      <c r="J190" t="s">
        <v>1522</v>
      </c>
      <c r="K190" t="s">
        <v>693</v>
      </c>
      <c r="L190" t="s">
        <v>699</v>
      </c>
      <c r="M190" t="s">
        <v>704</v>
      </c>
      <c r="N190" t="s">
        <v>724</v>
      </c>
      <c r="O190" t="s">
        <v>913</v>
      </c>
      <c r="P190">
        <v>1334.64</v>
      </c>
      <c r="Q190">
        <v>2273.42</v>
      </c>
      <c r="R190" t="s">
        <v>1492</v>
      </c>
      <c r="S190" s="31">
        <v>0.11799999999999999</v>
      </c>
      <c r="T190">
        <v>14</v>
      </c>
      <c r="U190">
        <v>28072.190160000002</v>
      </c>
      <c r="V190">
        <v>1063371.3527299995</v>
      </c>
      <c r="W190">
        <v>18684.960000000003</v>
      </c>
      <c r="X190">
        <v>9387.2301599999992</v>
      </c>
      <c r="Y190" s="31">
        <v>0.33439607335575267</v>
      </c>
      <c r="Z190">
        <v>202307</v>
      </c>
      <c r="AA190">
        <v>202301</v>
      </c>
      <c r="AB190" t="s">
        <v>1468</v>
      </c>
      <c r="AC190">
        <v>6</v>
      </c>
      <c r="AD190" t="s">
        <v>1484</v>
      </c>
      <c r="AE190">
        <v>0</v>
      </c>
      <c r="AF190">
        <v>0</v>
      </c>
    </row>
    <row r="191" spans="1:32" x14ac:dyDescent="0.25">
      <c r="A191" t="s">
        <v>195</v>
      </c>
      <c r="B191" s="4">
        <v>45431</v>
      </c>
      <c r="C191" t="s">
        <v>1463</v>
      </c>
      <c r="D191" t="s">
        <v>1480</v>
      </c>
      <c r="E191" s="4">
        <v>45451</v>
      </c>
      <c r="F191">
        <v>20</v>
      </c>
      <c r="G191" t="s">
        <v>640</v>
      </c>
      <c r="H191" t="s">
        <v>647</v>
      </c>
      <c r="I191" t="s">
        <v>664</v>
      </c>
      <c r="J191" t="s">
        <v>1502</v>
      </c>
      <c r="K191" t="s">
        <v>697</v>
      </c>
      <c r="L191" t="s">
        <v>699</v>
      </c>
      <c r="M191" t="s">
        <v>710</v>
      </c>
      <c r="N191" t="s">
        <v>724</v>
      </c>
      <c r="O191" t="s">
        <v>914</v>
      </c>
      <c r="P191">
        <v>1075.9000000000001</v>
      </c>
      <c r="Q191">
        <v>1242.1500000000001</v>
      </c>
      <c r="R191" t="s">
        <v>1492</v>
      </c>
      <c r="S191" s="31">
        <v>1.2E-2</v>
      </c>
      <c r="T191">
        <v>7</v>
      </c>
      <c r="U191">
        <v>8590.7094000000016</v>
      </c>
      <c r="V191">
        <v>1063371.3527299995</v>
      </c>
      <c r="W191">
        <v>7531.3000000000011</v>
      </c>
      <c r="X191">
        <v>1059.4094000000005</v>
      </c>
      <c r="Y191" s="31">
        <v>0.12332036280961853</v>
      </c>
      <c r="Z191">
        <v>202405</v>
      </c>
      <c r="AA191">
        <v>202301</v>
      </c>
      <c r="AB191" t="s">
        <v>1462</v>
      </c>
      <c r="AC191">
        <v>16</v>
      </c>
      <c r="AD191" t="s">
        <v>1484</v>
      </c>
      <c r="AE191">
        <v>0</v>
      </c>
      <c r="AF191">
        <v>0</v>
      </c>
    </row>
    <row r="192" spans="1:32" x14ac:dyDescent="0.25">
      <c r="A192" t="s">
        <v>196</v>
      </c>
      <c r="B192" s="4">
        <v>45325</v>
      </c>
      <c r="C192" t="s">
        <v>1452</v>
      </c>
      <c r="D192" t="s">
        <v>1479</v>
      </c>
      <c r="E192" s="4">
        <v>45341</v>
      </c>
      <c r="F192">
        <v>16</v>
      </c>
      <c r="G192" t="s">
        <v>639</v>
      </c>
      <c r="H192" t="s">
        <v>651</v>
      </c>
      <c r="I192" t="s">
        <v>668</v>
      </c>
      <c r="J192" t="s">
        <v>1506</v>
      </c>
      <c r="K192" t="s">
        <v>697</v>
      </c>
      <c r="L192" t="s">
        <v>700</v>
      </c>
      <c r="M192" t="s">
        <v>714</v>
      </c>
      <c r="N192" t="s">
        <v>723</v>
      </c>
      <c r="O192" t="s">
        <v>915</v>
      </c>
      <c r="P192">
        <v>993.75</v>
      </c>
      <c r="Q192">
        <v>1310.29</v>
      </c>
      <c r="R192" t="s">
        <v>1496</v>
      </c>
      <c r="S192" s="31">
        <v>0.215</v>
      </c>
      <c r="T192">
        <v>19</v>
      </c>
      <c r="U192">
        <v>19542.975350000001</v>
      </c>
      <c r="V192">
        <v>1063371.3527299995</v>
      </c>
      <c r="W192">
        <v>18881.25</v>
      </c>
      <c r="X192">
        <v>661.72535000000062</v>
      </c>
      <c r="Y192" s="31">
        <v>3.3860010471742245E-2</v>
      </c>
      <c r="Z192">
        <v>202402</v>
      </c>
      <c r="AA192">
        <v>202301</v>
      </c>
      <c r="AB192" t="s">
        <v>1451</v>
      </c>
      <c r="AC192">
        <v>13</v>
      </c>
      <c r="AD192" t="s">
        <v>1484</v>
      </c>
      <c r="AE192">
        <v>0</v>
      </c>
      <c r="AF192">
        <v>1</v>
      </c>
    </row>
    <row r="193" spans="1:32" x14ac:dyDescent="0.25">
      <c r="A193" t="s">
        <v>197</v>
      </c>
      <c r="B193" s="4">
        <v>45146</v>
      </c>
      <c r="C193" t="s">
        <v>1448</v>
      </c>
      <c r="D193" t="s">
        <v>1481</v>
      </c>
      <c r="E193" s="4">
        <v>45160</v>
      </c>
      <c r="F193">
        <v>14</v>
      </c>
      <c r="G193" t="s">
        <v>641</v>
      </c>
      <c r="H193" t="s">
        <v>650</v>
      </c>
      <c r="I193" t="s">
        <v>666</v>
      </c>
      <c r="J193" t="s">
        <v>1504</v>
      </c>
      <c r="K193" t="s">
        <v>695</v>
      </c>
      <c r="L193" t="s">
        <v>703</v>
      </c>
      <c r="M193" t="s">
        <v>717</v>
      </c>
      <c r="N193" t="s">
        <v>724</v>
      </c>
      <c r="O193" t="s">
        <v>916</v>
      </c>
      <c r="P193">
        <v>446.69</v>
      </c>
      <c r="Q193">
        <v>967.25</v>
      </c>
      <c r="R193" t="s">
        <v>1490</v>
      </c>
      <c r="S193" s="31">
        <v>9.4E-2</v>
      </c>
      <c r="T193">
        <v>10</v>
      </c>
      <c r="U193">
        <v>8763.2849999999999</v>
      </c>
      <c r="V193">
        <v>1063371.3527299995</v>
      </c>
      <c r="W193">
        <v>4466.8999999999996</v>
      </c>
      <c r="X193">
        <v>4296.3850000000002</v>
      </c>
      <c r="Y193" s="31">
        <v>0.49027105702941309</v>
      </c>
      <c r="Z193">
        <v>202308</v>
      </c>
      <c r="AA193">
        <v>202301</v>
      </c>
      <c r="AB193" t="s">
        <v>1448</v>
      </c>
      <c r="AC193">
        <v>7</v>
      </c>
      <c r="AD193" t="s">
        <v>1484</v>
      </c>
      <c r="AE193">
        <v>0</v>
      </c>
      <c r="AF193">
        <v>0</v>
      </c>
    </row>
    <row r="194" spans="1:32" x14ac:dyDescent="0.25">
      <c r="A194" t="s">
        <v>198</v>
      </c>
      <c r="B194" s="4">
        <v>45516</v>
      </c>
      <c r="C194" t="s">
        <v>1474</v>
      </c>
      <c r="D194" t="s">
        <v>1481</v>
      </c>
      <c r="E194" s="4">
        <v>45538</v>
      </c>
      <c r="F194">
        <v>22</v>
      </c>
      <c r="G194" t="s">
        <v>640</v>
      </c>
      <c r="H194" t="s">
        <v>652</v>
      </c>
      <c r="I194" t="s">
        <v>689</v>
      </c>
      <c r="J194" t="s">
        <v>1528</v>
      </c>
      <c r="K194" t="s">
        <v>696</v>
      </c>
      <c r="L194" t="s">
        <v>702</v>
      </c>
      <c r="M194" t="s">
        <v>706</v>
      </c>
      <c r="N194" t="s">
        <v>723</v>
      </c>
      <c r="O194" t="s">
        <v>917</v>
      </c>
      <c r="P194">
        <v>797.8</v>
      </c>
      <c r="Q194">
        <v>886.22</v>
      </c>
      <c r="R194" t="s">
        <v>1496</v>
      </c>
      <c r="S194" s="31">
        <v>0.23599999999999999</v>
      </c>
      <c r="T194">
        <v>36</v>
      </c>
      <c r="U194">
        <v>24374.594880000001</v>
      </c>
      <c r="V194">
        <v>1063371.3527299995</v>
      </c>
      <c r="W194">
        <v>28720.799999999999</v>
      </c>
      <c r="X194">
        <v>-4346.2051199999987</v>
      </c>
      <c r="Y194" s="31">
        <v>-0.17830881462428633</v>
      </c>
      <c r="Z194">
        <v>202408</v>
      </c>
      <c r="AA194">
        <v>202301</v>
      </c>
      <c r="AB194" t="s">
        <v>1448</v>
      </c>
      <c r="AC194">
        <v>19</v>
      </c>
      <c r="AD194" t="s">
        <v>1484</v>
      </c>
      <c r="AE194">
        <v>0</v>
      </c>
      <c r="AF194">
        <v>1</v>
      </c>
    </row>
    <row r="195" spans="1:32" x14ac:dyDescent="0.25">
      <c r="A195" t="s">
        <v>199</v>
      </c>
      <c r="B195" s="4">
        <v>45214</v>
      </c>
      <c r="C195" t="s">
        <v>1476</v>
      </c>
      <c r="D195" t="s">
        <v>1482</v>
      </c>
      <c r="E195" s="4">
        <v>45243</v>
      </c>
      <c r="F195">
        <v>29</v>
      </c>
      <c r="G195" t="s">
        <v>639</v>
      </c>
      <c r="H195" t="s">
        <v>651</v>
      </c>
      <c r="I195" t="s">
        <v>668</v>
      </c>
      <c r="J195" t="s">
        <v>1506</v>
      </c>
      <c r="K195" t="s">
        <v>695</v>
      </c>
      <c r="L195" t="s">
        <v>702</v>
      </c>
      <c r="M195" t="s">
        <v>705</v>
      </c>
      <c r="N195" t="s">
        <v>720</v>
      </c>
      <c r="O195" t="s">
        <v>918</v>
      </c>
      <c r="P195">
        <v>986.44</v>
      </c>
      <c r="Q195">
        <v>790.61</v>
      </c>
      <c r="R195" t="s">
        <v>1496</v>
      </c>
      <c r="S195" s="31">
        <v>7.1999999999999995E-2</v>
      </c>
      <c r="T195">
        <v>6</v>
      </c>
      <c r="U195">
        <v>4402.1164799999997</v>
      </c>
      <c r="V195">
        <v>1063371.3527299995</v>
      </c>
      <c r="W195">
        <v>5918.64</v>
      </c>
      <c r="X195">
        <v>-1516.5235200000006</v>
      </c>
      <c r="Y195" s="31">
        <v>-0.34449872621271499</v>
      </c>
      <c r="Z195">
        <v>202310</v>
      </c>
      <c r="AA195">
        <v>202301</v>
      </c>
      <c r="AB195" t="s">
        <v>1476</v>
      </c>
      <c r="AC195">
        <v>9</v>
      </c>
      <c r="AD195" t="s">
        <v>1484</v>
      </c>
      <c r="AE195">
        <v>0</v>
      </c>
      <c r="AF195">
        <v>0</v>
      </c>
    </row>
    <row r="196" spans="1:32" x14ac:dyDescent="0.25">
      <c r="A196" t="s">
        <v>200</v>
      </c>
      <c r="B196" s="4">
        <v>45050</v>
      </c>
      <c r="C196" t="s">
        <v>1462</v>
      </c>
      <c r="D196" t="s">
        <v>1480</v>
      </c>
      <c r="E196" s="4">
        <v>45072</v>
      </c>
      <c r="F196">
        <v>22</v>
      </c>
      <c r="G196" t="s">
        <v>640</v>
      </c>
      <c r="H196" t="s">
        <v>652</v>
      </c>
      <c r="I196" t="s">
        <v>678</v>
      </c>
      <c r="J196" t="s">
        <v>1516</v>
      </c>
      <c r="K196" t="s">
        <v>698</v>
      </c>
      <c r="L196" t="s">
        <v>700</v>
      </c>
      <c r="M196" t="s">
        <v>705</v>
      </c>
      <c r="N196" t="s">
        <v>721</v>
      </c>
      <c r="O196" t="s">
        <v>919</v>
      </c>
      <c r="P196">
        <v>249.71</v>
      </c>
      <c r="Q196">
        <v>361.33</v>
      </c>
      <c r="R196" t="s">
        <v>1490</v>
      </c>
      <c r="S196" s="31">
        <v>9.4E-2</v>
      </c>
      <c r="T196">
        <v>12</v>
      </c>
      <c r="U196">
        <v>3928.3797600000003</v>
      </c>
      <c r="V196">
        <v>1063371.3527299995</v>
      </c>
      <c r="W196">
        <v>2996.52</v>
      </c>
      <c r="X196">
        <v>931.85976000000028</v>
      </c>
      <c r="Y196" s="31">
        <v>0.23721223937881206</v>
      </c>
      <c r="Z196">
        <v>202305</v>
      </c>
      <c r="AA196">
        <v>202301</v>
      </c>
      <c r="AB196" t="s">
        <v>1462</v>
      </c>
      <c r="AC196">
        <v>4</v>
      </c>
      <c r="AD196" t="s">
        <v>1484</v>
      </c>
      <c r="AE196">
        <v>0</v>
      </c>
      <c r="AF196">
        <v>0</v>
      </c>
    </row>
    <row r="197" spans="1:32" x14ac:dyDescent="0.25">
      <c r="A197" t="s">
        <v>201</v>
      </c>
      <c r="B197" s="4">
        <v>45557</v>
      </c>
      <c r="C197" t="s">
        <v>1466</v>
      </c>
      <c r="D197" t="s">
        <v>1481</v>
      </c>
      <c r="E197" s="4">
        <v>45566</v>
      </c>
      <c r="F197">
        <v>9</v>
      </c>
      <c r="G197" t="s">
        <v>640</v>
      </c>
      <c r="H197" t="s">
        <v>647</v>
      </c>
      <c r="I197" t="s">
        <v>662</v>
      </c>
      <c r="J197" t="s">
        <v>1500</v>
      </c>
      <c r="K197" t="s">
        <v>695</v>
      </c>
      <c r="L197" t="s">
        <v>700</v>
      </c>
      <c r="M197" t="s">
        <v>715</v>
      </c>
      <c r="N197" t="s">
        <v>724</v>
      </c>
      <c r="O197" t="s">
        <v>920</v>
      </c>
      <c r="P197">
        <v>1378.8</v>
      </c>
      <c r="Q197">
        <v>1952.04</v>
      </c>
      <c r="R197" t="s">
        <v>1492</v>
      </c>
      <c r="S197" s="31">
        <v>0.159</v>
      </c>
      <c r="T197">
        <v>19</v>
      </c>
      <c r="U197">
        <v>31191.64716</v>
      </c>
      <c r="V197">
        <v>1063371.3527299995</v>
      </c>
      <c r="W197">
        <v>26197.200000000001</v>
      </c>
      <c r="X197">
        <v>4994.4471599999997</v>
      </c>
      <c r="Y197" s="31">
        <v>0.16012130216723058</v>
      </c>
      <c r="Z197">
        <v>202409</v>
      </c>
      <c r="AA197">
        <v>202301</v>
      </c>
      <c r="AB197" t="s">
        <v>1465</v>
      </c>
      <c r="AC197">
        <v>20</v>
      </c>
      <c r="AD197" t="s">
        <v>1484</v>
      </c>
      <c r="AE197">
        <v>0</v>
      </c>
      <c r="AF197">
        <v>0</v>
      </c>
    </row>
    <row r="198" spans="1:32" x14ac:dyDescent="0.25">
      <c r="A198" t="s">
        <v>202</v>
      </c>
      <c r="B198" s="4">
        <v>45588</v>
      </c>
      <c r="C198" t="s">
        <v>1464</v>
      </c>
      <c r="D198" t="s">
        <v>1482</v>
      </c>
      <c r="E198" s="4">
        <v>45610</v>
      </c>
      <c r="F198">
        <v>22</v>
      </c>
      <c r="G198" t="s">
        <v>639</v>
      </c>
      <c r="H198" t="s">
        <v>644</v>
      </c>
      <c r="I198" t="s">
        <v>658</v>
      </c>
      <c r="J198" t="s">
        <v>1495</v>
      </c>
      <c r="K198" t="s">
        <v>695</v>
      </c>
      <c r="L198" t="s">
        <v>703</v>
      </c>
      <c r="M198" t="s">
        <v>709</v>
      </c>
      <c r="N198" t="s">
        <v>722</v>
      </c>
      <c r="O198" t="s">
        <v>921</v>
      </c>
      <c r="P198">
        <v>1406.4</v>
      </c>
      <c r="Q198">
        <v>1564.76</v>
      </c>
      <c r="R198" t="s">
        <v>1492</v>
      </c>
      <c r="S198" s="31">
        <v>0.185</v>
      </c>
      <c r="T198">
        <v>17</v>
      </c>
      <c r="U198">
        <v>21679.749799999998</v>
      </c>
      <c r="V198">
        <v>1063371.3527299995</v>
      </c>
      <c r="W198">
        <v>23908.800000000003</v>
      </c>
      <c r="X198">
        <v>-2229.0502000000051</v>
      </c>
      <c r="Y198" s="31">
        <v>-0.10281715520536151</v>
      </c>
      <c r="Z198">
        <v>202410</v>
      </c>
      <c r="AA198">
        <v>202303</v>
      </c>
      <c r="AB198" t="s">
        <v>1476</v>
      </c>
      <c r="AC198">
        <v>19</v>
      </c>
      <c r="AD198" t="s">
        <v>1484</v>
      </c>
      <c r="AE198">
        <v>0</v>
      </c>
      <c r="AF198">
        <v>0</v>
      </c>
    </row>
    <row r="199" spans="1:32" x14ac:dyDescent="0.25">
      <c r="A199" t="s">
        <v>203</v>
      </c>
      <c r="B199" s="4">
        <v>45333</v>
      </c>
      <c r="C199" t="s">
        <v>1452</v>
      </c>
      <c r="D199" t="s">
        <v>1479</v>
      </c>
      <c r="E199" s="4">
        <v>45354</v>
      </c>
      <c r="F199">
        <v>21</v>
      </c>
      <c r="G199" t="s">
        <v>638</v>
      </c>
      <c r="H199" t="s">
        <v>642</v>
      </c>
      <c r="I199" t="s">
        <v>654</v>
      </c>
      <c r="J199" t="s">
        <v>1489</v>
      </c>
      <c r="K199" t="s">
        <v>698</v>
      </c>
      <c r="L199" t="s">
        <v>700</v>
      </c>
      <c r="M199" t="s">
        <v>709</v>
      </c>
      <c r="N199" t="s">
        <v>722</v>
      </c>
      <c r="O199" t="s">
        <v>922</v>
      </c>
      <c r="P199">
        <v>516.86</v>
      </c>
      <c r="Q199">
        <v>852.54</v>
      </c>
      <c r="R199" t="s">
        <v>1496</v>
      </c>
      <c r="S199" s="31">
        <v>5.0999999999999997E-2</v>
      </c>
      <c r="T199">
        <v>14</v>
      </c>
      <c r="U199">
        <v>11326.846439999999</v>
      </c>
      <c r="V199">
        <v>1063371.3527299995</v>
      </c>
      <c r="W199">
        <v>7236.04</v>
      </c>
      <c r="X199">
        <v>4090.8064399999994</v>
      </c>
      <c r="Y199" s="31">
        <v>0.36116022775355994</v>
      </c>
      <c r="Z199">
        <v>202402</v>
      </c>
      <c r="AA199">
        <v>202301</v>
      </c>
      <c r="AB199" t="s">
        <v>1451</v>
      </c>
      <c r="AC199">
        <v>13</v>
      </c>
      <c r="AD199" t="s">
        <v>1484</v>
      </c>
      <c r="AE199">
        <v>0</v>
      </c>
      <c r="AF199">
        <v>0</v>
      </c>
    </row>
    <row r="200" spans="1:32" x14ac:dyDescent="0.25">
      <c r="A200" t="s">
        <v>204</v>
      </c>
      <c r="B200" s="4">
        <v>44956</v>
      </c>
      <c r="C200" t="s">
        <v>1477</v>
      </c>
      <c r="D200" t="s">
        <v>1479</v>
      </c>
      <c r="E200" s="4">
        <v>44978</v>
      </c>
      <c r="F200">
        <v>22</v>
      </c>
      <c r="G200" t="s">
        <v>641</v>
      </c>
      <c r="H200" t="s">
        <v>648</v>
      </c>
      <c r="I200" t="s">
        <v>676</v>
      </c>
      <c r="J200" t="s">
        <v>1514</v>
      </c>
      <c r="K200" t="s">
        <v>697</v>
      </c>
      <c r="L200" t="s">
        <v>701</v>
      </c>
      <c r="M200" t="s">
        <v>707</v>
      </c>
      <c r="N200" t="s">
        <v>721</v>
      </c>
      <c r="O200" t="s">
        <v>923</v>
      </c>
      <c r="P200">
        <v>1142.8800000000001</v>
      </c>
      <c r="Q200">
        <v>1465.29</v>
      </c>
      <c r="R200" t="s">
        <v>1492</v>
      </c>
      <c r="S200" s="31">
        <v>0.186</v>
      </c>
      <c r="T200">
        <v>7</v>
      </c>
      <c r="U200">
        <v>8349.2224200000001</v>
      </c>
      <c r="V200">
        <v>1063371.3527299995</v>
      </c>
      <c r="W200">
        <v>8000.1600000000008</v>
      </c>
      <c r="X200">
        <v>349.06241999999929</v>
      </c>
      <c r="Y200" s="31">
        <v>4.1807775915017401E-2</v>
      </c>
      <c r="Z200">
        <v>202301</v>
      </c>
      <c r="AA200">
        <v>202301</v>
      </c>
      <c r="AB200" t="s">
        <v>1477</v>
      </c>
      <c r="AC200">
        <v>0</v>
      </c>
      <c r="AD200" t="s">
        <v>1484</v>
      </c>
      <c r="AE200">
        <v>0</v>
      </c>
      <c r="AF200">
        <v>0</v>
      </c>
    </row>
    <row r="201" spans="1:32" x14ac:dyDescent="0.25">
      <c r="A201" t="s">
        <v>205</v>
      </c>
      <c r="B201" s="4">
        <v>45030</v>
      </c>
      <c r="C201" t="s">
        <v>1446</v>
      </c>
      <c r="D201" t="s">
        <v>1480</v>
      </c>
      <c r="E201" s="4">
        <v>45059</v>
      </c>
      <c r="F201">
        <v>29</v>
      </c>
      <c r="G201" t="s">
        <v>641</v>
      </c>
      <c r="H201" t="s">
        <v>648</v>
      </c>
      <c r="I201" t="s">
        <v>690</v>
      </c>
      <c r="J201" t="s">
        <v>1529</v>
      </c>
      <c r="K201" t="s">
        <v>696</v>
      </c>
      <c r="L201" t="s">
        <v>703</v>
      </c>
      <c r="M201" t="s">
        <v>705</v>
      </c>
      <c r="N201" t="s">
        <v>720</v>
      </c>
      <c r="O201" t="s">
        <v>924</v>
      </c>
      <c r="P201">
        <v>1320.33</v>
      </c>
      <c r="Q201">
        <v>2645.23</v>
      </c>
      <c r="R201" t="s">
        <v>1492</v>
      </c>
      <c r="S201" s="31">
        <v>0.155</v>
      </c>
      <c r="T201">
        <v>25</v>
      </c>
      <c r="U201">
        <v>55880.483749999999</v>
      </c>
      <c r="V201">
        <v>1063371.3527299995</v>
      </c>
      <c r="W201">
        <v>33008.25</v>
      </c>
      <c r="X201">
        <v>22872.233749999999</v>
      </c>
      <c r="Y201" s="31">
        <v>0.40930629470436536</v>
      </c>
      <c r="Z201">
        <v>202304</v>
      </c>
      <c r="AA201">
        <v>202301</v>
      </c>
      <c r="AB201" t="s">
        <v>1446</v>
      </c>
      <c r="AC201">
        <v>3</v>
      </c>
      <c r="AD201" t="s">
        <v>1484</v>
      </c>
      <c r="AE201">
        <v>0</v>
      </c>
      <c r="AF201">
        <v>0</v>
      </c>
    </row>
    <row r="202" spans="1:32" x14ac:dyDescent="0.25">
      <c r="A202" t="s">
        <v>206</v>
      </c>
      <c r="B202" s="4">
        <v>44939</v>
      </c>
      <c r="C202" t="s">
        <v>1477</v>
      </c>
      <c r="D202" t="s">
        <v>1479</v>
      </c>
      <c r="E202" s="4">
        <v>44945</v>
      </c>
      <c r="F202">
        <v>6</v>
      </c>
      <c r="G202" t="s">
        <v>640</v>
      </c>
      <c r="H202" t="s">
        <v>652</v>
      </c>
      <c r="I202" t="s">
        <v>669</v>
      </c>
      <c r="J202" t="s">
        <v>1507</v>
      </c>
      <c r="K202" t="s">
        <v>693</v>
      </c>
      <c r="L202" t="s">
        <v>703</v>
      </c>
      <c r="M202" t="s">
        <v>714</v>
      </c>
      <c r="N202" t="s">
        <v>722</v>
      </c>
      <c r="O202" t="s">
        <v>925</v>
      </c>
      <c r="P202">
        <v>833.57</v>
      </c>
      <c r="Q202">
        <v>881.57</v>
      </c>
      <c r="R202" t="s">
        <v>1496</v>
      </c>
      <c r="S202" s="31">
        <v>5.7000000000000002E-2</v>
      </c>
      <c r="T202">
        <v>18</v>
      </c>
      <c r="U202">
        <v>14963.769179999999</v>
      </c>
      <c r="V202">
        <v>1063371.3527299995</v>
      </c>
      <c r="W202">
        <v>15004.26</v>
      </c>
      <c r="X202">
        <v>-40.490820000000895</v>
      </c>
      <c r="Y202" s="31">
        <v>-2.7059238560107821E-3</v>
      </c>
      <c r="Z202">
        <v>202301</v>
      </c>
      <c r="AA202">
        <v>202301</v>
      </c>
      <c r="AB202" t="s">
        <v>1477</v>
      </c>
      <c r="AC202">
        <v>0</v>
      </c>
      <c r="AD202" t="s">
        <v>1483</v>
      </c>
      <c r="AE202">
        <v>1</v>
      </c>
      <c r="AF202">
        <v>0</v>
      </c>
    </row>
    <row r="203" spans="1:32" x14ac:dyDescent="0.25">
      <c r="A203" t="s">
        <v>207</v>
      </c>
      <c r="B203" s="4">
        <v>45303</v>
      </c>
      <c r="C203" t="s">
        <v>1454</v>
      </c>
      <c r="D203" t="s">
        <v>1479</v>
      </c>
      <c r="E203" s="4">
        <v>45320</v>
      </c>
      <c r="F203">
        <v>17</v>
      </c>
      <c r="G203" t="s">
        <v>640</v>
      </c>
      <c r="H203" t="s">
        <v>652</v>
      </c>
      <c r="I203" t="s">
        <v>669</v>
      </c>
      <c r="J203" t="s">
        <v>1507</v>
      </c>
      <c r="K203" t="s">
        <v>694</v>
      </c>
      <c r="L203" t="s">
        <v>702</v>
      </c>
      <c r="M203" t="s">
        <v>712</v>
      </c>
      <c r="N203" t="s">
        <v>720</v>
      </c>
      <c r="O203" t="s">
        <v>926</v>
      </c>
      <c r="P203">
        <v>493.76</v>
      </c>
      <c r="Q203">
        <v>625.04</v>
      </c>
      <c r="R203" t="s">
        <v>1490</v>
      </c>
      <c r="S203" s="31">
        <v>0.25800000000000001</v>
      </c>
      <c r="T203">
        <v>10</v>
      </c>
      <c r="U203">
        <v>4637.7968000000001</v>
      </c>
      <c r="V203">
        <v>1063371.3527299995</v>
      </c>
      <c r="W203">
        <v>4937.6000000000004</v>
      </c>
      <c r="X203">
        <v>-299.80320000000029</v>
      </c>
      <c r="Y203" s="31">
        <v>-6.464345311549663E-2</v>
      </c>
      <c r="Z203">
        <v>202401</v>
      </c>
      <c r="AA203">
        <v>202301</v>
      </c>
      <c r="AB203" t="s">
        <v>1477</v>
      </c>
      <c r="AC203">
        <v>12</v>
      </c>
      <c r="AD203" t="s">
        <v>1484</v>
      </c>
      <c r="AE203">
        <v>0</v>
      </c>
      <c r="AF203">
        <v>1</v>
      </c>
    </row>
    <row r="204" spans="1:32" x14ac:dyDescent="0.25">
      <c r="A204" t="s">
        <v>208</v>
      </c>
      <c r="B204" s="4">
        <v>45153</v>
      </c>
      <c r="C204" t="s">
        <v>1448</v>
      </c>
      <c r="D204" t="s">
        <v>1481</v>
      </c>
      <c r="E204" s="4">
        <v>45176</v>
      </c>
      <c r="F204">
        <v>23</v>
      </c>
      <c r="G204" t="s">
        <v>640</v>
      </c>
      <c r="H204" t="s">
        <v>652</v>
      </c>
      <c r="I204" t="s">
        <v>692</v>
      </c>
      <c r="J204" t="s">
        <v>1532</v>
      </c>
      <c r="K204" t="s">
        <v>698</v>
      </c>
      <c r="L204" t="s">
        <v>700</v>
      </c>
      <c r="M204" t="s">
        <v>715</v>
      </c>
      <c r="N204" t="s">
        <v>722</v>
      </c>
      <c r="O204" t="s">
        <v>927</v>
      </c>
      <c r="P204">
        <v>590.33000000000004</v>
      </c>
      <c r="Q204">
        <v>973.04</v>
      </c>
      <c r="R204" t="s">
        <v>1496</v>
      </c>
      <c r="S204" s="31">
        <v>0</v>
      </c>
      <c r="T204">
        <v>26</v>
      </c>
      <c r="U204">
        <v>25299.040000000001</v>
      </c>
      <c r="V204">
        <v>1063371.3527299995</v>
      </c>
      <c r="W204">
        <v>15348.580000000002</v>
      </c>
      <c r="X204">
        <v>9950.4599999999991</v>
      </c>
      <c r="Y204" s="31">
        <v>0.39331373838691108</v>
      </c>
      <c r="Z204">
        <v>202308</v>
      </c>
      <c r="AA204">
        <v>202301</v>
      </c>
      <c r="AB204" t="s">
        <v>1448</v>
      </c>
      <c r="AC204">
        <v>7</v>
      </c>
      <c r="AD204" t="s">
        <v>1484</v>
      </c>
      <c r="AE204">
        <v>0</v>
      </c>
      <c r="AF204">
        <v>0</v>
      </c>
    </row>
    <row r="205" spans="1:32" x14ac:dyDescent="0.25">
      <c r="A205" t="s">
        <v>209</v>
      </c>
      <c r="B205" s="4">
        <v>44946</v>
      </c>
      <c r="C205" t="s">
        <v>1477</v>
      </c>
      <c r="D205" t="s">
        <v>1479</v>
      </c>
      <c r="E205" s="4">
        <v>44960</v>
      </c>
      <c r="F205">
        <v>14</v>
      </c>
      <c r="G205" t="s">
        <v>638</v>
      </c>
      <c r="H205" t="s">
        <v>642</v>
      </c>
      <c r="I205" t="s">
        <v>654</v>
      </c>
      <c r="J205" t="s">
        <v>1489</v>
      </c>
      <c r="K205" t="s">
        <v>693</v>
      </c>
      <c r="L205" t="s">
        <v>699</v>
      </c>
      <c r="M205" t="s">
        <v>716</v>
      </c>
      <c r="N205" t="s">
        <v>721</v>
      </c>
      <c r="O205" t="s">
        <v>928</v>
      </c>
      <c r="P205">
        <v>884.36</v>
      </c>
      <c r="Q205">
        <v>1545.34</v>
      </c>
      <c r="R205" t="s">
        <v>1496</v>
      </c>
      <c r="S205" s="31">
        <v>0.24299999999999999</v>
      </c>
      <c r="T205">
        <v>41</v>
      </c>
      <c r="U205">
        <v>47962.717579999997</v>
      </c>
      <c r="V205">
        <v>1063371.3527299995</v>
      </c>
      <c r="W205">
        <v>36258.76</v>
      </c>
      <c r="X205">
        <v>11703.957579999995</v>
      </c>
      <c r="Y205" s="31">
        <v>0.24402198562827965</v>
      </c>
      <c r="Z205">
        <v>202301</v>
      </c>
      <c r="AA205">
        <v>202301</v>
      </c>
      <c r="AB205" t="s">
        <v>1477</v>
      </c>
      <c r="AC205">
        <v>0</v>
      </c>
      <c r="AD205" t="s">
        <v>1484</v>
      </c>
      <c r="AE205">
        <v>0</v>
      </c>
      <c r="AF205">
        <v>1</v>
      </c>
    </row>
    <row r="206" spans="1:32" x14ac:dyDescent="0.25">
      <c r="A206" t="s">
        <v>210</v>
      </c>
      <c r="B206" s="4">
        <v>45692</v>
      </c>
      <c r="C206" t="s">
        <v>1453</v>
      </c>
      <c r="D206" t="s">
        <v>1479</v>
      </c>
      <c r="E206" s="4">
        <v>45713</v>
      </c>
      <c r="F206">
        <v>21</v>
      </c>
      <c r="G206" t="s">
        <v>641</v>
      </c>
      <c r="H206" t="s">
        <v>650</v>
      </c>
      <c r="I206" t="s">
        <v>666</v>
      </c>
      <c r="J206" t="s">
        <v>1504</v>
      </c>
      <c r="K206" t="s">
        <v>693</v>
      </c>
      <c r="L206" t="s">
        <v>701</v>
      </c>
      <c r="M206" t="s">
        <v>718</v>
      </c>
      <c r="N206" t="s">
        <v>724</v>
      </c>
      <c r="O206" t="s">
        <v>929</v>
      </c>
      <c r="P206">
        <v>1016.32</v>
      </c>
      <c r="Q206">
        <v>2253.42</v>
      </c>
      <c r="R206" t="s">
        <v>1492</v>
      </c>
      <c r="S206" s="31">
        <v>5.5E-2</v>
      </c>
      <c r="T206">
        <v>12</v>
      </c>
      <c r="U206">
        <v>25553.782800000001</v>
      </c>
      <c r="V206">
        <v>1063371.3527299995</v>
      </c>
      <c r="W206">
        <v>12195.84</v>
      </c>
      <c r="X206">
        <v>13357.942800000001</v>
      </c>
      <c r="Y206" s="31">
        <v>0.52273837124419797</v>
      </c>
      <c r="Z206">
        <v>202502</v>
      </c>
      <c r="AA206">
        <v>202301</v>
      </c>
      <c r="AB206" t="s">
        <v>1451</v>
      </c>
      <c r="AC206">
        <v>25</v>
      </c>
      <c r="AD206" t="s">
        <v>1484</v>
      </c>
      <c r="AE206">
        <v>0</v>
      </c>
      <c r="AF206">
        <v>0</v>
      </c>
    </row>
    <row r="207" spans="1:32" x14ac:dyDescent="0.25">
      <c r="A207" t="s">
        <v>211</v>
      </c>
      <c r="B207" s="4">
        <v>45035</v>
      </c>
      <c r="C207" t="s">
        <v>1446</v>
      </c>
      <c r="D207" t="s">
        <v>1480</v>
      </c>
      <c r="E207" s="4">
        <v>45044</v>
      </c>
      <c r="F207">
        <v>9</v>
      </c>
      <c r="G207" t="s">
        <v>641</v>
      </c>
      <c r="H207" t="s">
        <v>648</v>
      </c>
      <c r="I207" t="s">
        <v>663</v>
      </c>
      <c r="J207" t="s">
        <v>1501</v>
      </c>
      <c r="K207" t="s">
        <v>694</v>
      </c>
      <c r="L207" t="s">
        <v>700</v>
      </c>
      <c r="M207" t="s">
        <v>710</v>
      </c>
      <c r="N207" t="s">
        <v>724</v>
      </c>
      <c r="O207" t="s">
        <v>930</v>
      </c>
      <c r="P207">
        <v>1178.42</v>
      </c>
      <c r="Q207">
        <v>2446.56</v>
      </c>
      <c r="R207" t="s">
        <v>1492</v>
      </c>
      <c r="S207" s="31">
        <v>2.9000000000000001E-2</v>
      </c>
      <c r="T207">
        <v>11</v>
      </c>
      <c r="U207">
        <v>26131.70736</v>
      </c>
      <c r="V207">
        <v>1063371.3527299995</v>
      </c>
      <c r="W207">
        <v>12962.62</v>
      </c>
      <c r="X207">
        <v>13169.08736</v>
      </c>
      <c r="Y207" s="31">
        <v>0.5039505141618883</v>
      </c>
      <c r="Z207">
        <v>202304</v>
      </c>
      <c r="AA207">
        <v>202301</v>
      </c>
      <c r="AB207" t="s">
        <v>1446</v>
      </c>
      <c r="AC207">
        <v>3</v>
      </c>
      <c r="AD207" t="s">
        <v>1484</v>
      </c>
      <c r="AE207">
        <v>0</v>
      </c>
      <c r="AF207">
        <v>0</v>
      </c>
    </row>
    <row r="208" spans="1:32" x14ac:dyDescent="0.25">
      <c r="A208" t="s">
        <v>212</v>
      </c>
      <c r="B208" s="4">
        <v>45109</v>
      </c>
      <c r="C208" t="s">
        <v>1468</v>
      </c>
      <c r="D208" t="s">
        <v>1481</v>
      </c>
      <c r="E208" s="4">
        <v>45139</v>
      </c>
      <c r="F208">
        <v>30</v>
      </c>
      <c r="G208" t="s">
        <v>641</v>
      </c>
      <c r="H208" t="s">
        <v>650</v>
      </c>
      <c r="I208" t="s">
        <v>666</v>
      </c>
      <c r="J208" t="s">
        <v>1504</v>
      </c>
      <c r="K208" t="s">
        <v>697</v>
      </c>
      <c r="L208" t="s">
        <v>699</v>
      </c>
      <c r="M208" t="s">
        <v>709</v>
      </c>
      <c r="N208" t="s">
        <v>719</v>
      </c>
      <c r="O208" t="s">
        <v>931</v>
      </c>
      <c r="P208">
        <v>137.46</v>
      </c>
      <c r="Q208">
        <v>188.3</v>
      </c>
      <c r="R208" t="s">
        <v>1490</v>
      </c>
      <c r="S208" s="31">
        <v>3.7999999999999999E-2</v>
      </c>
      <c r="T208">
        <v>37</v>
      </c>
      <c r="U208">
        <v>6702.3501999999999</v>
      </c>
      <c r="V208">
        <v>1063371.3527299995</v>
      </c>
      <c r="W208">
        <v>5086.0200000000004</v>
      </c>
      <c r="X208">
        <v>1616.3301999999994</v>
      </c>
      <c r="Y208" s="31">
        <v>0.24115872071262398</v>
      </c>
      <c r="Z208">
        <v>202307</v>
      </c>
      <c r="AA208">
        <v>202301</v>
      </c>
      <c r="AB208" t="s">
        <v>1468</v>
      </c>
      <c r="AC208">
        <v>6</v>
      </c>
      <c r="AD208" t="s">
        <v>1484</v>
      </c>
      <c r="AE208">
        <v>0</v>
      </c>
      <c r="AF208">
        <v>0</v>
      </c>
    </row>
    <row r="209" spans="1:32" x14ac:dyDescent="0.25">
      <c r="A209" t="s">
        <v>213</v>
      </c>
      <c r="B209" s="4">
        <v>45678</v>
      </c>
      <c r="C209" t="s">
        <v>1455</v>
      </c>
      <c r="D209" t="s">
        <v>1479</v>
      </c>
      <c r="E209" s="4">
        <v>45702</v>
      </c>
      <c r="F209">
        <v>24</v>
      </c>
      <c r="G209" t="s">
        <v>638</v>
      </c>
      <c r="H209" t="s">
        <v>642</v>
      </c>
      <c r="I209" t="s">
        <v>656</v>
      </c>
      <c r="J209" t="s">
        <v>1493</v>
      </c>
      <c r="K209" t="s">
        <v>697</v>
      </c>
      <c r="L209" t="s">
        <v>699</v>
      </c>
      <c r="M209" t="s">
        <v>705</v>
      </c>
      <c r="N209" t="s">
        <v>725</v>
      </c>
      <c r="O209" t="s">
        <v>932</v>
      </c>
      <c r="P209">
        <v>1030.44</v>
      </c>
      <c r="Q209">
        <v>2562.84</v>
      </c>
      <c r="R209" t="s">
        <v>1492</v>
      </c>
      <c r="S209" s="31">
        <v>0.14799999999999999</v>
      </c>
      <c r="T209">
        <v>13</v>
      </c>
      <c r="U209">
        <v>28386.015839999996</v>
      </c>
      <c r="V209">
        <v>1056669.0025299995</v>
      </c>
      <c r="W209">
        <v>13395.720000000001</v>
      </c>
      <c r="X209">
        <v>14990.295839999995</v>
      </c>
      <c r="Y209" s="31">
        <v>0.52808734852027039</v>
      </c>
      <c r="Z209">
        <v>202501</v>
      </c>
      <c r="AA209">
        <v>202301</v>
      </c>
      <c r="AB209" t="s">
        <v>1477</v>
      </c>
      <c r="AC209">
        <v>24</v>
      </c>
      <c r="AD209" t="s">
        <v>1484</v>
      </c>
      <c r="AE209">
        <v>0</v>
      </c>
      <c r="AF209">
        <v>0</v>
      </c>
    </row>
    <row r="210" spans="1:32" x14ac:dyDescent="0.25">
      <c r="A210" t="s">
        <v>214</v>
      </c>
      <c r="B210" s="4">
        <v>45545</v>
      </c>
      <c r="C210" t="s">
        <v>1466</v>
      </c>
      <c r="D210" t="s">
        <v>1481</v>
      </c>
      <c r="E210" s="4">
        <v>45572</v>
      </c>
      <c r="F210">
        <v>27</v>
      </c>
      <c r="G210" t="s">
        <v>638</v>
      </c>
      <c r="H210" t="s">
        <v>642</v>
      </c>
      <c r="I210" t="s">
        <v>654</v>
      </c>
      <c r="J210" t="s">
        <v>1489</v>
      </c>
      <c r="K210" t="s">
        <v>696</v>
      </c>
      <c r="L210" t="s">
        <v>699</v>
      </c>
      <c r="M210" t="s">
        <v>708</v>
      </c>
      <c r="N210" t="s">
        <v>720</v>
      </c>
      <c r="O210" t="s">
        <v>933</v>
      </c>
      <c r="P210">
        <v>1248.3900000000001</v>
      </c>
      <c r="Q210">
        <v>1805.11</v>
      </c>
      <c r="R210" t="s">
        <v>1492</v>
      </c>
      <c r="S210" s="31">
        <v>0.20300000000000001</v>
      </c>
      <c r="T210">
        <v>11</v>
      </c>
      <c r="U210">
        <v>15825.399369999997</v>
      </c>
      <c r="V210">
        <v>1056669.0025299995</v>
      </c>
      <c r="W210">
        <v>13732.29</v>
      </c>
      <c r="X210">
        <v>2093.1093699999965</v>
      </c>
      <c r="Y210" s="31">
        <v>0.13226265707820786</v>
      </c>
      <c r="Z210">
        <v>202409</v>
      </c>
      <c r="AA210">
        <v>202301</v>
      </c>
      <c r="AB210" t="s">
        <v>1465</v>
      </c>
      <c r="AC210">
        <v>20</v>
      </c>
      <c r="AD210" t="s">
        <v>1484</v>
      </c>
      <c r="AE210">
        <v>0</v>
      </c>
      <c r="AF210">
        <v>1</v>
      </c>
    </row>
    <row r="211" spans="1:32" x14ac:dyDescent="0.25">
      <c r="A211" t="s">
        <v>215</v>
      </c>
      <c r="B211" s="4">
        <v>45859</v>
      </c>
      <c r="C211" t="s">
        <v>1457</v>
      </c>
      <c r="D211" t="s">
        <v>1481</v>
      </c>
      <c r="E211" s="4">
        <v>45876</v>
      </c>
      <c r="F211">
        <v>17</v>
      </c>
      <c r="G211" t="s">
        <v>638</v>
      </c>
      <c r="H211" t="s">
        <v>643</v>
      </c>
      <c r="I211" t="s">
        <v>657</v>
      </c>
      <c r="J211" t="s">
        <v>1494</v>
      </c>
      <c r="K211" t="s">
        <v>698</v>
      </c>
      <c r="L211" t="s">
        <v>703</v>
      </c>
      <c r="M211" t="s">
        <v>716</v>
      </c>
      <c r="N211" t="s">
        <v>725</v>
      </c>
      <c r="O211" t="s">
        <v>934</v>
      </c>
      <c r="P211">
        <v>1204.95</v>
      </c>
      <c r="Q211">
        <v>2065.73</v>
      </c>
      <c r="R211" t="s">
        <v>1492</v>
      </c>
      <c r="S211" s="31">
        <v>0.13600000000000001</v>
      </c>
      <c r="T211">
        <v>10</v>
      </c>
      <c r="U211">
        <v>17847.907199999998</v>
      </c>
      <c r="V211">
        <v>1056669.0025299995</v>
      </c>
      <c r="W211">
        <v>12049.5</v>
      </c>
      <c r="X211">
        <v>5798.4071999999978</v>
      </c>
      <c r="Y211" s="31">
        <v>0.32487882949100039</v>
      </c>
      <c r="Z211">
        <v>202507</v>
      </c>
      <c r="AA211">
        <v>202301</v>
      </c>
      <c r="AB211" t="s">
        <v>1468</v>
      </c>
      <c r="AC211">
        <v>30</v>
      </c>
      <c r="AD211" t="s">
        <v>1484</v>
      </c>
      <c r="AE211">
        <v>0</v>
      </c>
      <c r="AF211">
        <v>0</v>
      </c>
    </row>
    <row r="212" spans="1:32" x14ac:dyDescent="0.25">
      <c r="A212" t="s">
        <v>216</v>
      </c>
      <c r="B212" s="4">
        <v>45567</v>
      </c>
      <c r="C212" t="s">
        <v>1464</v>
      </c>
      <c r="D212" t="s">
        <v>1482</v>
      </c>
      <c r="E212" s="4">
        <v>45588</v>
      </c>
      <c r="F212">
        <v>21</v>
      </c>
      <c r="G212" t="s">
        <v>638</v>
      </c>
      <c r="H212" t="s">
        <v>653</v>
      </c>
      <c r="I212" t="s">
        <v>679</v>
      </c>
      <c r="J212" t="s">
        <v>1517</v>
      </c>
      <c r="K212" t="s">
        <v>693</v>
      </c>
      <c r="L212" t="s">
        <v>701</v>
      </c>
      <c r="M212" t="s">
        <v>712</v>
      </c>
      <c r="N212" t="s">
        <v>719</v>
      </c>
      <c r="O212" t="s">
        <v>935</v>
      </c>
      <c r="P212">
        <v>1095.6099999999999</v>
      </c>
      <c r="Q212">
        <v>2366.5100000000002</v>
      </c>
      <c r="R212" t="s">
        <v>1492</v>
      </c>
      <c r="S212" s="31">
        <v>0.152</v>
      </c>
      <c r="T212">
        <v>9</v>
      </c>
      <c r="U212">
        <v>18061.204320000004</v>
      </c>
      <c r="V212">
        <v>1056669.0025299995</v>
      </c>
      <c r="W212">
        <v>9860.49</v>
      </c>
      <c r="X212">
        <v>8200.7143200000046</v>
      </c>
      <c r="Y212" s="31">
        <v>0.4540513564158607</v>
      </c>
      <c r="Z212">
        <v>202410</v>
      </c>
      <c r="AA212">
        <v>202301</v>
      </c>
      <c r="AB212" t="s">
        <v>1476</v>
      </c>
      <c r="AC212">
        <v>21</v>
      </c>
      <c r="AD212" t="s">
        <v>1484</v>
      </c>
      <c r="AE212">
        <v>0</v>
      </c>
      <c r="AF212">
        <v>0</v>
      </c>
    </row>
    <row r="213" spans="1:32" x14ac:dyDescent="0.25">
      <c r="A213" t="s">
        <v>217</v>
      </c>
      <c r="B213" s="4">
        <v>45852</v>
      </c>
      <c r="C213" t="s">
        <v>1457</v>
      </c>
      <c r="D213" t="s">
        <v>1481</v>
      </c>
      <c r="E213" s="4">
        <v>45873</v>
      </c>
      <c r="F213">
        <v>21</v>
      </c>
      <c r="G213" t="s">
        <v>640</v>
      </c>
      <c r="H213" t="s">
        <v>645</v>
      </c>
      <c r="I213" t="s">
        <v>673</v>
      </c>
      <c r="J213" t="s">
        <v>1511</v>
      </c>
      <c r="K213" t="s">
        <v>696</v>
      </c>
      <c r="L213" t="s">
        <v>700</v>
      </c>
      <c r="M213" t="s">
        <v>714</v>
      </c>
      <c r="N213" t="s">
        <v>724</v>
      </c>
      <c r="O213" t="s">
        <v>936</v>
      </c>
      <c r="P213">
        <v>90.3</v>
      </c>
      <c r="Q213">
        <v>131.76</v>
      </c>
      <c r="R213" t="s">
        <v>1490</v>
      </c>
      <c r="S213" s="31">
        <v>0.10199999999999999</v>
      </c>
      <c r="T213">
        <v>15</v>
      </c>
      <c r="U213">
        <v>1774.8072</v>
      </c>
      <c r="V213">
        <v>1038607.7982099996</v>
      </c>
      <c r="W213">
        <v>1354.5</v>
      </c>
      <c r="X213">
        <v>420.30719999999997</v>
      </c>
      <c r="Y213" s="31">
        <v>0.23681851189244668</v>
      </c>
      <c r="Z213">
        <v>202507</v>
      </c>
      <c r="AA213">
        <v>202301</v>
      </c>
      <c r="AB213" t="s">
        <v>1468</v>
      </c>
      <c r="AC213">
        <v>30</v>
      </c>
      <c r="AD213" t="s">
        <v>1484</v>
      </c>
      <c r="AE213">
        <v>0</v>
      </c>
      <c r="AF213">
        <v>0</v>
      </c>
    </row>
    <row r="214" spans="1:32" x14ac:dyDescent="0.25">
      <c r="A214" t="s">
        <v>218</v>
      </c>
      <c r="B214" s="4">
        <v>45544</v>
      </c>
      <c r="C214" t="s">
        <v>1466</v>
      </c>
      <c r="D214" t="s">
        <v>1481</v>
      </c>
      <c r="E214" s="4">
        <v>45566</v>
      </c>
      <c r="F214">
        <v>22</v>
      </c>
      <c r="G214" t="s">
        <v>639</v>
      </c>
      <c r="H214" t="s">
        <v>651</v>
      </c>
      <c r="I214" t="s">
        <v>668</v>
      </c>
      <c r="J214" t="s">
        <v>1506</v>
      </c>
      <c r="K214" t="s">
        <v>696</v>
      </c>
      <c r="L214" t="s">
        <v>703</v>
      </c>
      <c r="M214" t="s">
        <v>708</v>
      </c>
      <c r="N214" t="s">
        <v>720</v>
      </c>
      <c r="O214" t="s">
        <v>937</v>
      </c>
      <c r="P214">
        <v>1166.18</v>
      </c>
      <c r="Q214">
        <v>1335.02</v>
      </c>
      <c r="R214" t="s">
        <v>1492</v>
      </c>
      <c r="S214" s="31">
        <v>0.128</v>
      </c>
      <c r="T214">
        <v>6</v>
      </c>
      <c r="U214">
        <v>6984.8246399999998</v>
      </c>
      <c r="V214">
        <v>1038607.7982099996</v>
      </c>
      <c r="W214">
        <v>6997.08</v>
      </c>
      <c r="X214">
        <v>-12.25536000000011</v>
      </c>
      <c r="Y214" s="31">
        <v>-1.7545694604582242E-3</v>
      </c>
      <c r="Z214">
        <v>202409</v>
      </c>
      <c r="AA214">
        <v>202301</v>
      </c>
      <c r="AB214" t="s">
        <v>1465</v>
      </c>
      <c r="AC214">
        <v>20</v>
      </c>
      <c r="AD214" t="s">
        <v>1484</v>
      </c>
      <c r="AE214">
        <v>0</v>
      </c>
      <c r="AF214">
        <v>0</v>
      </c>
    </row>
    <row r="215" spans="1:32" x14ac:dyDescent="0.25">
      <c r="A215" t="s">
        <v>219</v>
      </c>
      <c r="B215" s="4">
        <v>45686</v>
      </c>
      <c r="C215" t="s">
        <v>1455</v>
      </c>
      <c r="D215" t="s">
        <v>1479</v>
      </c>
      <c r="E215" s="4">
        <v>45694</v>
      </c>
      <c r="F215">
        <v>8</v>
      </c>
      <c r="G215" t="s">
        <v>638</v>
      </c>
      <c r="H215" t="s">
        <v>642</v>
      </c>
      <c r="I215" t="s">
        <v>654</v>
      </c>
      <c r="J215" t="s">
        <v>1489</v>
      </c>
      <c r="K215" t="s">
        <v>694</v>
      </c>
      <c r="L215" t="s">
        <v>699</v>
      </c>
      <c r="M215" t="s">
        <v>709</v>
      </c>
      <c r="N215" t="s">
        <v>722</v>
      </c>
      <c r="O215" t="s">
        <v>938</v>
      </c>
      <c r="P215">
        <v>1445.27</v>
      </c>
      <c r="Q215">
        <v>2691.45</v>
      </c>
      <c r="R215" t="s">
        <v>1492</v>
      </c>
      <c r="S215" s="31">
        <v>0</v>
      </c>
      <c r="T215">
        <v>9</v>
      </c>
      <c r="U215">
        <v>24223.05</v>
      </c>
      <c r="V215">
        <v>1038607.7982099996</v>
      </c>
      <c r="W215">
        <v>13007.43</v>
      </c>
      <c r="X215">
        <v>11215.619999999999</v>
      </c>
      <c r="Y215" s="31">
        <v>0.46301436028906351</v>
      </c>
      <c r="Z215">
        <v>202501</v>
      </c>
      <c r="AA215">
        <v>202301</v>
      </c>
      <c r="AB215" t="s">
        <v>1477</v>
      </c>
      <c r="AC215">
        <v>24</v>
      </c>
      <c r="AD215" t="s">
        <v>1484</v>
      </c>
      <c r="AE215">
        <v>0</v>
      </c>
      <c r="AF215">
        <v>0</v>
      </c>
    </row>
    <row r="216" spans="1:32" x14ac:dyDescent="0.25">
      <c r="A216" t="s">
        <v>220</v>
      </c>
      <c r="B216" s="4">
        <v>45240</v>
      </c>
      <c r="C216" t="s">
        <v>1475</v>
      </c>
      <c r="D216" t="s">
        <v>1482</v>
      </c>
      <c r="E216" s="4">
        <v>45258</v>
      </c>
      <c r="F216">
        <v>18</v>
      </c>
      <c r="G216" t="s">
        <v>640</v>
      </c>
      <c r="H216" t="s">
        <v>647</v>
      </c>
      <c r="I216" t="s">
        <v>664</v>
      </c>
      <c r="J216" t="s">
        <v>1502</v>
      </c>
      <c r="K216" t="s">
        <v>694</v>
      </c>
      <c r="L216" t="s">
        <v>701</v>
      </c>
      <c r="M216" t="s">
        <v>708</v>
      </c>
      <c r="N216" t="s">
        <v>725</v>
      </c>
      <c r="O216" t="s">
        <v>939</v>
      </c>
      <c r="P216">
        <v>388.51</v>
      </c>
      <c r="Q216">
        <v>776.46</v>
      </c>
      <c r="R216" t="s">
        <v>1490</v>
      </c>
      <c r="S216" s="31">
        <v>0.157</v>
      </c>
      <c r="T216">
        <v>12</v>
      </c>
      <c r="U216">
        <v>7854.6693599999999</v>
      </c>
      <c r="V216">
        <v>1038607.7982099996</v>
      </c>
      <c r="W216">
        <v>4662.12</v>
      </c>
      <c r="X216">
        <v>3192.54936</v>
      </c>
      <c r="Y216" s="31">
        <v>0.40645241876864946</v>
      </c>
      <c r="Z216">
        <v>202311</v>
      </c>
      <c r="AA216">
        <v>202301</v>
      </c>
      <c r="AB216" t="s">
        <v>1475</v>
      </c>
      <c r="AC216">
        <v>10</v>
      </c>
      <c r="AD216" t="s">
        <v>1484</v>
      </c>
      <c r="AE216">
        <v>0</v>
      </c>
      <c r="AF216">
        <v>0</v>
      </c>
    </row>
    <row r="217" spans="1:32" x14ac:dyDescent="0.25">
      <c r="A217" t="s">
        <v>221</v>
      </c>
      <c r="B217" s="4">
        <v>45351</v>
      </c>
      <c r="C217" t="s">
        <v>1452</v>
      </c>
      <c r="D217" t="s">
        <v>1479</v>
      </c>
      <c r="E217" s="4">
        <v>45381</v>
      </c>
      <c r="F217">
        <v>30</v>
      </c>
      <c r="G217" t="s">
        <v>639</v>
      </c>
      <c r="H217" t="s">
        <v>644</v>
      </c>
      <c r="I217" t="s">
        <v>686</v>
      </c>
      <c r="J217" t="s">
        <v>1524</v>
      </c>
      <c r="K217" t="s">
        <v>697</v>
      </c>
      <c r="L217" t="s">
        <v>703</v>
      </c>
      <c r="M217" t="s">
        <v>706</v>
      </c>
      <c r="N217" t="s">
        <v>721</v>
      </c>
      <c r="O217" t="s">
        <v>940</v>
      </c>
      <c r="P217">
        <v>231.11</v>
      </c>
      <c r="Q217">
        <v>318.17</v>
      </c>
      <c r="R217" t="s">
        <v>1490</v>
      </c>
      <c r="S217" s="31">
        <v>0.20100000000000001</v>
      </c>
      <c r="T217">
        <v>60</v>
      </c>
      <c r="U217">
        <v>15253.069799999999</v>
      </c>
      <c r="V217">
        <v>1038607.7982099996</v>
      </c>
      <c r="W217">
        <v>13866.6</v>
      </c>
      <c r="X217">
        <v>1386.4697999999989</v>
      </c>
      <c r="Y217" s="31">
        <v>9.0897754889969692E-2</v>
      </c>
      <c r="Z217">
        <v>202402</v>
      </c>
      <c r="AA217">
        <v>202303</v>
      </c>
      <c r="AB217" t="s">
        <v>1451</v>
      </c>
      <c r="AC217">
        <v>11</v>
      </c>
      <c r="AD217" t="s">
        <v>1484</v>
      </c>
      <c r="AE217">
        <v>0</v>
      </c>
      <c r="AF217">
        <v>1</v>
      </c>
    </row>
    <row r="218" spans="1:32" x14ac:dyDescent="0.25">
      <c r="A218" t="s">
        <v>222</v>
      </c>
      <c r="B218" s="4">
        <v>45280</v>
      </c>
      <c r="C218" t="s">
        <v>1450</v>
      </c>
      <c r="D218" t="s">
        <v>1482</v>
      </c>
      <c r="E218" s="4">
        <v>45305</v>
      </c>
      <c r="F218">
        <v>25</v>
      </c>
      <c r="G218" t="s">
        <v>639</v>
      </c>
      <c r="H218" t="s">
        <v>646</v>
      </c>
      <c r="I218" t="s">
        <v>683</v>
      </c>
      <c r="J218" t="s">
        <v>1521</v>
      </c>
      <c r="K218" t="s">
        <v>695</v>
      </c>
      <c r="L218" t="s">
        <v>701</v>
      </c>
      <c r="M218" t="s">
        <v>708</v>
      </c>
      <c r="N218" t="s">
        <v>724</v>
      </c>
      <c r="O218" t="s">
        <v>941</v>
      </c>
      <c r="P218">
        <v>1085.6099999999999</v>
      </c>
      <c r="Q218">
        <v>1246.4100000000001</v>
      </c>
      <c r="R218" t="s">
        <v>1492</v>
      </c>
      <c r="S218" s="31">
        <v>0.113</v>
      </c>
      <c r="T218">
        <v>7</v>
      </c>
      <c r="U218">
        <v>7738.9596900000006</v>
      </c>
      <c r="V218">
        <v>1038607.7982099996</v>
      </c>
      <c r="W218">
        <v>7599.2699999999995</v>
      </c>
      <c r="X218">
        <v>139.68969000000106</v>
      </c>
      <c r="Y218" s="31">
        <v>1.8050189637310417E-2</v>
      </c>
      <c r="Z218">
        <v>202312</v>
      </c>
      <c r="AA218">
        <v>202301</v>
      </c>
      <c r="AB218" t="s">
        <v>1450</v>
      </c>
      <c r="AC218">
        <v>11</v>
      </c>
      <c r="AD218" t="s">
        <v>1484</v>
      </c>
      <c r="AE218">
        <v>0</v>
      </c>
      <c r="AF218">
        <v>0</v>
      </c>
    </row>
    <row r="219" spans="1:32" x14ac:dyDescent="0.25">
      <c r="A219" t="s">
        <v>223</v>
      </c>
      <c r="B219" s="4">
        <v>44948</v>
      </c>
      <c r="C219" t="s">
        <v>1477</v>
      </c>
      <c r="D219" t="s">
        <v>1479</v>
      </c>
      <c r="E219" s="4">
        <v>44949</v>
      </c>
      <c r="F219">
        <v>1</v>
      </c>
      <c r="G219" t="s">
        <v>641</v>
      </c>
      <c r="H219" t="s">
        <v>648</v>
      </c>
      <c r="I219" t="s">
        <v>676</v>
      </c>
      <c r="J219" t="s">
        <v>1514</v>
      </c>
      <c r="K219" t="s">
        <v>693</v>
      </c>
      <c r="L219" t="s">
        <v>703</v>
      </c>
      <c r="M219" t="s">
        <v>713</v>
      </c>
      <c r="N219" t="s">
        <v>724</v>
      </c>
      <c r="O219" t="s">
        <v>942</v>
      </c>
      <c r="P219">
        <v>150.86000000000001</v>
      </c>
      <c r="Q219">
        <v>346.96</v>
      </c>
      <c r="R219" t="s">
        <v>1490</v>
      </c>
      <c r="S219" s="31">
        <v>0.19600000000000001</v>
      </c>
      <c r="T219">
        <v>8</v>
      </c>
      <c r="U219">
        <v>2231.6467200000002</v>
      </c>
      <c r="V219">
        <v>1038607.7982099996</v>
      </c>
      <c r="W219">
        <v>1206.8800000000001</v>
      </c>
      <c r="X219">
        <v>1024.7667200000001</v>
      </c>
      <c r="Y219" s="31">
        <v>0.45919755614365343</v>
      </c>
      <c r="Z219">
        <v>202301</v>
      </c>
      <c r="AA219">
        <v>202301</v>
      </c>
      <c r="AB219" t="s">
        <v>1477</v>
      </c>
      <c r="AC219">
        <v>0</v>
      </c>
      <c r="AD219" t="s">
        <v>1483</v>
      </c>
      <c r="AE219">
        <v>1</v>
      </c>
      <c r="AF219">
        <v>0</v>
      </c>
    </row>
    <row r="220" spans="1:32" x14ac:dyDescent="0.25">
      <c r="A220" t="s">
        <v>224</v>
      </c>
      <c r="B220" s="4">
        <v>45576</v>
      </c>
      <c r="C220" t="s">
        <v>1464</v>
      </c>
      <c r="D220" t="s">
        <v>1482</v>
      </c>
      <c r="E220" s="4">
        <v>45605</v>
      </c>
      <c r="F220">
        <v>29</v>
      </c>
      <c r="G220" t="s">
        <v>639</v>
      </c>
      <c r="H220" t="s">
        <v>651</v>
      </c>
      <c r="I220" t="s">
        <v>677</v>
      </c>
      <c r="J220" t="s">
        <v>1515</v>
      </c>
      <c r="K220" t="s">
        <v>695</v>
      </c>
      <c r="L220" t="s">
        <v>700</v>
      </c>
      <c r="M220" t="s">
        <v>713</v>
      </c>
      <c r="N220" t="s">
        <v>720</v>
      </c>
      <c r="O220" t="s">
        <v>943</v>
      </c>
      <c r="P220">
        <v>391.64</v>
      </c>
      <c r="Q220">
        <v>504.76</v>
      </c>
      <c r="R220" t="s">
        <v>1490</v>
      </c>
      <c r="S220" s="31">
        <v>4.0000000000000001E-3</v>
      </c>
      <c r="T220">
        <v>13</v>
      </c>
      <c r="U220">
        <v>6535.6324800000002</v>
      </c>
      <c r="V220">
        <v>1038607.7982099996</v>
      </c>
      <c r="W220">
        <v>5091.32</v>
      </c>
      <c r="X220">
        <v>1444.3124800000005</v>
      </c>
      <c r="Y220" s="31">
        <v>0.22099046793402319</v>
      </c>
      <c r="Z220">
        <v>202410</v>
      </c>
      <c r="AA220">
        <v>202301</v>
      </c>
      <c r="AB220" t="s">
        <v>1476</v>
      </c>
      <c r="AC220">
        <v>21</v>
      </c>
      <c r="AD220" t="s">
        <v>1484</v>
      </c>
      <c r="AE220">
        <v>0</v>
      </c>
      <c r="AF220">
        <v>0</v>
      </c>
    </row>
    <row r="221" spans="1:32" x14ac:dyDescent="0.25">
      <c r="A221" t="s">
        <v>225</v>
      </c>
      <c r="B221" s="4">
        <v>45554</v>
      </c>
      <c r="C221" t="s">
        <v>1466</v>
      </c>
      <c r="D221" t="s">
        <v>1481</v>
      </c>
      <c r="E221" s="4">
        <v>45579</v>
      </c>
      <c r="F221">
        <v>25</v>
      </c>
      <c r="G221" t="s">
        <v>640</v>
      </c>
      <c r="H221" t="s">
        <v>647</v>
      </c>
      <c r="I221" t="s">
        <v>684</v>
      </c>
      <c r="J221" t="s">
        <v>1522</v>
      </c>
      <c r="K221" t="s">
        <v>697</v>
      </c>
      <c r="L221" t="s">
        <v>699</v>
      </c>
      <c r="M221" t="s">
        <v>715</v>
      </c>
      <c r="N221" t="s">
        <v>720</v>
      </c>
      <c r="O221" t="s">
        <v>944</v>
      </c>
      <c r="P221">
        <v>386.96</v>
      </c>
      <c r="Q221">
        <v>937.46</v>
      </c>
      <c r="R221" t="s">
        <v>1490</v>
      </c>
      <c r="S221" s="31">
        <v>0.26600000000000001</v>
      </c>
      <c r="T221">
        <v>41</v>
      </c>
      <c r="U221">
        <v>28211.92124</v>
      </c>
      <c r="V221">
        <v>1038607.7982099996</v>
      </c>
      <c r="W221">
        <v>15865.359999999999</v>
      </c>
      <c r="X221">
        <v>12346.561240000001</v>
      </c>
      <c r="Y221" s="31">
        <v>0.43763631462626335</v>
      </c>
      <c r="Z221">
        <v>202409</v>
      </c>
      <c r="AA221">
        <v>202301</v>
      </c>
      <c r="AB221" t="s">
        <v>1465</v>
      </c>
      <c r="AC221">
        <v>20</v>
      </c>
      <c r="AD221" t="s">
        <v>1484</v>
      </c>
      <c r="AE221">
        <v>0</v>
      </c>
      <c r="AF221">
        <v>1</v>
      </c>
    </row>
    <row r="222" spans="1:32" x14ac:dyDescent="0.25">
      <c r="A222" t="s">
        <v>226</v>
      </c>
      <c r="B222" s="4">
        <v>45894</v>
      </c>
      <c r="C222" t="s">
        <v>1449</v>
      </c>
      <c r="D222" t="s">
        <v>1481</v>
      </c>
      <c r="E222" s="4">
        <v>45924</v>
      </c>
      <c r="F222">
        <v>30</v>
      </c>
      <c r="G222" t="s">
        <v>638</v>
      </c>
      <c r="H222" t="s">
        <v>642</v>
      </c>
      <c r="I222" t="s">
        <v>656</v>
      </c>
      <c r="J222" t="s">
        <v>1493</v>
      </c>
      <c r="K222" t="s">
        <v>696</v>
      </c>
      <c r="L222" t="s">
        <v>703</v>
      </c>
      <c r="M222" t="s">
        <v>709</v>
      </c>
      <c r="N222" t="s">
        <v>719</v>
      </c>
      <c r="O222" t="s">
        <v>945</v>
      </c>
      <c r="P222">
        <v>589.14</v>
      </c>
      <c r="Q222">
        <v>1300.58</v>
      </c>
      <c r="R222" t="s">
        <v>1496</v>
      </c>
      <c r="S222" s="31">
        <v>5.5E-2</v>
      </c>
      <c r="T222">
        <v>11</v>
      </c>
      <c r="U222">
        <v>13519.529099999998</v>
      </c>
      <c r="V222">
        <v>1038607.7982099996</v>
      </c>
      <c r="W222">
        <v>6480.54</v>
      </c>
      <c r="X222">
        <v>7038.989099999998</v>
      </c>
      <c r="Y222" s="31">
        <v>0.52065342275863724</v>
      </c>
      <c r="Z222">
        <v>202508</v>
      </c>
      <c r="AA222">
        <v>202301</v>
      </c>
      <c r="AB222" t="s">
        <v>1448</v>
      </c>
      <c r="AC222">
        <v>31</v>
      </c>
      <c r="AD222" t="s">
        <v>1484</v>
      </c>
      <c r="AE222">
        <v>0</v>
      </c>
      <c r="AF222">
        <v>0</v>
      </c>
    </row>
    <row r="223" spans="1:32" x14ac:dyDescent="0.25">
      <c r="A223" t="s">
        <v>227</v>
      </c>
      <c r="B223" s="4">
        <v>45194</v>
      </c>
      <c r="C223" t="s">
        <v>1465</v>
      </c>
      <c r="D223" t="s">
        <v>1481</v>
      </c>
      <c r="E223" s="4">
        <v>45201</v>
      </c>
      <c r="F223">
        <v>7</v>
      </c>
      <c r="G223" t="s">
        <v>640</v>
      </c>
      <c r="H223" t="s">
        <v>652</v>
      </c>
      <c r="I223" t="s">
        <v>692</v>
      </c>
      <c r="J223" t="s">
        <v>1532</v>
      </c>
      <c r="K223" t="s">
        <v>694</v>
      </c>
      <c r="L223" t="s">
        <v>701</v>
      </c>
      <c r="M223" t="s">
        <v>706</v>
      </c>
      <c r="N223" t="s">
        <v>725</v>
      </c>
      <c r="O223" t="s">
        <v>946</v>
      </c>
      <c r="P223">
        <v>145.58000000000001</v>
      </c>
      <c r="Q223">
        <v>228.15</v>
      </c>
      <c r="R223" t="s">
        <v>1490</v>
      </c>
      <c r="S223" s="31">
        <v>0.20399999999999999</v>
      </c>
      <c r="T223">
        <v>5</v>
      </c>
      <c r="U223">
        <v>908.03700000000003</v>
      </c>
      <c r="V223">
        <v>1025088.2691099996</v>
      </c>
      <c r="W223">
        <v>727.90000000000009</v>
      </c>
      <c r="X223">
        <v>180.13699999999994</v>
      </c>
      <c r="Y223" s="31">
        <v>0.19838068272548359</v>
      </c>
      <c r="Z223">
        <v>202309</v>
      </c>
      <c r="AA223">
        <v>202301</v>
      </c>
      <c r="AB223" t="s">
        <v>1465</v>
      </c>
      <c r="AC223">
        <v>8</v>
      </c>
      <c r="AD223" t="s">
        <v>1483</v>
      </c>
      <c r="AE223">
        <v>1</v>
      </c>
      <c r="AF223">
        <v>1</v>
      </c>
    </row>
    <row r="224" spans="1:32" x14ac:dyDescent="0.25">
      <c r="A224" t="s">
        <v>228</v>
      </c>
      <c r="B224" s="4">
        <v>45164</v>
      </c>
      <c r="C224" t="s">
        <v>1448</v>
      </c>
      <c r="D224" t="s">
        <v>1481</v>
      </c>
      <c r="E224" s="4">
        <v>45179</v>
      </c>
      <c r="F224">
        <v>15</v>
      </c>
      <c r="G224" t="s">
        <v>638</v>
      </c>
      <c r="H224" t="s">
        <v>653</v>
      </c>
      <c r="I224" t="s">
        <v>687</v>
      </c>
      <c r="J224" t="s">
        <v>1525</v>
      </c>
      <c r="K224" t="s">
        <v>695</v>
      </c>
      <c r="L224" t="s">
        <v>703</v>
      </c>
      <c r="M224" t="s">
        <v>717</v>
      </c>
      <c r="N224" t="s">
        <v>719</v>
      </c>
      <c r="O224" t="s">
        <v>947</v>
      </c>
      <c r="P224">
        <v>241.14</v>
      </c>
      <c r="Q224">
        <v>496.52</v>
      </c>
      <c r="R224" t="s">
        <v>1490</v>
      </c>
      <c r="S224" s="31">
        <v>9.2999999999999999E-2</v>
      </c>
      <c r="T224">
        <v>10</v>
      </c>
      <c r="U224">
        <v>4503.4363999999996</v>
      </c>
      <c r="V224">
        <v>1025088.2691099996</v>
      </c>
      <c r="W224">
        <v>2411.3999999999996</v>
      </c>
      <c r="X224">
        <v>2092.0364</v>
      </c>
      <c r="Y224" s="31">
        <v>0.46454223268257994</v>
      </c>
      <c r="Z224">
        <v>202308</v>
      </c>
      <c r="AA224">
        <v>202301</v>
      </c>
      <c r="AB224" t="s">
        <v>1448</v>
      </c>
      <c r="AC224">
        <v>7</v>
      </c>
      <c r="AD224" t="s">
        <v>1484</v>
      </c>
      <c r="AE224">
        <v>0</v>
      </c>
      <c r="AF224">
        <v>0</v>
      </c>
    </row>
    <row r="225" spans="1:32" x14ac:dyDescent="0.25">
      <c r="A225" t="s">
        <v>229</v>
      </c>
      <c r="B225" s="4">
        <v>45854</v>
      </c>
      <c r="C225" t="s">
        <v>1457</v>
      </c>
      <c r="D225" t="s">
        <v>1481</v>
      </c>
      <c r="E225" s="4">
        <v>45855</v>
      </c>
      <c r="F225">
        <v>1</v>
      </c>
      <c r="G225" t="s">
        <v>638</v>
      </c>
      <c r="H225" t="s">
        <v>653</v>
      </c>
      <c r="I225" t="s">
        <v>679</v>
      </c>
      <c r="J225" t="s">
        <v>1517</v>
      </c>
      <c r="K225" t="s">
        <v>697</v>
      </c>
      <c r="L225" t="s">
        <v>702</v>
      </c>
      <c r="M225" t="s">
        <v>709</v>
      </c>
      <c r="N225" t="s">
        <v>721</v>
      </c>
      <c r="O225" t="s">
        <v>948</v>
      </c>
      <c r="P225">
        <v>1198.9000000000001</v>
      </c>
      <c r="Q225">
        <v>2941.2</v>
      </c>
      <c r="R225" t="s">
        <v>1492</v>
      </c>
      <c r="S225" s="31">
        <v>5.0999999999999997E-2</v>
      </c>
      <c r="T225">
        <v>24</v>
      </c>
      <c r="U225">
        <v>66988.771199999988</v>
      </c>
      <c r="V225">
        <v>1020584.8327099996</v>
      </c>
      <c r="W225">
        <v>28773.600000000002</v>
      </c>
      <c r="X225">
        <v>38215.171199999982</v>
      </c>
      <c r="Y225" s="31">
        <v>0.57047129713583977</v>
      </c>
      <c r="Z225">
        <v>202507</v>
      </c>
      <c r="AA225">
        <v>202301</v>
      </c>
      <c r="AB225" t="s">
        <v>1468</v>
      </c>
      <c r="AC225">
        <v>30</v>
      </c>
      <c r="AD225" t="s">
        <v>1483</v>
      </c>
      <c r="AE225">
        <v>1</v>
      </c>
      <c r="AF225">
        <v>0</v>
      </c>
    </row>
    <row r="226" spans="1:32" x14ac:dyDescent="0.25">
      <c r="A226" t="s">
        <v>230</v>
      </c>
      <c r="B226" s="4">
        <v>45035</v>
      </c>
      <c r="C226" t="s">
        <v>1446</v>
      </c>
      <c r="D226" t="s">
        <v>1480</v>
      </c>
      <c r="E226" s="4">
        <v>45053</v>
      </c>
      <c r="F226">
        <v>18</v>
      </c>
      <c r="G226" t="s">
        <v>641</v>
      </c>
      <c r="H226" t="s">
        <v>650</v>
      </c>
      <c r="I226" t="s">
        <v>666</v>
      </c>
      <c r="J226" t="s">
        <v>1504</v>
      </c>
      <c r="K226" t="s">
        <v>698</v>
      </c>
      <c r="L226" t="s">
        <v>699</v>
      </c>
      <c r="M226" t="s">
        <v>717</v>
      </c>
      <c r="N226" t="s">
        <v>723</v>
      </c>
      <c r="O226" t="s">
        <v>949</v>
      </c>
      <c r="P226">
        <v>1089.1500000000001</v>
      </c>
      <c r="Q226">
        <v>1088.2</v>
      </c>
      <c r="R226" t="s">
        <v>1492</v>
      </c>
      <c r="S226" s="31">
        <v>5.0999999999999997E-2</v>
      </c>
      <c r="T226">
        <v>15</v>
      </c>
      <c r="U226">
        <v>15490.527</v>
      </c>
      <c r="V226">
        <v>1020584.8327099996</v>
      </c>
      <c r="W226">
        <v>16337.250000000002</v>
      </c>
      <c r="X226">
        <v>-846.72300000000178</v>
      </c>
      <c r="Y226" s="31">
        <v>-5.4660696824582002E-2</v>
      </c>
      <c r="Z226">
        <v>202304</v>
      </c>
      <c r="AA226">
        <v>202301</v>
      </c>
      <c r="AB226" t="s">
        <v>1446</v>
      </c>
      <c r="AC226">
        <v>3</v>
      </c>
      <c r="AD226" t="s">
        <v>1484</v>
      </c>
      <c r="AE226">
        <v>0</v>
      </c>
      <c r="AF226">
        <v>0</v>
      </c>
    </row>
    <row r="227" spans="1:32" x14ac:dyDescent="0.25">
      <c r="A227" t="s">
        <v>231</v>
      </c>
      <c r="B227" s="4">
        <v>45279</v>
      </c>
      <c r="C227" t="s">
        <v>1450</v>
      </c>
      <c r="D227" t="s">
        <v>1482</v>
      </c>
      <c r="E227" s="4">
        <v>45280</v>
      </c>
      <c r="F227">
        <v>1</v>
      </c>
      <c r="G227" t="s">
        <v>640</v>
      </c>
      <c r="H227" t="s">
        <v>647</v>
      </c>
      <c r="I227" t="s">
        <v>684</v>
      </c>
      <c r="J227" t="s">
        <v>1522</v>
      </c>
      <c r="K227" t="s">
        <v>696</v>
      </c>
      <c r="L227" t="s">
        <v>702</v>
      </c>
      <c r="M227" t="s">
        <v>705</v>
      </c>
      <c r="N227" t="s">
        <v>722</v>
      </c>
      <c r="O227" t="s">
        <v>950</v>
      </c>
      <c r="P227">
        <v>1080.43</v>
      </c>
      <c r="Q227">
        <v>2529.15</v>
      </c>
      <c r="R227" t="s">
        <v>1492</v>
      </c>
      <c r="S227" s="31">
        <v>0.14699999999999999</v>
      </c>
      <c r="T227">
        <v>10</v>
      </c>
      <c r="U227">
        <v>21573.6495</v>
      </c>
      <c r="V227">
        <v>1020584.8327099996</v>
      </c>
      <c r="W227">
        <v>10804.300000000001</v>
      </c>
      <c r="X227">
        <v>10769.349499999998</v>
      </c>
      <c r="Y227" s="31">
        <v>0.49918997247081437</v>
      </c>
      <c r="Z227">
        <v>202312</v>
      </c>
      <c r="AA227">
        <v>202301</v>
      </c>
      <c r="AB227" t="s">
        <v>1450</v>
      </c>
      <c r="AC227">
        <v>11</v>
      </c>
      <c r="AD227" t="s">
        <v>1483</v>
      </c>
      <c r="AE227">
        <v>1</v>
      </c>
      <c r="AF227">
        <v>0</v>
      </c>
    </row>
    <row r="228" spans="1:32" x14ac:dyDescent="0.25">
      <c r="A228" t="s">
        <v>232</v>
      </c>
      <c r="B228" s="4">
        <v>45137</v>
      </c>
      <c r="C228" t="s">
        <v>1468</v>
      </c>
      <c r="D228" t="s">
        <v>1481</v>
      </c>
      <c r="E228" s="4">
        <v>45145</v>
      </c>
      <c r="F228">
        <v>8</v>
      </c>
      <c r="G228" t="s">
        <v>639</v>
      </c>
      <c r="H228" t="s">
        <v>644</v>
      </c>
      <c r="I228" t="s">
        <v>686</v>
      </c>
      <c r="J228" t="s">
        <v>1524</v>
      </c>
      <c r="K228" t="s">
        <v>694</v>
      </c>
      <c r="L228" t="s">
        <v>701</v>
      </c>
      <c r="M228" t="s">
        <v>712</v>
      </c>
      <c r="N228" t="s">
        <v>721</v>
      </c>
      <c r="O228" t="s">
        <v>951</v>
      </c>
      <c r="P228">
        <v>1352.44</v>
      </c>
      <c r="Q228">
        <v>2698.01</v>
      </c>
      <c r="R228" t="s">
        <v>1492</v>
      </c>
      <c r="S228" s="31">
        <v>0.13100000000000001</v>
      </c>
      <c r="T228">
        <v>13</v>
      </c>
      <c r="U228">
        <v>30479.418970000002</v>
      </c>
      <c r="V228">
        <v>1020584.8327099996</v>
      </c>
      <c r="W228">
        <v>17581.72</v>
      </c>
      <c r="X228">
        <v>12897.698970000001</v>
      </c>
      <c r="Y228" s="31">
        <v>0.42316091992090887</v>
      </c>
      <c r="Z228">
        <v>202307</v>
      </c>
      <c r="AA228">
        <v>202303</v>
      </c>
      <c r="AB228" t="s">
        <v>1468</v>
      </c>
      <c r="AC228">
        <v>4</v>
      </c>
      <c r="AD228" t="s">
        <v>1484</v>
      </c>
      <c r="AE228">
        <v>0</v>
      </c>
      <c r="AF228">
        <v>0</v>
      </c>
    </row>
    <row r="229" spans="1:32" x14ac:dyDescent="0.25">
      <c r="A229" t="s">
        <v>233</v>
      </c>
      <c r="B229" s="4">
        <v>45203</v>
      </c>
      <c r="C229" t="s">
        <v>1476</v>
      </c>
      <c r="D229" t="s">
        <v>1482</v>
      </c>
      <c r="E229" s="4">
        <v>45228</v>
      </c>
      <c r="F229">
        <v>25</v>
      </c>
      <c r="G229" t="s">
        <v>640</v>
      </c>
      <c r="H229" t="s">
        <v>652</v>
      </c>
      <c r="I229" t="s">
        <v>678</v>
      </c>
      <c r="J229" t="s">
        <v>1516</v>
      </c>
      <c r="K229" t="s">
        <v>697</v>
      </c>
      <c r="L229" t="s">
        <v>702</v>
      </c>
      <c r="M229" t="s">
        <v>711</v>
      </c>
      <c r="N229" t="s">
        <v>725</v>
      </c>
      <c r="O229" t="s">
        <v>952</v>
      </c>
      <c r="P229">
        <v>1239.8399999999999</v>
      </c>
      <c r="Q229">
        <v>1482.75</v>
      </c>
      <c r="R229" t="s">
        <v>1492</v>
      </c>
      <c r="S229" s="31">
        <v>6.7000000000000004E-2</v>
      </c>
      <c r="T229">
        <v>4</v>
      </c>
      <c r="U229">
        <v>5533.6230000000005</v>
      </c>
      <c r="V229">
        <v>1020584.8327099996</v>
      </c>
      <c r="W229">
        <v>4959.3599999999997</v>
      </c>
      <c r="X229">
        <v>574.26300000000083</v>
      </c>
      <c r="Y229" s="31">
        <v>0.10377703721413634</v>
      </c>
      <c r="Z229">
        <v>202310</v>
      </c>
      <c r="AA229">
        <v>202301</v>
      </c>
      <c r="AB229" t="s">
        <v>1476</v>
      </c>
      <c r="AC229">
        <v>9</v>
      </c>
      <c r="AD229" t="s">
        <v>1484</v>
      </c>
      <c r="AE229">
        <v>0</v>
      </c>
      <c r="AF229">
        <v>0</v>
      </c>
    </row>
    <row r="230" spans="1:32" x14ac:dyDescent="0.25">
      <c r="A230" t="s">
        <v>234</v>
      </c>
      <c r="B230" s="4">
        <v>45879</v>
      </c>
      <c r="C230" t="s">
        <v>1449</v>
      </c>
      <c r="D230" t="s">
        <v>1481</v>
      </c>
      <c r="E230" s="4">
        <v>45899</v>
      </c>
      <c r="F230">
        <v>20</v>
      </c>
      <c r="G230" t="s">
        <v>640</v>
      </c>
      <c r="H230" t="s">
        <v>652</v>
      </c>
      <c r="I230" t="s">
        <v>678</v>
      </c>
      <c r="J230" t="s">
        <v>1516</v>
      </c>
      <c r="K230" t="s">
        <v>693</v>
      </c>
      <c r="L230" t="s">
        <v>701</v>
      </c>
      <c r="M230" t="s">
        <v>715</v>
      </c>
      <c r="N230" t="s">
        <v>720</v>
      </c>
      <c r="O230" t="s">
        <v>953</v>
      </c>
      <c r="P230">
        <v>933.29</v>
      </c>
      <c r="Q230">
        <v>1456.81</v>
      </c>
      <c r="R230" t="s">
        <v>1496</v>
      </c>
      <c r="S230" s="31">
        <v>0.123</v>
      </c>
      <c r="T230">
        <v>13</v>
      </c>
      <c r="U230">
        <v>16609.090809999998</v>
      </c>
      <c r="V230">
        <v>1020584.8327099996</v>
      </c>
      <c r="W230">
        <v>12132.77</v>
      </c>
      <c r="X230">
        <v>4476.3208099999974</v>
      </c>
      <c r="Y230" s="31">
        <v>0.26951028573489977</v>
      </c>
      <c r="Z230">
        <v>202508</v>
      </c>
      <c r="AA230">
        <v>202301</v>
      </c>
      <c r="AB230" t="s">
        <v>1448</v>
      </c>
      <c r="AC230">
        <v>31</v>
      </c>
      <c r="AD230" t="s">
        <v>1484</v>
      </c>
      <c r="AE230">
        <v>0</v>
      </c>
      <c r="AF230">
        <v>0</v>
      </c>
    </row>
    <row r="231" spans="1:32" x14ac:dyDescent="0.25">
      <c r="A231" t="s">
        <v>235</v>
      </c>
      <c r="B231" s="4">
        <v>44992</v>
      </c>
      <c r="C231" t="s">
        <v>1469</v>
      </c>
      <c r="D231" t="s">
        <v>1479</v>
      </c>
      <c r="E231" s="4">
        <v>45017</v>
      </c>
      <c r="F231">
        <v>25</v>
      </c>
      <c r="G231" t="s">
        <v>638</v>
      </c>
      <c r="H231" t="s">
        <v>642</v>
      </c>
      <c r="I231" t="s">
        <v>656</v>
      </c>
      <c r="J231" t="s">
        <v>1493</v>
      </c>
      <c r="K231" t="s">
        <v>696</v>
      </c>
      <c r="L231" t="s">
        <v>701</v>
      </c>
      <c r="M231" t="s">
        <v>718</v>
      </c>
      <c r="N231" t="s">
        <v>720</v>
      </c>
      <c r="O231" t="s">
        <v>954</v>
      </c>
      <c r="P231">
        <v>1024.0999999999999</v>
      </c>
      <c r="Q231">
        <v>918.19</v>
      </c>
      <c r="R231" t="s">
        <v>1492</v>
      </c>
      <c r="S231" s="31">
        <v>0.189</v>
      </c>
      <c r="T231">
        <v>10</v>
      </c>
      <c r="U231">
        <v>7446.5209000000004</v>
      </c>
      <c r="V231">
        <v>1020584.8327099996</v>
      </c>
      <c r="W231">
        <v>10241</v>
      </c>
      <c r="X231">
        <v>-2794.4790999999996</v>
      </c>
      <c r="Y231" s="31">
        <v>-0.37527311579827827</v>
      </c>
      <c r="Z231">
        <v>202303</v>
      </c>
      <c r="AA231">
        <v>202301</v>
      </c>
      <c r="AB231" t="s">
        <v>1469</v>
      </c>
      <c r="AC231">
        <v>2</v>
      </c>
      <c r="AD231" t="s">
        <v>1484</v>
      </c>
      <c r="AE231">
        <v>0</v>
      </c>
      <c r="AF231">
        <v>0</v>
      </c>
    </row>
    <row r="232" spans="1:32" x14ac:dyDescent="0.25">
      <c r="A232" t="s">
        <v>236</v>
      </c>
      <c r="B232" s="4">
        <v>45069</v>
      </c>
      <c r="C232" t="s">
        <v>1462</v>
      </c>
      <c r="D232" t="s">
        <v>1480</v>
      </c>
      <c r="E232" s="4">
        <v>45087</v>
      </c>
      <c r="F232">
        <v>18</v>
      </c>
      <c r="G232" t="s">
        <v>639</v>
      </c>
      <c r="H232" t="s">
        <v>651</v>
      </c>
      <c r="I232" t="s">
        <v>677</v>
      </c>
      <c r="J232" t="s">
        <v>1515</v>
      </c>
      <c r="K232" t="s">
        <v>693</v>
      </c>
      <c r="L232" t="s">
        <v>702</v>
      </c>
      <c r="M232" t="s">
        <v>710</v>
      </c>
      <c r="N232" t="s">
        <v>719</v>
      </c>
      <c r="O232" t="s">
        <v>955</v>
      </c>
      <c r="P232">
        <v>54.62</v>
      </c>
      <c r="Q232">
        <v>48.94</v>
      </c>
      <c r="R232" t="s">
        <v>1490</v>
      </c>
      <c r="S232" s="31">
        <v>0.14799999999999999</v>
      </c>
      <c r="T232">
        <v>16</v>
      </c>
      <c r="U232">
        <v>667.15008</v>
      </c>
      <c r="V232">
        <v>1020584.8327099996</v>
      </c>
      <c r="W232">
        <v>873.92</v>
      </c>
      <c r="X232">
        <v>-206.76991999999996</v>
      </c>
      <c r="Y232" s="31">
        <v>-0.3099301434543783</v>
      </c>
      <c r="Z232">
        <v>202305</v>
      </c>
      <c r="AA232">
        <v>202301</v>
      </c>
      <c r="AB232" t="s">
        <v>1462</v>
      </c>
      <c r="AC232">
        <v>4</v>
      </c>
      <c r="AD232" t="s">
        <v>1484</v>
      </c>
      <c r="AE232">
        <v>0</v>
      </c>
      <c r="AF232">
        <v>0</v>
      </c>
    </row>
    <row r="233" spans="1:32" x14ac:dyDescent="0.25">
      <c r="A233" t="s">
        <v>237</v>
      </c>
      <c r="B233" s="4">
        <v>45771</v>
      </c>
      <c r="C233" t="s">
        <v>1473</v>
      </c>
      <c r="D233" t="s">
        <v>1480</v>
      </c>
      <c r="E233" s="4">
        <v>45783</v>
      </c>
      <c r="F233">
        <v>12</v>
      </c>
      <c r="G233" t="s">
        <v>640</v>
      </c>
      <c r="H233" t="s">
        <v>647</v>
      </c>
      <c r="I233" t="s">
        <v>664</v>
      </c>
      <c r="J233" t="s">
        <v>1502</v>
      </c>
      <c r="K233" t="s">
        <v>696</v>
      </c>
      <c r="L233" t="s">
        <v>700</v>
      </c>
      <c r="M233" t="s">
        <v>704</v>
      </c>
      <c r="N233" t="s">
        <v>722</v>
      </c>
      <c r="O233" t="s">
        <v>956</v>
      </c>
      <c r="P233">
        <v>394.13</v>
      </c>
      <c r="Q233">
        <v>932.29</v>
      </c>
      <c r="R233" t="s">
        <v>1490</v>
      </c>
      <c r="S233" s="31">
        <v>0.109</v>
      </c>
      <c r="T233">
        <v>7</v>
      </c>
      <c r="U233">
        <v>5814.6927299999998</v>
      </c>
      <c r="V233">
        <v>1019917.6826299996</v>
      </c>
      <c r="W233">
        <v>2758.91</v>
      </c>
      <c r="X233">
        <v>3055.7827299999999</v>
      </c>
      <c r="Y233" s="31">
        <v>0.5255278089303268</v>
      </c>
      <c r="Z233">
        <v>202504</v>
      </c>
      <c r="AA233">
        <v>202301</v>
      </c>
      <c r="AB233" t="s">
        <v>1446</v>
      </c>
      <c r="AC233">
        <v>27</v>
      </c>
      <c r="AD233" t="s">
        <v>1484</v>
      </c>
      <c r="AE233">
        <v>0</v>
      </c>
      <c r="AF233">
        <v>0</v>
      </c>
    </row>
    <row r="234" spans="1:32" x14ac:dyDescent="0.25">
      <c r="A234" t="s">
        <v>238</v>
      </c>
      <c r="B234" s="4">
        <v>45538</v>
      </c>
      <c r="C234" t="s">
        <v>1466</v>
      </c>
      <c r="D234" t="s">
        <v>1481</v>
      </c>
      <c r="E234" s="4">
        <v>45543</v>
      </c>
      <c r="F234">
        <v>5</v>
      </c>
      <c r="G234" t="s">
        <v>638</v>
      </c>
      <c r="H234" t="s">
        <v>643</v>
      </c>
      <c r="I234" t="s">
        <v>657</v>
      </c>
      <c r="J234" t="s">
        <v>1494</v>
      </c>
      <c r="K234" t="s">
        <v>697</v>
      </c>
      <c r="L234" t="s">
        <v>703</v>
      </c>
      <c r="M234" t="s">
        <v>715</v>
      </c>
      <c r="N234" t="s">
        <v>720</v>
      </c>
      <c r="O234" t="s">
        <v>957</v>
      </c>
      <c r="P234">
        <v>197.63</v>
      </c>
      <c r="Q234">
        <v>325.79000000000002</v>
      </c>
      <c r="R234" t="s">
        <v>1490</v>
      </c>
      <c r="S234" s="31">
        <v>0.11600000000000001</v>
      </c>
      <c r="T234">
        <v>10</v>
      </c>
      <c r="U234">
        <v>2879.9836</v>
      </c>
      <c r="V234">
        <v>1019917.6826299996</v>
      </c>
      <c r="W234">
        <v>1976.3</v>
      </c>
      <c r="X234">
        <v>903.68360000000007</v>
      </c>
      <c r="Y234" s="31">
        <v>0.31378081458519419</v>
      </c>
      <c r="Z234">
        <v>202409</v>
      </c>
      <c r="AA234">
        <v>202301</v>
      </c>
      <c r="AB234" t="s">
        <v>1465</v>
      </c>
      <c r="AC234">
        <v>20</v>
      </c>
      <c r="AD234" t="s">
        <v>1483</v>
      </c>
      <c r="AE234">
        <v>1</v>
      </c>
      <c r="AF234">
        <v>0</v>
      </c>
    </row>
    <row r="235" spans="1:32" x14ac:dyDescent="0.25">
      <c r="A235" t="s">
        <v>239</v>
      </c>
      <c r="B235" s="4">
        <v>45540</v>
      </c>
      <c r="C235" t="s">
        <v>1466</v>
      </c>
      <c r="D235" t="s">
        <v>1481</v>
      </c>
      <c r="E235" s="4">
        <v>45560</v>
      </c>
      <c r="F235">
        <v>20</v>
      </c>
      <c r="G235" t="s">
        <v>639</v>
      </c>
      <c r="H235" t="s">
        <v>644</v>
      </c>
      <c r="I235" t="s">
        <v>658</v>
      </c>
      <c r="J235" t="s">
        <v>1495</v>
      </c>
      <c r="K235" t="s">
        <v>698</v>
      </c>
      <c r="L235" t="s">
        <v>702</v>
      </c>
      <c r="M235" t="s">
        <v>718</v>
      </c>
      <c r="N235" t="s">
        <v>724</v>
      </c>
      <c r="O235" t="s">
        <v>958</v>
      </c>
      <c r="P235">
        <v>195.54</v>
      </c>
      <c r="Q235">
        <v>405.97</v>
      </c>
      <c r="R235" t="s">
        <v>1490</v>
      </c>
      <c r="S235" s="31">
        <v>0.187</v>
      </c>
      <c r="T235">
        <v>16</v>
      </c>
      <c r="U235">
        <v>5280.8577599999999</v>
      </c>
      <c r="V235">
        <v>1019917.6826299996</v>
      </c>
      <c r="W235">
        <v>3128.64</v>
      </c>
      <c r="X235">
        <v>2152.21776</v>
      </c>
      <c r="Y235" s="31">
        <v>0.40755079152141377</v>
      </c>
      <c r="Z235">
        <v>202409</v>
      </c>
      <c r="AA235">
        <v>202303</v>
      </c>
      <c r="AB235" t="s">
        <v>1465</v>
      </c>
      <c r="AC235">
        <v>18</v>
      </c>
      <c r="AD235" t="s">
        <v>1484</v>
      </c>
      <c r="AE235">
        <v>0</v>
      </c>
      <c r="AF235">
        <v>0</v>
      </c>
    </row>
    <row r="236" spans="1:32" x14ac:dyDescent="0.25">
      <c r="A236" t="s">
        <v>240</v>
      </c>
      <c r="B236" s="4">
        <v>44999</v>
      </c>
      <c r="C236" t="s">
        <v>1469</v>
      </c>
      <c r="D236" t="s">
        <v>1479</v>
      </c>
      <c r="E236" s="4">
        <v>45015</v>
      </c>
      <c r="F236">
        <v>16</v>
      </c>
      <c r="G236" t="s">
        <v>638</v>
      </c>
      <c r="H236" t="s">
        <v>653</v>
      </c>
      <c r="I236" t="s">
        <v>687</v>
      </c>
      <c r="J236" t="s">
        <v>1525</v>
      </c>
      <c r="K236" t="s">
        <v>696</v>
      </c>
      <c r="L236" t="s">
        <v>702</v>
      </c>
      <c r="M236" t="s">
        <v>715</v>
      </c>
      <c r="N236" t="s">
        <v>719</v>
      </c>
      <c r="O236" t="s">
        <v>959</v>
      </c>
      <c r="P236">
        <v>1309.77</v>
      </c>
      <c r="Q236">
        <v>1589.07</v>
      </c>
      <c r="R236" t="s">
        <v>1492</v>
      </c>
      <c r="S236" s="31">
        <v>0.10199999999999999</v>
      </c>
      <c r="T236">
        <v>10</v>
      </c>
      <c r="U236">
        <v>14269.848599999999</v>
      </c>
      <c r="V236">
        <v>1019917.6826299996</v>
      </c>
      <c r="W236">
        <v>13097.7</v>
      </c>
      <c r="X236">
        <v>1172.1485999999986</v>
      </c>
      <c r="Y236" s="31">
        <v>8.2141628328137886E-2</v>
      </c>
      <c r="Z236">
        <v>202303</v>
      </c>
      <c r="AA236">
        <v>202301</v>
      </c>
      <c r="AB236" t="s">
        <v>1469</v>
      </c>
      <c r="AC236">
        <v>2</v>
      </c>
      <c r="AD236" t="s">
        <v>1484</v>
      </c>
      <c r="AE236">
        <v>0</v>
      </c>
      <c r="AF236">
        <v>0</v>
      </c>
    </row>
    <row r="237" spans="1:32" x14ac:dyDescent="0.25">
      <c r="A237" t="s">
        <v>241</v>
      </c>
      <c r="B237" s="4">
        <v>45302</v>
      </c>
      <c r="C237" t="s">
        <v>1454</v>
      </c>
      <c r="D237" t="s">
        <v>1479</v>
      </c>
      <c r="E237" s="4">
        <v>45324</v>
      </c>
      <c r="F237">
        <v>22</v>
      </c>
      <c r="G237" t="s">
        <v>639</v>
      </c>
      <c r="H237" t="s">
        <v>644</v>
      </c>
      <c r="I237" t="s">
        <v>686</v>
      </c>
      <c r="J237" t="s">
        <v>1524</v>
      </c>
      <c r="K237" t="s">
        <v>697</v>
      </c>
      <c r="L237" t="s">
        <v>700</v>
      </c>
      <c r="M237" t="s">
        <v>1413</v>
      </c>
      <c r="N237" t="s">
        <v>720</v>
      </c>
      <c r="O237" t="s">
        <v>960</v>
      </c>
      <c r="P237">
        <v>1237.68</v>
      </c>
      <c r="Q237">
        <v>1432.8</v>
      </c>
      <c r="R237" t="s">
        <v>1492</v>
      </c>
      <c r="S237" s="31">
        <v>6.8000000000000005E-2</v>
      </c>
      <c r="T237">
        <v>13</v>
      </c>
      <c r="U237">
        <v>17359.804799999998</v>
      </c>
      <c r="V237">
        <v>1005647.8340299997</v>
      </c>
      <c r="W237">
        <v>16089.84</v>
      </c>
      <c r="X237">
        <v>1269.9647999999979</v>
      </c>
      <c r="Y237" s="31">
        <v>7.315547695559331E-2</v>
      </c>
      <c r="Z237">
        <v>202401</v>
      </c>
      <c r="AA237">
        <v>202303</v>
      </c>
      <c r="AB237" t="s">
        <v>1477</v>
      </c>
      <c r="AC237">
        <v>10</v>
      </c>
      <c r="AD237" t="s">
        <v>1484</v>
      </c>
      <c r="AE237">
        <v>0</v>
      </c>
      <c r="AF237">
        <v>0</v>
      </c>
    </row>
    <row r="238" spans="1:32" x14ac:dyDescent="0.25">
      <c r="A238" t="s">
        <v>242</v>
      </c>
      <c r="B238" s="4">
        <v>45548</v>
      </c>
      <c r="C238" t="s">
        <v>1466</v>
      </c>
      <c r="D238" t="s">
        <v>1481</v>
      </c>
      <c r="E238" s="4">
        <v>45567</v>
      </c>
      <c r="F238">
        <v>19</v>
      </c>
      <c r="G238" t="s">
        <v>638</v>
      </c>
      <c r="H238" t="s">
        <v>642</v>
      </c>
      <c r="I238" t="s">
        <v>667</v>
      </c>
      <c r="J238" t="s">
        <v>1505</v>
      </c>
      <c r="K238" t="s">
        <v>697</v>
      </c>
      <c r="L238" t="s">
        <v>699</v>
      </c>
      <c r="M238" t="s">
        <v>716</v>
      </c>
      <c r="N238" t="s">
        <v>722</v>
      </c>
      <c r="O238" t="s">
        <v>961</v>
      </c>
      <c r="P238">
        <v>1338.99</v>
      </c>
      <c r="Q238">
        <v>1765.76</v>
      </c>
      <c r="R238" t="s">
        <v>1492</v>
      </c>
      <c r="S238" s="31">
        <v>0.126</v>
      </c>
      <c r="T238">
        <v>24</v>
      </c>
      <c r="U238">
        <v>37038.581760000001</v>
      </c>
      <c r="V238">
        <v>1005647.8340299997</v>
      </c>
      <c r="W238">
        <v>32135.760000000002</v>
      </c>
      <c r="X238">
        <v>4902.8217599999989</v>
      </c>
      <c r="Y238" s="31">
        <v>0.1323706666677725</v>
      </c>
      <c r="Z238">
        <v>202409</v>
      </c>
      <c r="AA238">
        <v>202301</v>
      </c>
      <c r="AB238" t="s">
        <v>1465</v>
      </c>
      <c r="AC238">
        <v>20</v>
      </c>
      <c r="AD238" t="s">
        <v>1484</v>
      </c>
      <c r="AE238">
        <v>0</v>
      </c>
      <c r="AF238">
        <v>0</v>
      </c>
    </row>
    <row r="239" spans="1:32" x14ac:dyDescent="0.25">
      <c r="A239" t="s">
        <v>243</v>
      </c>
      <c r="B239" s="4">
        <v>45855</v>
      </c>
      <c r="C239" t="s">
        <v>1457</v>
      </c>
      <c r="D239" t="s">
        <v>1481</v>
      </c>
      <c r="E239" s="4">
        <v>45861</v>
      </c>
      <c r="F239">
        <v>6</v>
      </c>
      <c r="G239" t="s">
        <v>640</v>
      </c>
      <c r="H239" t="s">
        <v>645</v>
      </c>
      <c r="I239" t="s">
        <v>680</v>
      </c>
      <c r="J239" t="s">
        <v>1518</v>
      </c>
      <c r="K239" t="s">
        <v>696</v>
      </c>
      <c r="L239" t="s">
        <v>700</v>
      </c>
      <c r="M239" t="s">
        <v>714</v>
      </c>
      <c r="N239" t="s">
        <v>719</v>
      </c>
      <c r="O239" t="s">
        <v>962</v>
      </c>
      <c r="P239">
        <v>1364.89</v>
      </c>
      <c r="Q239">
        <v>2757.54</v>
      </c>
      <c r="R239" t="s">
        <v>1492</v>
      </c>
      <c r="S239" s="31">
        <v>0.17199999999999999</v>
      </c>
      <c r="T239">
        <v>61</v>
      </c>
      <c r="U239">
        <v>139277.83032000001</v>
      </c>
      <c r="V239">
        <v>1005647.8340299997</v>
      </c>
      <c r="W239">
        <v>83258.290000000008</v>
      </c>
      <c r="X239">
        <v>56019.54032</v>
      </c>
      <c r="Y239" s="31">
        <v>0.4022143379983118</v>
      </c>
      <c r="Z239">
        <v>202507</v>
      </c>
      <c r="AA239">
        <v>202301</v>
      </c>
      <c r="AB239" t="s">
        <v>1468</v>
      </c>
      <c r="AC239">
        <v>30</v>
      </c>
      <c r="AD239" t="s">
        <v>1483</v>
      </c>
      <c r="AE239">
        <v>1</v>
      </c>
      <c r="AF239">
        <v>0</v>
      </c>
    </row>
    <row r="240" spans="1:32" x14ac:dyDescent="0.25">
      <c r="A240" t="s">
        <v>244</v>
      </c>
      <c r="B240" s="4">
        <v>45258</v>
      </c>
      <c r="C240" t="s">
        <v>1475</v>
      </c>
      <c r="D240" t="s">
        <v>1482</v>
      </c>
      <c r="E240" s="4">
        <v>45267</v>
      </c>
      <c r="F240">
        <v>9</v>
      </c>
      <c r="G240" t="s">
        <v>639</v>
      </c>
      <c r="H240" t="s">
        <v>646</v>
      </c>
      <c r="I240" t="s">
        <v>672</v>
      </c>
      <c r="J240" t="s">
        <v>1510</v>
      </c>
      <c r="K240" t="s">
        <v>698</v>
      </c>
      <c r="L240" t="s">
        <v>701</v>
      </c>
      <c r="M240" t="s">
        <v>708</v>
      </c>
      <c r="N240" t="s">
        <v>722</v>
      </c>
      <c r="O240" t="s">
        <v>963</v>
      </c>
      <c r="P240">
        <v>699.33</v>
      </c>
      <c r="Q240">
        <v>873.75</v>
      </c>
      <c r="R240" t="s">
        <v>1496</v>
      </c>
      <c r="S240" s="31">
        <v>0.23499999999999999</v>
      </c>
      <c r="T240">
        <v>10</v>
      </c>
      <c r="U240">
        <v>6684.1875</v>
      </c>
      <c r="V240">
        <v>866370.00370999996</v>
      </c>
      <c r="W240">
        <v>6993.3</v>
      </c>
      <c r="X240">
        <v>-309.11250000000018</v>
      </c>
      <c r="Y240" s="31">
        <v>-4.6245336475076469E-2</v>
      </c>
      <c r="Z240">
        <v>202311</v>
      </c>
      <c r="AA240">
        <v>202301</v>
      </c>
      <c r="AB240" t="s">
        <v>1475</v>
      </c>
      <c r="AC240">
        <v>10</v>
      </c>
      <c r="AD240" t="s">
        <v>1484</v>
      </c>
      <c r="AE240">
        <v>0</v>
      </c>
      <c r="AF240">
        <v>1</v>
      </c>
    </row>
    <row r="241" spans="1:32" x14ac:dyDescent="0.25">
      <c r="A241" t="s">
        <v>245</v>
      </c>
      <c r="B241" s="4">
        <v>45381</v>
      </c>
      <c r="C241" t="s">
        <v>1470</v>
      </c>
      <c r="D241" t="s">
        <v>1479</v>
      </c>
      <c r="E241" s="4">
        <v>45406</v>
      </c>
      <c r="F241">
        <v>25</v>
      </c>
      <c r="G241" t="s">
        <v>640</v>
      </c>
      <c r="H241" t="s">
        <v>652</v>
      </c>
      <c r="I241" t="s">
        <v>689</v>
      </c>
      <c r="J241" t="s">
        <v>1528</v>
      </c>
      <c r="K241" t="s">
        <v>695</v>
      </c>
      <c r="L241" t="s">
        <v>700</v>
      </c>
      <c r="M241" t="s">
        <v>707</v>
      </c>
      <c r="N241" t="s">
        <v>723</v>
      </c>
      <c r="O241" t="s">
        <v>964</v>
      </c>
      <c r="P241">
        <v>160.82</v>
      </c>
      <c r="Q241">
        <v>258.52</v>
      </c>
      <c r="R241" t="s">
        <v>1490</v>
      </c>
      <c r="S241" s="31">
        <v>0.13</v>
      </c>
      <c r="T241">
        <v>17</v>
      </c>
      <c r="U241">
        <v>3823.5108</v>
      </c>
      <c r="V241">
        <v>866370.00370999996</v>
      </c>
      <c r="W241">
        <v>2733.94</v>
      </c>
      <c r="X241">
        <v>1089.5708</v>
      </c>
      <c r="Y241" s="31">
        <v>0.28496605789631874</v>
      </c>
      <c r="Z241">
        <v>202403</v>
      </c>
      <c r="AA241">
        <v>202301</v>
      </c>
      <c r="AB241" t="s">
        <v>1469</v>
      </c>
      <c r="AC241">
        <v>14</v>
      </c>
      <c r="AD241" t="s">
        <v>1484</v>
      </c>
      <c r="AE241">
        <v>0</v>
      </c>
      <c r="AF241">
        <v>0</v>
      </c>
    </row>
    <row r="242" spans="1:32" x14ac:dyDescent="0.25">
      <c r="A242" t="s">
        <v>246</v>
      </c>
      <c r="B242" s="4">
        <v>45188</v>
      </c>
      <c r="C242" t="s">
        <v>1465</v>
      </c>
      <c r="D242" t="s">
        <v>1481</v>
      </c>
      <c r="E242" s="4">
        <v>45207</v>
      </c>
      <c r="F242">
        <v>19</v>
      </c>
      <c r="G242" t="s">
        <v>639</v>
      </c>
      <c r="H242" t="s">
        <v>646</v>
      </c>
      <c r="I242" t="s">
        <v>660</v>
      </c>
      <c r="J242" t="s">
        <v>1498</v>
      </c>
      <c r="K242" t="s">
        <v>694</v>
      </c>
      <c r="L242" t="s">
        <v>703</v>
      </c>
      <c r="M242" t="s">
        <v>705</v>
      </c>
      <c r="N242" t="s">
        <v>720</v>
      </c>
      <c r="O242" t="s">
        <v>965</v>
      </c>
      <c r="P242">
        <v>385.32</v>
      </c>
      <c r="Q242">
        <v>606.76</v>
      </c>
      <c r="R242" t="s">
        <v>1490</v>
      </c>
      <c r="S242" s="31">
        <v>8.5999999999999993E-2</v>
      </c>
      <c r="T242">
        <v>8</v>
      </c>
      <c r="U242">
        <v>4436.6291200000005</v>
      </c>
      <c r="V242">
        <v>866370.00370999996</v>
      </c>
      <c r="W242">
        <v>3082.56</v>
      </c>
      <c r="X242">
        <v>1354.0691200000006</v>
      </c>
      <c r="Y242" s="31">
        <v>0.30520223425842735</v>
      </c>
      <c r="Z242">
        <v>202309</v>
      </c>
      <c r="AA242">
        <v>202301</v>
      </c>
      <c r="AB242" t="s">
        <v>1465</v>
      </c>
      <c r="AC242">
        <v>8</v>
      </c>
      <c r="AD242" t="s">
        <v>1484</v>
      </c>
      <c r="AE242">
        <v>0</v>
      </c>
      <c r="AF242">
        <v>0</v>
      </c>
    </row>
    <row r="243" spans="1:32" x14ac:dyDescent="0.25">
      <c r="A243" t="s">
        <v>247</v>
      </c>
      <c r="B243" s="4">
        <v>45793</v>
      </c>
      <c r="C243" t="s">
        <v>1471</v>
      </c>
      <c r="D243" t="s">
        <v>1480</v>
      </c>
      <c r="E243" s="4">
        <v>45804</v>
      </c>
      <c r="F243">
        <v>11</v>
      </c>
      <c r="G243" t="s">
        <v>639</v>
      </c>
      <c r="H243" t="s">
        <v>651</v>
      </c>
      <c r="I243" t="s">
        <v>691</v>
      </c>
      <c r="J243" t="s">
        <v>1530</v>
      </c>
      <c r="K243" t="s">
        <v>698</v>
      </c>
      <c r="L243" t="s">
        <v>700</v>
      </c>
      <c r="M243" t="s">
        <v>713</v>
      </c>
      <c r="N243" t="s">
        <v>722</v>
      </c>
      <c r="O243" t="s">
        <v>966</v>
      </c>
      <c r="P243">
        <v>918.12</v>
      </c>
      <c r="Q243">
        <v>1337.69</v>
      </c>
      <c r="R243" t="s">
        <v>1496</v>
      </c>
      <c r="S243" s="31">
        <v>9.5000000000000001E-2</v>
      </c>
      <c r="T243">
        <v>8</v>
      </c>
      <c r="U243">
        <v>9684.8756000000012</v>
      </c>
      <c r="V243">
        <v>866370.00370999996</v>
      </c>
      <c r="W243">
        <v>7344.96</v>
      </c>
      <c r="X243">
        <v>2339.9156000000012</v>
      </c>
      <c r="Y243" s="31">
        <v>0.24160512707050164</v>
      </c>
      <c r="Z243">
        <v>202505</v>
      </c>
      <c r="AA243">
        <v>202301</v>
      </c>
      <c r="AB243" t="s">
        <v>1462</v>
      </c>
      <c r="AC243">
        <v>28</v>
      </c>
      <c r="AD243" t="s">
        <v>1484</v>
      </c>
      <c r="AE243">
        <v>0</v>
      </c>
      <c r="AF243">
        <v>0</v>
      </c>
    </row>
    <row r="244" spans="1:32" x14ac:dyDescent="0.25">
      <c r="A244" t="s">
        <v>248</v>
      </c>
      <c r="B244" s="4">
        <v>45871</v>
      </c>
      <c r="C244" t="s">
        <v>1449</v>
      </c>
      <c r="D244" t="s">
        <v>1481</v>
      </c>
      <c r="E244" s="4">
        <v>45877</v>
      </c>
      <c r="F244">
        <v>6</v>
      </c>
      <c r="G244" t="s">
        <v>639</v>
      </c>
      <c r="H244" t="s">
        <v>644</v>
      </c>
      <c r="I244" t="s">
        <v>658</v>
      </c>
      <c r="J244" t="s">
        <v>1495</v>
      </c>
      <c r="K244" t="s">
        <v>696</v>
      </c>
      <c r="L244" t="s">
        <v>703</v>
      </c>
      <c r="M244" t="s">
        <v>717</v>
      </c>
      <c r="N244" t="s">
        <v>723</v>
      </c>
      <c r="O244" t="s">
        <v>967</v>
      </c>
      <c r="P244">
        <v>1225.94</v>
      </c>
      <c r="Q244">
        <v>1793.08</v>
      </c>
      <c r="R244" t="s">
        <v>1492</v>
      </c>
      <c r="S244" s="31">
        <v>0.13600000000000001</v>
      </c>
      <c r="T244">
        <v>22</v>
      </c>
      <c r="U244">
        <v>34082.864639999993</v>
      </c>
      <c r="V244">
        <v>866370.00370999996</v>
      </c>
      <c r="W244">
        <v>26970.68</v>
      </c>
      <c r="X244">
        <v>7112.1846399999922</v>
      </c>
      <c r="Y244" s="31">
        <v>0.20867332353434462</v>
      </c>
      <c r="Z244">
        <v>202508</v>
      </c>
      <c r="AA244">
        <v>202303</v>
      </c>
      <c r="AB244" t="s">
        <v>1448</v>
      </c>
      <c r="AC244">
        <v>29</v>
      </c>
      <c r="AD244" t="s">
        <v>1483</v>
      </c>
      <c r="AE244">
        <v>1</v>
      </c>
      <c r="AF244">
        <v>0</v>
      </c>
    </row>
    <row r="245" spans="1:32" x14ac:dyDescent="0.25">
      <c r="A245" t="s">
        <v>249</v>
      </c>
      <c r="B245" s="4">
        <v>45630</v>
      </c>
      <c r="C245" t="s">
        <v>1478</v>
      </c>
      <c r="D245" t="s">
        <v>1482</v>
      </c>
      <c r="E245" s="4">
        <v>45638</v>
      </c>
      <c r="F245">
        <v>8</v>
      </c>
      <c r="G245" t="s">
        <v>641</v>
      </c>
      <c r="H245" t="s">
        <v>648</v>
      </c>
      <c r="I245" t="s">
        <v>690</v>
      </c>
      <c r="J245" t="s">
        <v>1529</v>
      </c>
      <c r="K245" t="s">
        <v>698</v>
      </c>
      <c r="L245" t="s">
        <v>701</v>
      </c>
      <c r="M245" t="s">
        <v>709</v>
      </c>
      <c r="N245" t="s">
        <v>720</v>
      </c>
      <c r="O245" t="s">
        <v>968</v>
      </c>
      <c r="P245">
        <v>72.06</v>
      </c>
      <c r="Q245">
        <v>122.74</v>
      </c>
      <c r="R245" t="s">
        <v>1490</v>
      </c>
      <c r="S245" s="31">
        <v>0.23799999999999999</v>
      </c>
      <c r="T245">
        <v>8</v>
      </c>
      <c r="U245">
        <v>748.22303999999997</v>
      </c>
      <c r="V245">
        <v>866370.00370999996</v>
      </c>
      <c r="W245">
        <v>576.48</v>
      </c>
      <c r="X245">
        <v>171.74303999999995</v>
      </c>
      <c r="Y245" s="31">
        <v>0.22953455162246802</v>
      </c>
      <c r="Z245">
        <v>202412</v>
      </c>
      <c r="AA245">
        <v>202301</v>
      </c>
      <c r="AB245" t="s">
        <v>1450</v>
      </c>
      <c r="AC245">
        <v>23</v>
      </c>
      <c r="AD245" t="s">
        <v>1484</v>
      </c>
      <c r="AE245">
        <v>0</v>
      </c>
      <c r="AF245">
        <v>1</v>
      </c>
    </row>
    <row r="246" spans="1:32" x14ac:dyDescent="0.25">
      <c r="A246" t="s">
        <v>250</v>
      </c>
      <c r="B246" s="4">
        <v>45035</v>
      </c>
      <c r="C246" t="s">
        <v>1446</v>
      </c>
      <c r="D246" t="s">
        <v>1480</v>
      </c>
      <c r="E246" s="4">
        <v>45044</v>
      </c>
      <c r="F246">
        <v>9</v>
      </c>
      <c r="G246" t="s">
        <v>640</v>
      </c>
      <c r="H246" t="s">
        <v>647</v>
      </c>
      <c r="I246" t="s">
        <v>684</v>
      </c>
      <c r="J246" t="s">
        <v>1522</v>
      </c>
      <c r="K246" t="s">
        <v>693</v>
      </c>
      <c r="L246" t="s">
        <v>702</v>
      </c>
      <c r="M246" t="s">
        <v>716</v>
      </c>
      <c r="N246" t="s">
        <v>722</v>
      </c>
      <c r="O246" t="s">
        <v>969</v>
      </c>
      <c r="P246">
        <v>1013.54</v>
      </c>
      <c r="Q246">
        <v>927.93</v>
      </c>
      <c r="R246" t="s">
        <v>1492</v>
      </c>
      <c r="S246" s="31">
        <v>0.17499999999999999</v>
      </c>
      <c r="T246">
        <v>16</v>
      </c>
      <c r="U246">
        <v>12248.675999999999</v>
      </c>
      <c r="V246">
        <v>866370.00370999996</v>
      </c>
      <c r="W246">
        <v>16216.64</v>
      </c>
      <c r="X246">
        <v>-3967.9639999999999</v>
      </c>
      <c r="Y246" s="31">
        <v>-0.32395044166406234</v>
      </c>
      <c r="Z246">
        <v>202304</v>
      </c>
      <c r="AA246">
        <v>202301</v>
      </c>
      <c r="AB246" t="s">
        <v>1446</v>
      </c>
      <c r="AC246">
        <v>3</v>
      </c>
      <c r="AD246" t="s">
        <v>1484</v>
      </c>
      <c r="AE246">
        <v>0</v>
      </c>
      <c r="AF246">
        <v>0</v>
      </c>
    </row>
    <row r="247" spans="1:32" x14ac:dyDescent="0.25">
      <c r="A247" t="s">
        <v>251</v>
      </c>
      <c r="B247" s="4">
        <v>45357</v>
      </c>
      <c r="C247" t="s">
        <v>1470</v>
      </c>
      <c r="D247" t="s">
        <v>1479</v>
      </c>
      <c r="E247" s="4">
        <v>45377</v>
      </c>
      <c r="F247">
        <v>20</v>
      </c>
      <c r="G247" t="s">
        <v>638</v>
      </c>
      <c r="H247" t="s">
        <v>643</v>
      </c>
      <c r="I247" t="s">
        <v>655</v>
      </c>
      <c r="J247" t="s">
        <v>1491</v>
      </c>
      <c r="K247" t="s">
        <v>696</v>
      </c>
      <c r="L247" t="s">
        <v>701</v>
      </c>
      <c r="M247" t="s">
        <v>706</v>
      </c>
      <c r="N247" t="s">
        <v>722</v>
      </c>
      <c r="O247" t="s">
        <v>970</v>
      </c>
      <c r="P247">
        <v>65.64</v>
      </c>
      <c r="Q247">
        <v>151.88</v>
      </c>
      <c r="R247" t="s">
        <v>1490</v>
      </c>
      <c r="S247" s="31">
        <v>0.16700000000000001</v>
      </c>
      <c r="T247">
        <v>23</v>
      </c>
      <c r="U247">
        <v>2909.8689199999999</v>
      </c>
      <c r="V247">
        <v>866370.00370999996</v>
      </c>
      <c r="W247">
        <v>1509.72</v>
      </c>
      <c r="X247">
        <v>1400.1489199999999</v>
      </c>
      <c r="Y247" s="31">
        <v>0.48117250587356353</v>
      </c>
      <c r="Z247">
        <v>202403</v>
      </c>
      <c r="AA247">
        <v>202301</v>
      </c>
      <c r="AB247" t="s">
        <v>1469</v>
      </c>
      <c r="AC247">
        <v>14</v>
      </c>
      <c r="AD247" t="s">
        <v>1484</v>
      </c>
      <c r="AE247">
        <v>0</v>
      </c>
      <c r="AF247">
        <v>0</v>
      </c>
    </row>
    <row r="248" spans="1:32" x14ac:dyDescent="0.25">
      <c r="A248" t="s">
        <v>252</v>
      </c>
      <c r="B248" s="4">
        <v>45338</v>
      </c>
      <c r="C248" t="s">
        <v>1452</v>
      </c>
      <c r="D248" t="s">
        <v>1479</v>
      </c>
      <c r="E248" s="4">
        <v>45355</v>
      </c>
      <c r="F248">
        <v>17</v>
      </c>
      <c r="G248" t="s">
        <v>640</v>
      </c>
      <c r="H248" t="s">
        <v>645</v>
      </c>
      <c r="I248" t="s">
        <v>673</v>
      </c>
      <c r="J248" t="s">
        <v>1511</v>
      </c>
      <c r="K248" t="s">
        <v>695</v>
      </c>
      <c r="L248" t="s">
        <v>699</v>
      </c>
      <c r="M248" t="s">
        <v>718</v>
      </c>
      <c r="N248" t="s">
        <v>723</v>
      </c>
      <c r="O248" t="s">
        <v>971</v>
      </c>
      <c r="P248">
        <v>1350.98</v>
      </c>
      <c r="Q248">
        <v>2210.4</v>
      </c>
      <c r="R248" t="s">
        <v>1492</v>
      </c>
      <c r="S248" s="31">
        <v>0.26300000000000001</v>
      </c>
      <c r="T248">
        <v>6</v>
      </c>
      <c r="U248">
        <v>9774.3888000000006</v>
      </c>
      <c r="V248">
        <v>866370.00370999996</v>
      </c>
      <c r="W248">
        <v>8105.88</v>
      </c>
      <c r="X248">
        <v>1668.5088000000005</v>
      </c>
      <c r="Y248" s="31">
        <v>0.17070211080615091</v>
      </c>
      <c r="Z248">
        <v>202402</v>
      </c>
      <c r="AA248">
        <v>202301</v>
      </c>
      <c r="AB248" t="s">
        <v>1451</v>
      </c>
      <c r="AC248">
        <v>13</v>
      </c>
      <c r="AD248" t="s">
        <v>1484</v>
      </c>
      <c r="AE248">
        <v>0</v>
      </c>
      <c r="AF248">
        <v>1</v>
      </c>
    </row>
    <row r="249" spans="1:32" x14ac:dyDescent="0.25">
      <c r="A249" t="s">
        <v>253</v>
      </c>
      <c r="B249" s="4">
        <v>45769</v>
      </c>
      <c r="C249" t="s">
        <v>1473</v>
      </c>
      <c r="D249" t="s">
        <v>1480</v>
      </c>
      <c r="E249" s="4">
        <v>45779</v>
      </c>
      <c r="F249">
        <v>10</v>
      </c>
      <c r="G249" t="s">
        <v>641</v>
      </c>
      <c r="H249" t="s">
        <v>648</v>
      </c>
      <c r="I249" t="s">
        <v>663</v>
      </c>
      <c r="J249" t="s">
        <v>1501</v>
      </c>
      <c r="K249" t="s">
        <v>693</v>
      </c>
      <c r="L249" t="s">
        <v>701</v>
      </c>
      <c r="M249" t="s">
        <v>704</v>
      </c>
      <c r="N249" t="s">
        <v>724</v>
      </c>
      <c r="O249" t="s">
        <v>972</v>
      </c>
      <c r="P249">
        <v>20.149999999999999</v>
      </c>
      <c r="Q249">
        <v>39.74</v>
      </c>
      <c r="R249" t="s">
        <v>1490</v>
      </c>
      <c r="S249" s="31">
        <v>0.151</v>
      </c>
      <c r="T249">
        <v>18</v>
      </c>
      <c r="U249">
        <v>607.30668000000003</v>
      </c>
      <c r="V249">
        <v>866370.00370999996</v>
      </c>
      <c r="W249">
        <v>362.7</v>
      </c>
      <c r="X249">
        <v>244.60668000000004</v>
      </c>
      <c r="Y249" s="31">
        <v>0.4027729120318585</v>
      </c>
      <c r="Z249">
        <v>202504</v>
      </c>
      <c r="AA249">
        <v>202301</v>
      </c>
      <c r="AB249" t="s">
        <v>1446</v>
      </c>
      <c r="AC249">
        <v>27</v>
      </c>
      <c r="AD249" t="s">
        <v>1484</v>
      </c>
      <c r="AE249">
        <v>0</v>
      </c>
      <c r="AF249">
        <v>0</v>
      </c>
    </row>
    <row r="250" spans="1:32" x14ac:dyDescent="0.25">
      <c r="A250" t="s">
        <v>254</v>
      </c>
      <c r="B250" s="4">
        <v>45604</v>
      </c>
      <c r="C250" t="s">
        <v>1472</v>
      </c>
      <c r="D250" t="s">
        <v>1482</v>
      </c>
      <c r="E250" s="4">
        <v>45604</v>
      </c>
      <c r="F250">
        <v>0</v>
      </c>
      <c r="G250" t="s">
        <v>638</v>
      </c>
      <c r="H250" t="s">
        <v>642</v>
      </c>
      <c r="I250" t="s">
        <v>670</v>
      </c>
      <c r="J250" t="s">
        <v>1508</v>
      </c>
      <c r="K250" t="s">
        <v>698</v>
      </c>
      <c r="L250" t="s">
        <v>701</v>
      </c>
      <c r="M250" t="s">
        <v>716</v>
      </c>
      <c r="N250" t="s">
        <v>721</v>
      </c>
      <c r="O250" t="s">
        <v>973</v>
      </c>
      <c r="P250">
        <v>803.28</v>
      </c>
      <c r="Q250">
        <v>1009</v>
      </c>
      <c r="R250" t="s">
        <v>1496</v>
      </c>
      <c r="S250" s="31">
        <v>0.11</v>
      </c>
      <c r="T250">
        <v>4</v>
      </c>
      <c r="U250">
        <v>3592.04</v>
      </c>
      <c r="V250">
        <v>866370.00370999996</v>
      </c>
      <c r="W250">
        <v>3213.12</v>
      </c>
      <c r="X250">
        <v>378.92000000000007</v>
      </c>
      <c r="Y250" s="31">
        <v>0.10548880302001093</v>
      </c>
      <c r="Z250">
        <v>202411</v>
      </c>
      <c r="AA250">
        <v>202301</v>
      </c>
      <c r="AB250" t="s">
        <v>1475</v>
      </c>
      <c r="AC250">
        <v>22</v>
      </c>
      <c r="AD250" t="s">
        <v>1483</v>
      </c>
      <c r="AE250">
        <v>1</v>
      </c>
      <c r="AF250">
        <v>0</v>
      </c>
    </row>
    <row r="251" spans="1:32" x14ac:dyDescent="0.25">
      <c r="A251" t="s">
        <v>255</v>
      </c>
      <c r="B251" s="4">
        <v>45912</v>
      </c>
      <c r="C251" t="s">
        <v>1467</v>
      </c>
      <c r="D251" t="s">
        <v>1481</v>
      </c>
      <c r="E251" s="4">
        <v>45930</v>
      </c>
      <c r="F251">
        <v>18</v>
      </c>
      <c r="G251" t="s">
        <v>639</v>
      </c>
      <c r="H251" t="s">
        <v>644</v>
      </c>
      <c r="I251" t="s">
        <v>686</v>
      </c>
      <c r="J251" t="s">
        <v>1524</v>
      </c>
      <c r="K251" t="s">
        <v>695</v>
      </c>
      <c r="L251" t="s">
        <v>701</v>
      </c>
      <c r="M251" t="s">
        <v>713</v>
      </c>
      <c r="N251" t="s">
        <v>724</v>
      </c>
      <c r="O251" t="s">
        <v>974</v>
      </c>
      <c r="P251">
        <v>1212.99</v>
      </c>
      <c r="Q251">
        <v>1653.64</v>
      </c>
      <c r="R251" t="s">
        <v>1492</v>
      </c>
      <c r="S251" s="31">
        <v>0.107</v>
      </c>
      <c r="T251">
        <v>8</v>
      </c>
      <c r="U251">
        <v>11813.604160000001</v>
      </c>
      <c r="V251">
        <v>866370.00370999996</v>
      </c>
      <c r="W251">
        <v>9703.92</v>
      </c>
      <c r="X251">
        <v>2109.6841600000007</v>
      </c>
      <c r="Y251" s="31">
        <v>0.17858090819931455</v>
      </c>
      <c r="Z251">
        <v>202509</v>
      </c>
      <c r="AA251">
        <v>202303</v>
      </c>
      <c r="AB251" t="s">
        <v>1465</v>
      </c>
      <c r="AC251">
        <v>30</v>
      </c>
      <c r="AD251" t="s">
        <v>1484</v>
      </c>
      <c r="AE251">
        <v>0</v>
      </c>
      <c r="AF251">
        <v>0</v>
      </c>
    </row>
    <row r="252" spans="1:32" x14ac:dyDescent="0.25">
      <c r="A252" t="s">
        <v>256</v>
      </c>
      <c r="B252" s="4">
        <v>45537</v>
      </c>
      <c r="C252" t="s">
        <v>1466</v>
      </c>
      <c r="D252" t="s">
        <v>1481</v>
      </c>
      <c r="E252" s="4">
        <v>45543</v>
      </c>
      <c r="F252">
        <v>6</v>
      </c>
      <c r="G252" t="s">
        <v>640</v>
      </c>
      <c r="H252" t="s">
        <v>652</v>
      </c>
      <c r="I252" t="s">
        <v>689</v>
      </c>
      <c r="J252" t="s">
        <v>1528</v>
      </c>
      <c r="K252" t="s">
        <v>696</v>
      </c>
      <c r="L252" t="s">
        <v>703</v>
      </c>
      <c r="M252" t="s">
        <v>714</v>
      </c>
      <c r="N252" t="s">
        <v>719</v>
      </c>
      <c r="O252" t="s">
        <v>975</v>
      </c>
      <c r="P252">
        <v>462.94</v>
      </c>
      <c r="Q252">
        <v>1015.7</v>
      </c>
      <c r="R252" t="s">
        <v>1490</v>
      </c>
      <c r="S252" s="31">
        <v>0.14299999999999999</v>
      </c>
      <c r="T252">
        <v>14</v>
      </c>
      <c r="U252">
        <v>12186.368600000002</v>
      </c>
      <c r="V252">
        <v>866370.00370999996</v>
      </c>
      <c r="W252">
        <v>6481.16</v>
      </c>
      <c r="X252">
        <v>5705.2086000000018</v>
      </c>
      <c r="Y252" s="31">
        <v>0.46816314090483041</v>
      </c>
      <c r="Z252">
        <v>202409</v>
      </c>
      <c r="AA252">
        <v>202301</v>
      </c>
      <c r="AB252" t="s">
        <v>1465</v>
      </c>
      <c r="AC252">
        <v>20</v>
      </c>
      <c r="AD252" t="s">
        <v>1483</v>
      </c>
      <c r="AE252">
        <v>1</v>
      </c>
      <c r="AF252">
        <v>0</v>
      </c>
    </row>
    <row r="253" spans="1:32" x14ac:dyDescent="0.25">
      <c r="A253" t="s">
        <v>257</v>
      </c>
      <c r="B253" s="4">
        <v>44989</v>
      </c>
      <c r="C253" t="s">
        <v>1469</v>
      </c>
      <c r="D253" t="s">
        <v>1479</v>
      </c>
      <c r="E253" s="4">
        <v>45009</v>
      </c>
      <c r="F253">
        <v>20</v>
      </c>
      <c r="G253" t="s">
        <v>640</v>
      </c>
      <c r="H253" t="s">
        <v>645</v>
      </c>
      <c r="I253" t="s">
        <v>673</v>
      </c>
      <c r="J253" t="s">
        <v>1511</v>
      </c>
      <c r="K253" t="s">
        <v>696</v>
      </c>
      <c r="L253" t="s">
        <v>702</v>
      </c>
      <c r="M253" t="s">
        <v>706</v>
      </c>
      <c r="N253" t="s">
        <v>723</v>
      </c>
      <c r="O253" t="s">
        <v>976</v>
      </c>
      <c r="P253">
        <v>481.71</v>
      </c>
      <c r="Q253">
        <v>912.45</v>
      </c>
      <c r="R253" t="s">
        <v>1490</v>
      </c>
      <c r="S253" s="31">
        <v>0.20300000000000001</v>
      </c>
      <c r="T253">
        <v>24</v>
      </c>
      <c r="U253">
        <v>17453.3436</v>
      </c>
      <c r="V253">
        <v>854183.63511000003</v>
      </c>
      <c r="W253">
        <v>11561.039999999999</v>
      </c>
      <c r="X253">
        <v>5892.3036000000011</v>
      </c>
      <c r="Y253" s="31">
        <v>0.33760313983619739</v>
      </c>
      <c r="Z253">
        <v>202303</v>
      </c>
      <c r="AA253">
        <v>202301</v>
      </c>
      <c r="AB253" t="s">
        <v>1469</v>
      </c>
      <c r="AC253">
        <v>2</v>
      </c>
      <c r="AD253" t="s">
        <v>1484</v>
      </c>
      <c r="AE253">
        <v>0</v>
      </c>
      <c r="AF253">
        <v>1</v>
      </c>
    </row>
    <row r="254" spans="1:32" x14ac:dyDescent="0.25">
      <c r="A254" t="s">
        <v>258</v>
      </c>
      <c r="B254" s="4">
        <v>45366</v>
      </c>
      <c r="C254" t="s">
        <v>1470</v>
      </c>
      <c r="D254" t="s">
        <v>1479</v>
      </c>
      <c r="E254" s="4">
        <v>45391</v>
      </c>
      <c r="F254">
        <v>25</v>
      </c>
      <c r="G254" t="s">
        <v>640</v>
      </c>
      <c r="H254" t="s">
        <v>645</v>
      </c>
      <c r="I254" t="s">
        <v>680</v>
      </c>
      <c r="J254" t="s">
        <v>1518</v>
      </c>
      <c r="K254" t="s">
        <v>696</v>
      </c>
      <c r="L254" t="s">
        <v>700</v>
      </c>
      <c r="M254" t="s">
        <v>713</v>
      </c>
      <c r="N254" t="s">
        <v>724</v>
      </c>
      <c r="O254" t="s">
        <v>977</v>
      </c>
      <c r="P254">
        <v>648.64</v>
      </c>
      <c r="Q254">
        <v>815.19</v>
      </c>
      <c r="R254" t="s">
        <v>1496</v>
      </c>
      <c r="S254" s="31">
        <v>0.22500000000000001</v>
      </c>
      <c r="T254">
        <v>28</v>
      </c>
      <c r="U254">
        <v>17689.623</v>
      </c>
      <c r="V254">
        <v>854183.63511000003</v>
      </c>
      <c r="W254">
        <v>18161.919999999998</v>
      </c>
      <c r="X254">
        <v>-472.29699999999866</v>
      </c>
      <c r="Y254" s="31">
        <v>-2.6699099240272032E-2</v>
      </c>
      <c r="Z254">
        <v>202403</v>
      </c>
      <c r="AA254">
        <v>202301</v>
      </c>
      <c r="AB254" t="s">
        <v>1469</v>
      </c>
      <c r="AC254">
        <v>14</v>
      </c>
      <c r="AD254" t="s">
        <v>1484</v>
      </c>
      <c r="AE254">
        <v>0</v>
      </c>
      <c r="AF254">
        <v>1</v>
      </c>
    </row>
    <row r="255" spans="1:32" x14ac:dyDescent="0.25">
      <c r="A255" t="s">
        <v>259</v>
      </c>
      <c r="B255" s="4">
        <v>45502</v>
      </c>
      <c r="C255" t="s">
        <v>1456</v>
      </c>
      <c r="D255" t="s">
        <v>1481</v>
      </c>
      <c r="E255" s="4">
        <v>45504</v>
      </c>
      <c r="F255">
        <v>2</v>
      </c>
      <c r="G255" t="s">
        <v>640</v>
      </c>
      <c r="H255" t="s">
        <v>652</v>
      </c>
      <c r="I255" t="s">
        <v>692</v>
      </c>
      <c r="J255" t="s">
        <v>1532</v>
      </c>
      <c r="K255" t="s">
        <v>694</v>
      </c>
      <c r="L255" t="s">
        <v>701</v>
      </c>
      <c r="M255" t="s">
        <v>706</v>
      </c>
      <c r="N255" t="s">
        <v>720</v>
      </c>
      <c r="O255" t="s">
        <v>978</v>
      </c>
      <c r="P255">
        <v>798.97</v>
      </c>
      <c r="Q255">
        <v>1814.06</v>
      </c>
      <c r="R255" t="s">
        <v>1496</v>
      </c>
      <c r="S255" s="31">
        <v>0.122</v>
      </c>
      <c r="T255">
        <v>16</v>
      </c>
      <c r="U255">
        <v>25483.91488</v>
      </c>
      <c r="V255">
        <v>854183.63511000003</v>
      </c>
      <c r="W255">
        <v>12783.52</v>
      </c>
      <c r="X255">
        <v>12700.39488</v>
      </c>
      <c r="Y255" s="31">
        <v>0.49836906691159061</v>
      </c>
      <c r="Z255">
        <v>202407</v>
      </c>
      <c r="AA255">
        <v>202301</v>
      </c>
      <c r="AB255" t="s">
        <v>1468</v>
      </c>
      <c r="AC255">
        <v>18</v>
      </c>
      <c r="AD255" t="s">
        <v>1483</v>
      </c>
      <c r="AE255">
        <v>1</v>
      </c>
      <c r="AF255">
        <v>0</v>
      </c>
    </row>
    <row r="256" spans="1:32" x14ac:dyDescent="0.25">
      <c r="A256" t="s">
        <v>260</v>
      </c>
      <c r="B256" s="4">
        <v>45592</v>
      </c>
      <c r="C256" t="s">
        <v>1464</v>
      </c>
      <c r="D256" t="s">
        <v>1482</v>
      </c>
      <c r="E256" s="4">
        <v>45616</v>
      </c>
      <c r="F256">
        <v>24</v>
      </c>
      <c r="G256" t="s">
        <v>639</v>
      </c>
      <c r="H256" t="s">
        <v>644</v>
      </c>
      <c r="I256" t="s">
        <v>686</v>
      </c>
      <c r="J256" t="s">
        <v>1524</v>
      </c>
      <c r="K256" t="s">
        <v>695</v>
      </c>
      <c r="L256" t="s">
        <v>700</v>
      </c>
      <c r="M256" t="s">
        <v>714</v>
      </c>
      <c r="N256" t="s">
        <v>724</v>
      </c>
      <c r="O256" t="s">
        <v>979</v>
      </c>
      <c r="P256">
        <v>317.25</v>
      </c>
      <c r="Q256">
        <v>758.92</v>
      </c>
      <c r="R256" t="s">
        <v>1490</v>
      </c>
      <c r="S256" s="31">
        <v>5.2999999999999999E-2</v>
      </c>
      <c r="T256">
        <v>9</v>
      </c>
      <c r="U256">
        <v>6468.2751599999992</v>
      </c>
      <c r="V256">
        <v>854183.63511000003</v>
      </c>
      <c r="W256">
        <v>2855.25</v>
      </c>
      <c r="X256">
        <v>3613.0251599999992</v>
      </c>
      <c r="Y256" s="31">
        <v>0.5585762928489888</v>
      </c>
      <c r="Z256">
        <v>202410</v>
      </c>
      <c r="AA256">
        <v>202303</v>
      </c>
      <c r="AB256" t="s">
        <v>1476</v>
      </c>
      <c r="AC256">
        <v>19</v>
      </c>
      <c r="AD256" t="s">
        <v>1484</v>
      </c>
      <c r="AE256">
        <v>0</v>
      </c>
      <c r="AF256">
        <v>0</v>
      </c>
    </row>
    <row r="257" spans="1:32" x14ac:dyDescent="0.25">
      <c r="A257" t="s">
        <v>261</v>
      </c>
      <c r="B257" s="4">
        <v>45411</v>
      </c>
      <c r="C257" t="s">
        <v>1447</v>
      </c>
      <c r="D257" t="s">
        <v>1480</v>
      </c>
      <c r="E257" s="4">
        <v>45431</v>
      </c>
      <c r="F257">
        <v>20</v>
      </c>
      <c r="G257" t="s">
        <v>641</v>
      </c>
      <c r="H257" t="s">
        <v>648</v>
      </c>
      <c r="I257" t="s">
        <v>690</v>
      </c>
      <c r="J257" t="s">
        <v>1529</v>
      </c>
      <c r="K257" t="s">
        <v>698</v>
      </c>
      <c r="L257" t="s">
        <v>701</v>
      </c>
      <c r="M257" t="s">
        <v>704</v>
      </c>
      <c r="N257" t="s">
        <v>723</v>
      </c>
      <c r="O257" t="s">
        <v>980</v>
      </c>
      <c r="P257">
        <v>668.97</v>
      </c>
      <c r="Q257">
        <v>1667.44</v>
      </c>
      <c r="R257" t="s">
        <v>1496</v>
      </c>
      <c r="S257" s="31">
        <v>3.4000000000000002E-2</v>
      </c>
      <c r="T257">
        <v>15</v>
      </c>
      <c r="U257">
        <v>24161.205600000001</v>
      </c>
      <c r="V257">
        <v>854183.63511000003</v>
      </c>
      <c r="W257">
        <v>10034.550000000001</v>
      </c>
      <c r="X257">
        <v>14126.6556</v>
      </c>
      <c r="Y257" s="31">
        <v>0.58468339013679016</v>
      </c>
      <c r="Z257">
        <v>202404</v>
      </c>
      <c r="AA257">
        <v>202301</v>
      </c>
      <c r="AB257" t="s">
        <v>1446</v>
      </c>
      <c r="AC257">
        <v>15</v>
      </c>
      <c r="AD257" t="s">
        <v>1484</v>
      </c>
      <c r="AE257">
        <v>0</v>
      </c>
      <c r="AF257">
        <v>0</v>
      </c>
    </row>
    <row r="258" spans="1:32" x14ac:dyDescent="0.25">
      <c r="A258" t="s">
        <v>262</v>
      </c>
      <c r="B258" s="4">
        <v>45204</v>
      </c>
      <c r="C258" t="s">
        <v>1476</v>
      </c>
      <c r="D258" t="s">
        <v>1482</v>
      </c>
      <c r="E258" s="4">
        <v>45205</v>
      </c>
      <c r="F258">
        <v>1</v>
      </c>
      <c r="G258" t="s">
        <v>639</v>
      </c>
      <c r="H258" t="s">
        <v>646</v>
      </c>
      <c r="I258" t="s">
        <v>660</v>
      </c>
      <c r="J258" t="s">
        <v>1498</v>
      </c>
      <c r="K258" t="s">
        <v>695</v>
      </c>
      <c r="L258" t="s">
        <v>700</v>
      </c>
      <c r="M258" t="s">
        <v>706</v>
      </c>
      <c r="N258" t="s">
        <v>719</v>
      </c>
      <c r="O258" t="s">
        <v>981</v>
      </c>
      <c r="P258">
        <v>1470.26</v>
      </c>
      <c r="Q258">
        <v>2562.5500000000002</v>
      </c>
      <c r="R258" t="s">
        <v>1492</v>
      </c>
      <c r="S258" s="31">
        <v>0.17299999999999999</v>
      </c>
      <c r="T258">
        <v>9</v>
      </c>
      <c r="U258">
        <v>19073.059649999999</v>
      </c>
      <c r="V258">
        <v>854183.63511000003</v>
      </c>
      <c r="W258">
        <v>13232.34</v>
      </c>
      <c r="X258">
        <v>5840.7196499999991</v>
      </c>
      <c r="Y258" s="31">
        <v>0.30622877279157462</v>
      </c>
      <c r="Z258">
        <v>202310</v>
      </c>
      <c r="AA258">
        <v>202301</v>
      </c>
      <c r="AB258" t="s">
        <v>1476</v>
      </c>
      <c r="AC258">
        <v>9</v>
      </c>
      <c r="AD258" t="s">
        <v>1483</v>
      </c>
      <c r="AE258">
        <v>1</v>
      </c>
      <c r="AF258">
        <v>0</v>
      </c>
    </row>
    <row r="259" spans="1:32" x14ac:dyDescent="0.25">
      <c r="A259" t="s">
        <v>263</v>
      </c>
      <c r="B259" s="4">
        <v>45035</v>
      </c>
      <c r="C259" t="s">
        <v>1446</v>
      </c>
      <c r="D259" t="s">
        <v>1480</v>
      </c>
      <c r="E259" s="4">
        <v>45053</v>
      </c>
      <c r="F259">
        <v>18</v>
      </c>
      <c r="G259" t="s">
        <v>641</v>
      </c>
      <c r="H259" t="s">
        <v>650</v>
      </c>
      <c r="I259" t="s">
        <v>675</v>
      </c>
      <c r="J259" t="s">
        <v>1513</v>
      </c>
      <c r="K259" t="s">
        <v>695</v>
      </c>
      <c r="L259" t="s">
        <v>703</v>
      </c>
      <c r="M259" t="s">
        <v>714</v>
      </c>
      <c r="N259" t="s">
        <v>721</v>
      </c>
      <c r="O259" t="s">
        <v>982</v>
      </c>
      <c r="P259">
        <v>516.96</v>
      </c>
      <c r="Q259">
        <v>745.38</v>
      </c>
      <c r="R259" t="s">
        <v>1496</v>
      </c>
      <c r="S259" s="31">
        <v>0.19700000000000001</v>
      </c>
      <c r="T259">
        <v>4</v>
      </c>
      <c r="U259">
        <v>2394.1605599999998</v>
      </c>
      <c r="V259">
        <v>835110.57546000008</v>
      </c>
      <c r="W259">
        <v>2067.84</v>
      </c>
      <c r="X259">
        <v>326.32055999999966</v>
      </c>
      <c r="Y259" s="31">
        <v>0.13629852794835101</v>
      </c>
      <c r="Z259">
        <v>202304</v>
      </c>
      <c r="AA259">
        <v>202301</v>
      </c>
      <c r="AB259" t="s">
        <v>1446</v>
      </c>
      <c r="AC259">
        <v>3</v>
      </c>
      <c r="AD259" t="s">
        <v>1484</v>
      </c>
      <c r="AE259">
        <v>0</v>
      </c>
      <c r="AF259">
        <v>0</v>
      </c>
    </row>
    <row r="260" spans="1:32" x14ac:dyDescent="0.25">
      <c r="A260" t="s">
        <v>264</v>
      </c>
      <c r="B260" s="4">
        <v>45835</v>
      </c>
      <c r="C260" t="s">
        <v>1460</v>
      </c>
      <c r="D260" t="s">
        <v>1480</v>
      </c>
      <c r="E260" s="4">
        <v>45843</v>
      </c>
      <c r="F260">
        <v>8</v>
      </c>
      <c r="G260" t="s">
        <v>641</v>
      </c>
      <c r="H260" t="s">
        <v>648</v>
      </c>
      <c r="I260" t="s">
        <v>676</v>
      </c>
      <c r="J260" t="s">
        <v>1514</v>
      </c>
      <c r="K260" t="s">
        <v>697</v>
      </c>
      <c r="L260" t="s">
        <v>703</v>
      </c>
      <c r="M260" t="s">
        <v>707</v>
      </c>
      <c r="N260" t="s">
        <v>724</v>
      </c>
      <c r="O260" t="s">
        <v>983</v>
      </c>
      <c r="P260">
        <v>314.93</v>
      </c>
      <c r="Q260">
        <v>687.95</v>
      </c>
      <c r="R260" t="s">
        <v>1490</v>
      </c>
      <c r="S260" s="31">
        <v>0.20499999999999999</v>
      </c>
      <c r="T260">
        <v>8</v>
      </c>
      <c r="U260">
        <v>4375.3620000000001</v>
      </c>
      <c r="V260">
        <v>835110.57546000008</v>
      </c>
      <c r="W260">
        <v>2519.44</v>
      </c>
      <c r="X260">
        <v>1855.922</v>
      </c>
      <c r="Y260" s="31">
        <v>0.424175645352316</v>
      </c>
      <c r="Z260">
        <v>202506</v>
      </c>
      <c r="AA260">
        <v>202301</v>
      </c>
      <c r="AB260" t="s">
        <v>1458</v>
      </c>
      <c r="AC260">
        <v>29</v>
      </c>
      <c r="AD260" t="s">
        <v>1484</v>
      </c>
      <c r="AE260">
        <v>0</v>
      </c>
      <c r="AF260">
        <v>1</v>
      </c>
    </row>
    <row r="261" spans="1:32" x14ac:dyDescent="0.25">
      <c r="A261" t="s">
        <v>265</v>
      </c>
      <c r="B261" s="4">
        <v>45210</v>
      </c>
      <c r="C261" t="s">
        <v>1476</v>
      </c>
      <c r="D261" t="s">
        <v>1482</v>
      </c>
      <c r="E261" s="4">
        <v>45212</v>
      </c>
      <c r="F261">
        <v>2</v>
      </c>
      <c r="G261" t="s">
        <v>640</v>
      </c>
      <c r="H261" t="s">
        <v>647</v>
      </c>
      <c r="I261" t="s">
        <v>664</v>
      </c>
      <c r="J261" t="s">
        <v>1502</v>
      </c>
      <c r="K261" t="s">
        <v>696</v>
      </c>
      <c r="L261" t="s">
        <v>702</v>
      </c>
      <c r="M261" t="s">
        <v>1413</v>
      </c>
      <c r="N261" t="s">
        <v>725</v>
      </c>
      <c r="O261" t="s">
        <v>984</v>
      </c>
      <c r="P261">
        <v>715.94</v>
      </c>
      <c r="Q261">
        <v>550.07000000000005</v>
      </c>
      <c r="R261" t="s">
        <v>1496</v>
      </c>
      <c r="S261" s="31">
        <v>0.14000000000000001</v>
      </c>
      <c r="T261">
        <v>16</v>
      </c>
      <c r="U261">
        <v>7568.9632000000001</v>
      </c>
      <c r="V261">
        <v>835110.57546000008</v>
      </c>
      <c r="W261">
        <v>11455.04</v>
      </c>
      <c r="X261">
        <v>-3886.0768000000007</v>
      </c>
      <c r="Y261" s="31">
        <v>-0.51342260456491595</v>
      </c>
      <c r="Z261">
        <v>202310</v>
      </c>
      <c r="AA261">
        <v>202301</v>
      </c>
      <c r="AB261" t="s">
        <v>1476</v>
      </c>
      <c r="AC261">
        <v>9</v>
      </c>
      <c r="AD261" t="s">
        <v>1483</v>
      </c>
      <c r="AE261">
        <v>1</v>
      </c>
      <c r="AF261">
        <v>0</v>
      </c>
    </row>
    <row r="262" spans="1:32" x14ac:dyDescent="0.25">
      <c r="A262" t="s">
        <v>266</v>
      </c>
      <c r="B262" s="4">
        <v>45066</v>
      </c>
      <c r="C262" t="s">
        <v>1462</v>
      </c>
      <c r="D262" t="s">
        <v>1480</v>
      </c>
      <c r="E262" s="4">
        <v>45084</v>
      </c>
      <c r="F262">
        <v>18</v>
      </c>
      <c r="G262" t="s">
        <v>638</v>
      </c>
      <c r="H262" t="s">
        <v>643</v>
      </c>
      <c r="I262" t="s">
        <v>655</v>
      </c>
      <c r="J262" t="s">
        <v>1491</v>
      </c>
      <c r="K262" t="s">
        <v>698</v>
      </c>
      <c r="L262" t="s">
        <v>702</v>
      </c>
      <c r="M262" t="s">
        <v>710</v>
      </c>
      <c r="N262" t="s">
        <v>719</v>
      </c>
      <c r="O262" t="s">
        <v>985</v>
      </c>
      <c r="P262">
        <v>1120.06</v>
      </c>
      <c r="Q262">
        <v>2068.21</v>
      </c>
      <c r="R262" t="s">
        <v>1492</v>
      </c>
      <c r="S262" s="31">
        <v>7.8E-2</v>
      </c>
      <c r="T262">
        <v>12</v>
      </c>
      <c r="U262">
        <v>22882.675440000003</v>
      </c>
      <c r="V262">
        <v>835110.57546000008</v>
      </c>
      <c r="W262">
        <v>13440.72</v>
      </c>
      <c r="X262">
        <v>9441.9554400000034</v>
      </c>
      <c r="Y262" s="31">
        <v>0.41262462795303284</v>
      </c>
      <c r="Z262">
        <v>202305</v>
      </c>
      <c r="AA262">
        <v>202301</v>
      </c>
      <c r="AB262" t="s">
        <v>1462</v>
      </c>
      <c r="AC262">
        <v>4</v>
      </c>
      <c r="AD262" t="s">
        <v>1484</v>
      </c>
      <c r="AE262">
        <v>0</v>
      </c>
      <c r="AF262">
        <v>0</v>
      </c>
    </row>
    <row r="263" spans="1:32" x14ac:dyDescent="0.25">
      <c r="A263" t="s">
        <v>267</v>
      </c>
      <c r="B263" s="4">
        <v>45073</v>
      </c>
      <c r="C263" t="s">
        <v>1462</v>
      </c>
      <c r="D263" t="s">
        <v>1480</v>
      </c>
      <c r="E263" s="4">
        <v>45096</v>
      </c>
      <c r="F263">
        <v>23</v>
      </c>
      <c r="G263" t="s">
        <v>641</v>
      </c>
      <c r="H263" t="s">
        <v>648</v>
      </c>
      <c r="I263" t="s">
        <v>663</v>
      </c>
      <c r="J263" t="s">
        <v>1501</v>
      </c>
      <c r="K263" t="s">
        <v>694</v>
      </c>
      <c r="L263" t="s">
        <v>699</v>
      </c>
      <c r="M263" t="s">
        <v>711</v>
      </c>
      <c r="N263" t="s">
        <v>725</v>
      </c>
      <c r="O263" t="s">
        <v>986</v>
      </c>
      <c r="P263">
        <v>1471.58</v>
      </c>
      <c r="Q263">
        <v>2576.65</v>
      </c>
      <c r="R263" t="s">
        <v>1492</v>
      </c>
      <c r="S263" s="31">
        <v>4.0000000000000001E-3</v>
      </c>
      <c r="T263">
        <v>7</v>
      </c>
      <c r="U263">
        <v>17964.4038</v>
      </c>
      <c r="V263">
        <v>812227.90001999994</v>
      </c>
      <c r="W263">
        <v>10301.06</v>
      </c>
      <c r="X263">
        <v>7663.3438000000006</v>
      </c>
      <c r="Y263" s="31">
        <v>0.4265849223451546</v>
      </c>
      <c r="Z263">
        <v>202305</v>
      </c>
      <c r="AA263">
        <v>202301</v>
      </c>
      <c r="AB263" t="s">
        <v>1462</v>
      </c>
      <c r="AC263">
        <v>4</v>
      </c>
      <c r="AD263" t="s">
        <v>1484</v>
      </c>
      <c r="AE263">
        <v>0</v>
      </c>
      <c r="AF263">
        <v>0</v>
      </c>
    </row>
    <row r="264" spans="1:32" x14ac:dyDescent="0.25">
      <c r="A264" t="s">
        <v>268</v>
      </c>
      <c r="B264" s="4">
        <v>45142</v>
      </c>
      <c r="C264" t="s">
        <v>1448</v>
      </c>
      <c r="D264" t="s">
        <v>1481</v>
      </c>
      <c r="E264" s="4">
        <v>45162</v>
      </c>
      <c r="F264">
        <v>20</v>
      </c>
      <c r="G264" t="s">
        <v>640</v>
      </c>
      <c r="H264" t="s">
        <v>647</v>
      </c>
      <c r="I264" t="s">
        <v>664</v>
      </c>
      <c r="J264" t="s">
        <v>1502</v>
      </c>
      <c r="K264" t="s">
        <v>695</v>
      </c>
      <c r="L264" t="s">
        <v>703</v>
      </c>
      <c r="M264" t="s">
        <v>1413</v>
      </c>
      <c r="N264" t="s">
        <v>721</v>
      </c>
      <c r="O264" t="s">
        <v>987</v>
      </c>
      <c r="P264">
        <v>582.88</v>
      </c>
      <c r="Q264">
        <v>1044.1400000000001</v>
      </c>
      <c r="R264" t="s">
        <v>1496</v>
      </c>
      <c r="S264" s="31">
        <v>0.216</v>
      </c>
      <c r="T264">
        <v>10</v>
      </c>
      <c r="U264">
        <v>8186.057600000001</v>
      </c>
      <c r="V264">
        <v>812227.90001999994</v>
      </c>
      <c r="W264">
        <v>5828.8</v>
      </c>
      <c r="X264">
        <v>2357.2576000000008</v>
      </c>
      <c r="Y264" s="31">
        <v>0.28796005539956138</v>
      </c>
      <c r="Z264">
        <v>202308</v>
      </c>
      <c r="AA264">
        <v>202301</v>
      </c>
      <c r="AB264" t="s">
        <v>1448</v>
      </c>
      <c r="AC264">
        <v>7</v>
      </c>
      <c r="AD264" t="s">
        <v>1484</v>
      </c>
      <c r="AE264">
        <v>0</v>
      </c>
      <c r="AF264">
        <v>1</v>
      </c>
    </row>
    <row r="265" spans="1:32" x14ac:dyDescent="0.25">
      <c r="A265" t="s">
        <v>269</v>
      </c>
      <c r="B265" s="4">
        <v>45829</v>
      </c>
      <c r="C265" t="s">
        <v>1460</v>
      </c>
      <c r="D265" t="s">
        <v>1480</v>
      </c>
      <c r="E265" s="4">
        <v>45835</v>
      </c>
      <c r="F265">
        <v>6</v>
      </c>
      <c r="G265" t="s">
        <v>638</v>
      </c>
      <c r="H265" t="s">
        <v>653</v>
      </c>
      <c r="I265" t="s">
        <v>679</v>
      </c>
      <c r="J265" t="s">
        <v>1517</v>
      </c>
      <c r="K265" t="s">
        <v>698</v>
      </c>
      <c r="L265" t="s">
        <v>702</v>
      </c>
      <c r="M265" t="s">
        <v>717</v>
      </c>
      <c r="N265" t="s">
        <v>722</v>
      </c>
      <c r="O265" t="s">
        <v>988</v>
      </c>
      <c r="P265">
        <v>93.91</v>
      </c>
      <c r="Q265">
        <v>99.04</v>
      </c>
      <c r="R265" t="s">
        <v>1490</v>
      </c>
      <c r="S265" s="31">
        <v>5.7000000000000002E-2</v>
      </c>
      <c r="T265">
        <v>6</v>
      </c>
      <c r="U265">
        <v>560.36831999999993</v>
      </c>
      <c r="V265">
        <v>812227.90001999994</v>
      </c>
      <c r="W265">
        <v>563.46</v>
      </c>
      <c r="X265">
        <v>-3.0916800000001103</v>
      </c>
      <c r="Y265" s="31">
        <v>-5.5172283829323376E-3</v>
      </c>
      <c r="Z265">
        <v>202506</v>
      </c>
      <c r="AA265">
        <v>202301</v>
      </c>
      <c r="AB265" t="s">
        <v>1458</v>
      </c>
      <c r="AC265">
        <v>29</v>
      </c>
      <c r="AD265" t="s">
        <v>1483</v>
      </c>
      <c r="AE265">
        <v>1</v>
      </c>
      <c r="AF265">
        <v>0</v>
      </c>
    </row>
    <row r="266" spans="1:32" x14ac:dyDescent="0.25">
      <c r="A266" t="s">
        <v>270</v>
      </c>
      <c r="B266" s="4">
        <v>45763</v>
      </c>
      <c r="C266" t="s">
        <v>1473</v>
      </c>
      <c r="D266" t="s">
        <v>1480</v>
      </c>
      <c r="E266" s="4">
        <v>45773</v>
      </c>
      <c r="F266">
        <v>10</v>
      </c>
      <c r="G266" t="s">
        <v>638</v>
      </c>
      <c r="H266" t="s">
        <v>643</v>
      </c>
      <c r="I266" t="s">
        <v>655</v>
      </c>
      <c r="J266" t="s">
        <v>1491</v>
      </c>
      <c r="K266" t="s">
        <v>698</v>
      </c>
      <c r="L266" t="s">
        <v>701</v>
      </c>
      <c r="M266" t="s">
        <v>713</v>
      </c>
      <c r="N266" t="s">
        <v>723</v>
      </c>
      <c r="O266" t="s">
        <v>989</v>
      </c>
      <c r="P266">
        <v>1457.44</v>
      </c>
      <c r="Q266">
        <v>1996.81</v>
      </c>
      <c r="R266" t="s">
        <v>1492</v>
      </c>
      <c r="S266" s="31">
        <v>0.126</v>
      </c>
      <c r="T266">
        <v>23</v>
      </c>
      <c r="U266">
        <v>40139.874619999995</v>
      </c>
      <c r="V266">
        <v>812227.90001999994</v>
      </c>
      <c r="W266">
        <v>33521.120000000003</v>
      </c>
      <c r="X266">
        <v>6618.7546199999924</v>
      </c>
      <c r="Y266" s="31">
        <v>0.16489225944672353</v>
      </c>
      <c r="Z266">
        <v>202504</v>
      </c>
      <c r="AA266">
        <v>202301</v>
      </c>
      <c r="AB266" t="s">
        <v>1446</v>
      </c>
      <c r="AC266">
        <v>27</v>
      </c>
      <c r="AD266" t="s">
        <v>1484</v>
      </c>
      <c r="AE266">
        <v>0</v>
      </c>
      <c r="AF266">
        <v>0</v>
      </c>
    </row>
    <row r="267" spans="1:32" x14ac:dyDescent="0.25">
      <c r="A267" t="s">
        <v>271</v>
      </c>
      <c r="B267" s="4">
        <v>45902</v>
      </c>
      <c r="C267" t="s">
        <v>1467</v>
      </c>
      <c r="D267" t="s">
        <v>1481</v>
      </c>
      <c r="E267" s="4">
        <v>45911</v>
      </c>
      <c r="F267">
        <v>9</v>
      </c>
      <c r="G267" t="s">
        <v>640</v>
      </c>
      <c r="H267" t="s">
        <v>645</v>
      </c>
      <c r="I267" t="s">
        <v>659</v>
      </c>
      <c r="J267" t="s">
        <v>1497</v>
      </c>
      <c r="K267" t="s">
        <v>693</v>
      </c>
      <c r="L267" t="s">
        <v>702</v>
      </c>
      <c r="M267" t="s">
        <v>716</v>
      </c>
      <c r="N267" t="s">
        <v>720</v>
      </c>
      <c r="O267" t="s">
        <v>990</v>
      </c>
      <c r="P267">
        <v>1207.6300000000001</v>
      </c>
      <c r="Q267">
        <v>921.68</v>
      </c>
      <c r="R267" t="s">
        <v>1492</v>
      </c>
      <c r="S267" s="31">
        <v>0.19600000000000001</v>
      </c>
      <c r="T267">
        <v>17</v>
      </c>
      <c r="U267">
        <v>12597.52224</v>
      </c>
      <c r="V267">
        <v>812227.90001999994</v>
      </c>
      <c r="W267">
        <v>20529.710000000003</v>
      </c>
      <c r="X267">
        <v>-7932.1877600000025</v>
      </c>
      <c r="Y267" s="31">
        <v>-0.62966253274897988</v>
      </c>
      <c r="Z267">
        <v>202509</v>
      </c>
      <c r="AA267">
        <v>202301</v>
      </c>
      <c r="AB267" t="s">
        <v>1465</v>
      </c>
      <c r="AC267">
        <v>32</v>
      </c>
      <c r="AD267" t="s">
        <v>1484</v>
      </c>
      <c r="AE267">
        <v>0</v>
      </c>
      <c r="AF267">
        <v>0</v>
      </c>
    </row>
    <row r="268" spans="1:32" x14ac:dyDescent="0.25">
      <c r="A268" t="s">
        <v>272</v>
      </c>
      <c r="B268" s="4">
        <v>45573</v>
      </c>
      <c r="C268" t="s">
        <v>1464</v>
      </c>
      <c r="D268" t="s">
        <v>1482</v>
      </c>
      <c r="E268" s="4">
        <v>45573</v>
      </c>
      <c r="F268">
        <v>0</v>
      </c>
      <c r="G268" t="s">
        <v>641</v>
      </c>
      <c r="H268" t="s">
        <v>650</v>
      </c>
      <c r="I268" t="s">
        <v>675</v>
      </c>
      <c r="J268" t="s">
        <v>1513</v>
      </c>
      <c r="K268" t="s">
        <v>693</v>
      </c>
      <c r="L268" t="s">
        <v>700</v>
      </c>
      <c r="M268" t="s">
        <v>710</v>
      </c>
      <c r="N268" t="s">
        <v>724</v>
      </c>
      <c r="O268" t="s">
        <v>991</v>
      </c>
      <c r="P268">
        <v>1108.1099999999999</v>
      </c>
      <c r="Q268">
        <v>2503.79</v>
      </c>
      <c r="R268" t="s">
        <v>1492</v>
      </c>
      <c r="S268" s="31">
        <v>0.184</v>
      </c>
      <c r="T268">
        <v>19</v>
      </c>
      <c r="U268">
        <v>38818.760160000005</v>
      </c>
      <c r="V268">
        <v>812227.90001999994</v>
      </c>
      <c r="W268">
        <v>21054.089999999997</v>
      </c>
      <c r="X268">
        <v>17764.670160000009</v>
      </c>
      <c r="Y268" s="31">
        <v>0.45763105485025896</v>
      </c>
      <c r="Z268">
        <v>202410</v>
      </c>
      <c r="AA268">
        <v>202301</v>
      </c>
      <c r="AB268" t="s">
        <v>1476</v>
      </c>
      <c r="AC268">
        <v>21</v>
      </c>
      <c r="AD268" t="s">
        <v>1483</v>
      </c>
      <c r="AE268">
        <v>1</v>
      </c>
      <c r="AF268">
        <v>0</v>
      </c>
    </row>
    <row r="269" spans="1:32" x14ac:dyDescent="0.25">
      <c r="A269" t="s">
        <v>273</v>
      </c>
      <c r="B269" s="4">
        <v>45053</v>
      </c>
      <c r="C269" t="s">
        <v>1462</v>
      </c>
      <c r="D269" t="s">
        <v>1480</v>
      </c>
      <c r="E269" s="4">
        <v>45055</v>
      </c>
      <c r="F269">
        <v>2</v>
      </c>
      <c r="G269" t="s">
        <v>638</v>
      </c>
      <c r="H269" t="s">
        <v>643</v>
      </c>
      <c r="I269" t="s">
        <v>655</v>
      </c>
      <c r="J269" t="s">
        <v>1491</v>
      </c>
      <c r="K269" t="s">
        <v>695</v>
      </c>
      <c r="L269" t="s">
        <v>701</v>
      </c>
      <c r="M269" t="s">
        <v>712</v>
      </c>
      <c r="N269" t="s">
        <v>719</v>
      </c>
      <c r="O269" t="s">
        <v>992</v>
      </c>
      <c r="P269">
        <v>1269.6500000000001</v>
      </c>
      <c r="Q269">
        <v>2462.77</v>
      </c>
      <c r="R269" t="s">
        <v>1492</v>
      </c>
      <c r="S269" s="31">
        <v>0.107</v>
      </c>
      <c r="T269">
        <v>8</v>
      </c>
      <c r="U269">
        <v>17594.028880000002</v>
      </c>
      <c r="V269">
        <v>812227.90001999994</v>
      </c>
      <c r="W269">
        <v>10157.200000000001</v>
      </c>
      <c r="X269">
        <v>7436.8288800000009</v>
      </c>
      <c r="Y269" s="31">
        <v>0.42269050089225502</v>
      </c>
      <c r="Z269">
        <v>202305</v>
      </c>
      <c r="AA269">
        <v>202301</v>
      </c>
      <c r="AB269" t="s">
        <v>1462</v>
      </c>
      <c r="AC269">
        <v>4</v>
      </c>
      <c r="AD269" t="s">
        <v>1483</v>
      </c>
      <c r="AE269">
        <v>1</v>
      </c>
      <c r="AF269">
        <v>0</v>
      </c>
    </row>
    <row r="270" spans="1:32" x14ac:dyDescent="0.25">
      <c r="A270" t="s">
        <v>274</v>
      </c>
      <c r="B270" s="4">
        <v>45284</v>
      </c>
      <c r="C270" t="s">
        <v>1450</v>
      </c>
      <c r="D270" t="s">
        <v>1482</v>
      </c>
      <c r="E270" s="4">
        <v>45292</v>
      </c>
      <c r="F270">
        <v>8</v>
      </c>
      <c r="G270" t="s">
        <v>640</v>
      </c>
      <c r="H270" t="s">
        <v>647</v>
      </c>
      <c r="I270" t="s">
        <v>662</v>
      </c>
      <c r="J270" t="s">
        <v>1500</v>
      </c>
      <c r="K270" t="s">
        <v>694</v>
      </c>
      <c r="L270" t="s">
        <v>703</v>
      </c>
      <c r="M270" t="s">
        <v>704</v>
      </c>
      <c r="N270" t="s">
        <v>722</v>
      </c>
      <c r="O270" t="s">
        <v>993</v>
      </c>
      <c r="P270">
        <v>526.49</v>
      </c>
      <c r="Q270">
        <v>496.2</v>
      </c>
      <c r="R270" t="s">
        <v>1496</v>
      </c>
      <c r="S270" s="31">
        <v>0</v>
      </c>
      <c r="T270">
        <v>14</v>
      </c>
      <c r="U270">
        <v>6946.8</v>
      </c>
      <c r="V270">
        <v>794633.87113999983</v>
      </c>
      <c r="W270">
        <v>7370.8600000000006</v>
      </c>
      <c r="X270">
        <v>-424.0600000000004</v>
      </c>
      <c r="Y270" s="31">
        <v>-6.1043933897621985E-2</v>
      </c>
      <c r="Z270">
        <v>202312</v>
      </c>
      <c r="AA270">
        <v>202301</v>
      </c>
      <c r="AB270" t="s">
        <v>1450</v>
      </c>
      <c r="AC270">
        <v>11</v>
      </c>
      <c r="AD270" t="s">
        <v>1484</v>
      </c>
      <c r="AE270">
        <v>0</v>
      </c>
      <c r="AF270">
        <v>0</v>
      </c>
    </row>
    <row r="271" spans="1:32" x14ac:dyDescent="0.25">
      <c r="A271" t="s">
        <v>275</v>
      </c>
      <c r="B271" s="4">
        <v>45301</v>
      </c>
      <c r="C271" t="s">
        <v>1454</v>
      </c>
      <c r="D271" t="s">
        <v>1479</v>
      </c>
      <c r="E271" s="4">
        <v>45314</v>
      </c>
      <c r="F271">
        <v>13</v>
      </c>
      <c r="G271" t="s">
        <v>641</v>
      </c>
      <c r="H271" t="s">
        <v>649</v>
      </c>
      <c r="I271" t="s">
        <v>665</v>
      </c>
      <c r="J271" t="s">
        <v>1503</v>
      </c>
      <c r="K271" t="s">
        <v>693</v>
      </c>
      <c r="L271" t="s">
        <v>703</v>
      </c>
      <c r="M271" t="s">
        <v>712</v>
      </c>
      <c r="N271" t="s">
        <v>720</v>
      </c>
      <c r="O271" t="s">
        <v>994</v>
      </c>
      <c r="P271">
        <v>720</v>
      </c>
      <c r="Q271">
        <v>907.59</v>
      </c>
      <c r="R271" t="s">
        <v>1496</v>
      </c>
      <c r="S271" s="31">
        <v>0.154</v>
      </c>
      <c r="T271">
        <v>10</v>
      </c>
      <c r="U271">
        <v>7678.2113999999992</v>
      </c>
      <c r="V271">
        <v>794633.87113999983</v>
      </c>
      <c r="W271">
        <v>7200</v>
      </c>
      <c r="X271">
        <v>478.21139999999923</v>
      </c>
      <c r="Y271" s="31">
        <v>6.2281614179052078E-2</v>
      </c>
      <c r="Z271">
        <v>202401</v>
      </c>
      <c r="AA271">
        <v>202301</v>
      </c>
      <c r="AB271" t="s">
        <v>1477</v>
      </c>
      <c r="AC271">
        <v>12</v>
      </c>
      <c r="AD271" t="s">
        <v>1484</v>
      </c>
      <c r="AE271">
        <v>0</v>
      </c>
      <c r="AF271">
        <v>0</v>
      </c>
    </row>
    <row r="272" spans="1:32" x14ac:dyDescent="0.25">
      <c r="A272" t="s">
        <v>276</v>
      </c>
      <c r="B272" s="4">
        <v>45141</v>
      </c>
      <c r="C272" t="s">
        <v>1448</v>
      </c>
      <c r="D272" t="s">
        <v>1481</v>
      </c>
      <c r="E272" s="4">
        <v>45152</v>
      </c>
      <c r="F272">
        <v>11</v>
      </c>
      <c r="G272" t="s">
        <v>640</v>
      </c>
      <c r="H272" t="s">
        <v>647</v>
      </c>
      <c r="I272" t="s">
        <v>664</v>
      </c>
      <c r="J272" t="s">
        <v>1502</v>
      </c>
      <c r="K272" t="s">
        <v>693</v>
      </c>
      <c r="L272" t="s">
        <v>703</v>
      </c>
      <c r="M272" t="s">
        <v>705</v>
      </c>
      <c r="N272" t="s">
        <v>725</v>
      </c>
      <c r="O272" t="s">
        <v>995</v>
      </c>
      <c r="P272">
        <v>232.73</v>
      </c>
      <c r="Q272">
        <v>334.19</v>
      </c>
      <c r="R272" t="s">
        <v>1490</v>
      </c>
      <c r="S272" s="31">
        <v>0.13400000000000001</v>
      </c>
      <c r="T272">
        <v>25</v>
      </c>
      <c r="U272">
        <v>7235.2134999999998</v>
      </c>
      <c r="V272">
        <v>794633.87113999983</v>
      </c>
      <c r="W272">
        <v>5818.25</v>
      </c>
      <c r="X272">
        <v>1416.9634999999998</v>
      </c>
      <c r="Y272" s="31">
        <v>0.1958426658729559</v>
      </c>
      <c r="Z272">
        <v>202308</v>
      </c>
      <c r="AA272">
        <v>202301</v>
      </c>
      <c r="AB272" t="s">
        <v>1448</v>
      </c>
      <c r="AC272">
        <v>7</v>
      </c>
      <c r="AD272" t="s">
        <v>1484</v>
      </c>
      <c r="AE272">
        <v>0</v>
      </c>
      <c r="AF272">
        <v>0</v>
      </c>
    </row>
    <row r="273" spans="1:32" x14ac:dyDescent="0.25">
      <c r="A273" t="s">
        <v>277</v>
      </c>
      <c r="B273" s="4">
        <v>45707</v>
      </c>
      <c r="C273" t="s">
        <v>1453</v>
      </c>
      <c r="D273" t="s">
        <v>1479</v>
      </c>
      <c r="E273" s="4">
        <v>45725</v>
      </c>
      <c r="F273">
        <v>18</v>
      </c>
      <c r="G273" t="s">
        <v>639</v>
      </c>
      <c r="H273" t="s">
        <v>646</v>
      </c>
      <c r="I273" t="s">
        <v>672</v>
      </c>
      <c r="J273" t="s">
        <v>1510</v>
      </c>
      <c r="K273" t="s">
        <v>697</v>
      </c>
      <c r="L273" t="s">
        <v>703</v>
      </c>
      <c r="M273" t="s">
        <v>711</v>
      </c>
      <c r="N273" t="s">
        <v>724</v>
      </c>
      <c r="O273" t="s">
        <v>996</v>
      </c>
      <c r="P273">
        <v>325.87</v>
      </c>
      <c r="Q273">
        <v>538.79</v>
      </c>
      <c r="R273" t="s">
        <v>1490</v>
      </c>
      <c r="S273" s="31">
        <v>0.17399999999999999</v>
      </c>
      <c r="T273">
        <v>16</v>
      </c>
      <c r="U273">
        <v>7120.6486400000003</v>
      </c>
      <c r="V273">
        <v>794633.87113999983</v>
      </c>
      <c r="W273">
        <v>5213.92</v>
      </c>
      <c r="X273">
        <v>1906.7286400000003</v>
      </c>
      <c r="Y273" s="31">
        <v>0.26777457172778013</v>
      </c>
      <c r="Z273">
        <v>202502</v>
      </c>
      <c r="AA273">
        <v>202301</v>
      </c>
      <c r="AB273" t="s">
        <v>1451</v>
      </c>
      <c r="AC273">
        <v>25</v>
      </c>
      <c r="AD273" t="s">
        <v>1484</v>
      </c>
      <c r="AE273">
        <v>0</v>
      </c>
      <c r="AF273">
        <v>0</v>
      </c>
    </row>
    <row r="274" spans="1:32" x14ac:dyDescent="0.25">
      <c r="A274" t="s">
        <v>278</v>
      </c>
      <c r="B274" s="4">
        <v>45382</v>
      </c>
      <c r="C274" t="s">
        <v>1470</v>
      </c>
      <c r="D274" t="s">
        <v>1479</v>
      </c>
      <c r="E274" s="4">
        <v>45399</v>
      </c>
      <c r="F274">
        <v>17</v>
      </c>
      <c r="G274" t="s">
        <v>641</v>
      </c>
      <c r="H274" t="s">
        <v>648</v>
      </c>
      <c r="I274" t="s">
        <v>690</v>
      </c>
      <c r="J274" t="s">
        <v>1529</v>
      </c>
      <c r="K274" t="s">
        <v>694</v>
      </c>
      <c r="L274" t="s">
        <v>703</v>
      </c>
      <c r="M274" t="s">
        <v>714</v>
      </c>
      <c r="N274" t="s">
        <v>724</v>
      </c>
      <c r="O274" t="s">
        <v>997</v>
      </c>
      <c r="P274">
        <v>1025.51</v>
      </c>
      <c r="Q274">
        <v>1436.54</v>
      </c>
      <c r="R274" t="s">
        <v>1492</v>
      </c>
      <c r="S274" s="31">
        <v>0.13900000000000001</v>
      </c>
      <c r="T274">
        <v>28</v>
      </c>
      <c r="U274">
        <v>34632.106319999999</v>
      </c>
      <c r="V274">
        <v>794633.87113999983</v>
      </c>
      <c r="W274">
        <v>28714.28</v>
      </c>
      <c r="X274">
        <v>5917.8263200000001</v>
      </c>
      <c r="Y274" s="31">
        <v>0.17087688127656453</v>
      </c>
      <c r="Z274">
        <v>202403</v>
      </c>
      <c r="AA274">
        <v>202301</v>
      </c>
      <c r="AB274" t="s">
        <v>1469</v>
      </c>
      <c r="AC274">
        <v>14</v>
      </c>
      <c r="AD274" t="s">
        <v>1484</v>
      </c>
      <c r="AE274">
        <v>0</v>
      </c>
      <c r="AF274">
        <v>0</v>
      </c>
    </row>
    <row r="275" spans="1:32" x14ac:dyDescent="0.25">
      <c r="A275" t="s">
        <v>279</v>
      </c>
      <c r="B275" s="4">
        <v>45131</v>
      </c>
      <c r="C275" t="s">
        <v>1468</v>
      </c>
      <c r="D275" t="s">
        <v>1481</v>
      </c>
      <c r="E275" s="4">
        <v>45151</v>
      </c>
      <c r="F275">
        <v>20</v>
      </c>
      <c r="G275" t="s">
        <v>640</v>
      </c>
      <c r="H275" t="s">
        <v>645</v>
      </c>
      <c r="I275" t="s">
        <v>673</v>
      </c>
      <c r="J275" t="s">
        <v>1511</v>
      </c>
      <c r="K275" t="s">
        <v>694</v>
      </c>
      <c r="L275" t="s">
        <v>703</v>
      </c>
      <c r="M275" t="s">
        <v>704</v>
      </c>
      <c r="N275" t="s">
        <v>724</v>
      </c>
      <c r="O275" t="s">
        <v>998</v>
      </c>
      <c r="P275">
        <v>1082.3800000000001</v>
      </c>
      <c r="Q275">
        <v>1766.55</v>
      </c>
      <c r="R275" t="s">
        <v>1492</v>
      </c>
      <c r="S275" s="31">
        <v>0.16400000000000001</v>
      </c>
      <c r="T275">
        <v>20</v>
      </c>
      <c r="U275">
        <v>29536.716</v>
      </c>
      <c r="V275">
        <v>794633.87113999983</v>
      </c>
      <c r="W275">
        <v>21647.600000000002</v>
      </c>
      <c r="X275">
        <v>7889.1159999999982</v>
      </c>
      <c r="Y275" s="31">
        <v>0.26709523157550752</v>
      </c>
      <c r="Z275">
        <v>202307</v>
      </c>
      <c r="AA275">
        <v>202301</v>
      </c>
      <c r="AB275" t="s">
        <v>1468</v>
      </c>
      <c r="AC275">
        <v>6</v>
      </c>
      <c r="AD275" t="s">
        <v>1484</v>
      </c>
      <c r="AE275">
        <v>0</v>
      </c>
      <c r="AF275">
        <v>0</v>
      </c>
    </row>
    <row r="276" spans="1:32" x14ac:dyDescent="0.25">
      <c r="A276" t="s">
        <v>280</v>
      </c>
      <c r="B276" s="4">
        <v>45367</v>
      </c>
      <c r="C276" t="s">
        <v>1470</v>
      </c>
      <c r="D276" t="s">
        <v>1479</v>
      </c>
      <c r="E276" s="4">
        <v>45395</v>
      </c>
      <c r="F276">
        <v>28</v>
      </c>
      <c r="G276" t="s">
        <v>641</v>
      </c>
      <c r="H276" t="s">
        <v>649</v>
      </c>
      <c r="I276" t="s">
        <v>682</v>
      </c>
      <c r="J276" t="s">
        <v>1520</v>
      </c>
      <c r="K276" t="s">
        <v>697</v>
      </c>
      <c r="L276" t="s">
        <v>700</v>
      </c>
      <c r="M276" t="s">
        <v>715</v>
      </c>
      <c r="N276" t="s">
        <v>720</v>
      </c>
      <c r="O276" t="s">
        <v>999</v>
      </c>
      <c r="P276">
        <v>287.61</v>
      </c>
      <c r="Q276">
        <v>628.54</v>
      </c>
      <c r="R276" t="s">
        <v>1490</v>
      </c>
      <c r="S276" s="31">
        <v>0.13500000000000001</v>
      </c>
      <c r="T276">
        <v>21</v>
      </c>
      <c r="U276">
        <v>11417.429099999999</v>
      </c>
      <c r="V276">
        <v>794633.87113999983</v>
      </c>
      <c r="W276">
        <v>6039.81</v>
      </c>
      <c r="X276">
        <v>5377.619099999999</v>
      </c>
      <c r="Y276" s="31">
        <v>0.47100087531964613</v>
      </c>
      <c r="Z276">
        <v>202403</v>
      </c>
      <c r="AA276">
        <v>202301</v>
      </c>
      <c r="AB276" t="s">
        <v>1469</v>
      </c>
      <c r="AC276">
        <v>14</v>
      </c>
      <c r="AD276" t="s">
        <v>1484</v>
      </c>
      <c r="AE276">
        <v>0</v>
      </c>
      <c r="AF276">
        <v>0</v>
      </c>
    </row>
    <row r="277" spans="1:32" x14ac:dyDescent="0.25">
      <c r="A277" t="s">
        <v>281</v>
      </c>
      <c r="B277" s="4">
        <v>45316</v>
      </c>
      <c r="C277" t="s">
        <v>1454</v>
      </c>
      <c r="D277" t="s">
        <v>1479</v>
      </c>
      <c r="E277" s="4">
        <v>45318</v>
      </c>
      <c r="F277">
        <v>2</v>
      </c>
      <c r="G277" t="s">
        <v>640</v>
      </c>
      <c r="H277" t="s">
        <v>647</v>
      </c>
      <c r="I277" t="s">
        <v>662</v>
      </c>
      <c r="J277" t="s">
        <v>1500</v>
      </c>
      <c r="K277" t="s">
        <v>695</v>
      </c>
      <c r="L277" t="s">
        <v>701</v>
      </c>
      <c r="M277" t="s">
        <v>717</v>
      </c>
      <c r="N277" t="s">
        <v>723</v>
      </c>
      <c r="O277" t="s">
        <v>1000</v>
      </c>
      <c r="P277">
        <v>1410.97</v>
      </c>
      <c r="Q277">
        <v>1650.75</v>
      </c>
      <c r="R277" t="s">
        <v>1492</v>
      </c>
      <c r="S277" s="31">
        <v>0.13500000000000001</v>
      </c>
      <c r="T277">
        <v>6</v>
      </c>
      <c r="U277">
        <v>8567.3924999999999</v>
      </c>
      <c r="V277">
        <v>794633.87113999983</v>
      </c>
      <c r="W277">
        <v>8465.82</v>
      </c>
      <c r="X277">
        <v>101.57250000000022</v>
      </c>
      <c r="Y277" s="31">
        <v>1.1855707556295596E-2</v>
      </c>
      <c r="Z277">
        <v>202401</v>
      </c>
      <c r="AA277">
        <v>202301</v>
      </c>
      <c r="AB277" t="s">
        <v>1477</v>
      </c>
      <c r="AC277">
        <v>12</v>
      </c>
      <c r="AD277" t="s">
        <v>1483</v>
      </c>
      <c r="AE277">
        <v>1</v>
      </c>
      <c r="AF277">
        <v>0</v>
      </c>
    </row>
    <row r="278" spans="1:32" x14ac:dyDescent="0.25">
      <c r="A278" t="s">
        <v>282</v>
      </c>
      <c r="B278" s="4">
        <v>45378</v>
      </c>
      <c r="C278" t="s">
        <v>1470</v>
      </c>
      <c r="D278" t="s">
        <v>1479</v>
      </c>
      <c r="E278" s="4">
        <v>45393</v>
      </c>
      <c r="F278">
        <v>15</v>
      </c>
      <c r="G278" t="s">
        <v>640</v>
      </c>
      <c r="H278" t="s">
        <v>652</v>
      </c>
      <c r="I278" t="s">
        <v>678</v>
      </c>
      <c r="J278" t="s">
        <v>1516</v>
      </c>
      <c r="K278" t="s">
        <v>697</v>
      </c>
      <c r="L278" t="s">
        <v>703</v>
      </c>
      <c r="M278" t="s">
        <v>711</v>
      </c>
      <c r="N278" t="s">
        <v>721</v>
      </c>
      <c r="O278" t="s">
        <v>1001</v>
      </c>
      <c r="P278">
        <v>1338.35</v>
      </c>
      <c r="Q278">
        <v>2247.14</v>
      </c>
      <c r="R278" t="s">
        <v>1492</v>
      </c>
      <c r="S278" s="31">
        <v>0.115</v>
      </c>
      <c r="T278">
        <v>40</v>
      </c>
      <c r="U278">
        <v>79548.755999999994</v>
      </c>
      <c r="V278">
        <v>794633.87113999983</v>
      </c>
      <c r="W278">
        <v>53534</v>
      </c>
      <c r="X278">
        <v>26014.755999999994</v>
      </c>
      <c r="Y278" s="31">
        <v>0.32702907384246205</v>
      </c>
      <c r="Z278">
        <v>202403</v>
      </c>
      <c r="AA278">
        <v>202301</v>
      </c>
      <c r="AB278" t="s">
        <v>1469</v>
      </c>
      <c r="AC278">
        <v>14</v>
      </c>
      <c r="AD278" t="s">
        <v>1484</v>
      </c>
      <c r="AE278">
        <v>0</v>
      </c>
      <c r="AF278">
        <v>0</v>
      </c>
    </row>
    <row r="279" spans="1:32" x14ac:dyDescent="0.25">
      <c r="A279" t="s">
        <v>283</v>
      </c>
      <c r="B279" s="4">
        <v>45832</v>
      </c>
      <c r="C279" t="s">
        <v>1460</v>
      </c>
      <c r="D279" t="s">
        <v>1480</v>
      </c>
      <c r="E279" s="4">
        <v>45852</v>
      </c>
      <c r="F279">
        <v>20</v>
      </c>
      <c r="G279" t="s">
        <v>641</v>
      </c>
      <c r="H279" t="s">
        <v>648</v>
      </c>
      <c r="I279" t="s">
        <v>663</v>
      </c>
      <c r="J279" t="s">
        <v>1501</v>
      </c>
      <c r="K279" t="s">
        <v>693</v>
      </c>
      <c r="L279" t="s">
        <v>703</v>
      </c>
      <c r="M279" t="s">
        <v>711</v>
      </c>
      <c r="N279" t="s">
        <v>725</v>
      </c>
      <c r="O279" t="s">
        <v>1002</v>
      </c>
      <c r="P279">
        <v>385.08</v>
      </c>
      <c r="Q279">
        <v>893.19</v>
      </c>
      <c r="R279" t="s">
        <v>1490</v>
      </c>
      <c r="S279" s="31">
        <v>0.151</v>
      </c>
      <c r="T279">
        <v>8</v>
      </c>
      <c r="U279">
        <v>6066.54648</v>
      </c>
      <c r="V279">
        <v>794633.87113999983</v>
      </c>
      <c r="W279">
        <v>3080.64</v>
      </c>
      <c r="X279">
        <v>2985.9064800000001</v>
      </c>
      <c r="Y279" s="31">
        <v>0.49219213762621666</v>
      </c>
      <c r="Z279">
        <v>202506</v>
      </c>
      <c r="AA279">
        <v>202301</v>
      </c>
      <c r="AB279" t="s">
        <v>1458</v>
      </c>
      <c r="AC279">
        <v>29</v>
      </c>
      <c r="AD279" t="s">
        <v>1484</v>
      </c>
      <c r="AE279">
        <v>0</v>
      </c>
      <c r="AF279">
        <v>0</v>
      </c>
    </row>
    <row r="280" spans="1:32" x14ac:dyDescent="0.25">
      <c r="A280" t="s">
        <v>284</v>
      </c>
      <c r="B280" s="4">
        <v>45459</v>
      </c>
      <c r="C280" t="s">
        <v>1459</v>
      </c>
      <c r="D280" t="s">
        <v>1480</v>
      </c>
      <c r="E280" s="4">
        <v>45476</v>
      </c>
      <c r="F280">
        <v>17</v>
      </c>
      <c r="G280" t="s">
        <v>638</v>
      </c>
      <c r="H280" t="s">
        <v>653</v>
      </c>
      <c r="I280" t="s">
        <v>674</v>
      </c>
      <c r="J280" t="s">
        <v>1512</v>
      </c>
      <c r="K280" t="s">
        <v>698</v>
      </c>
      <c r="L280" t="s">
        <v>701</v>
      </c>
      <c r="M280" t="s">
        <v>713</v>
      </c>
      <c r="N280" t="s">
        <v>722</v>
      </c>
      <c r="O280" t="s">
        <v>1003</v>
      </c>
      <c r="P280">
        <v>1173.83</v>
      </c>
      <c r="Q280">
        <v>2328.9</v>
      </c>
      <c r="R280" t="s">
        <v>1492</v>
      </c>
      <c r="S280" s="31">
        <v>0.12</v>
      </c>
      <c r="T280">
        <v>17</v>
      </c>
      <c r="U280">
        <v>34840.344000000005</v>
      </c>
      <c r="V280">
        <v>794633.87113999983</v>
      </c>
      <c r="W280">
        <v>19955.11</v>
      </c>
      <c r="X280">
        <v>14885.234000000004</v>
      </c>
      <c r="Y280" s="31">
        <v>0.42724130393201637</v>
      </c>
      <c r="Z280">
        <v>202406</v>
      </c>
      <c r="AA280">
        <v>202301</v>
      </c>
      <c r="AB280" t="s">
        <v>1458</v>
      </c>
      <c r="AC280">
        <v>17</v>
      </c>
      <c r="AD280" t="s">
        <v>1484</v>
      </c>
      <c r="AE280">
        <v>0</v>
      </c>
      <c r="AF280">
        <v>0</v>
      </c>
    </row>
    <row r="281" spans="1:32" x14ac:dyDescent="0.25">
      <c r="A281" t="s">
        <v>285</v>
      </c>
      <c r="B281" s="4">
        <v>45229</v>
      </c>
      <c r="C281" t="s">
        <v>1476</v>
      </c>
      <c r="D281" t="s">
        <v>1482</v>
      </c>
      <c r="E281" s="4">
        <v>45244</v>
      </c>
      <c r="F281">
        <v>15</v>
      </c>
      <c r="G281" t="s">
        <v>639</v>
      </c>
      <c r="H281" t="s">
        <v>646</v>
      </c>
      <c r="I281" t="s">
        <v>660</v>
      </c>
      <c r="J281" t="s">
        <v>1498</v>
      </c>
      <c r="K281" t="s">
        <v>693</v>
      </c>
      <c r="L281" t="s">
        <v>700</v>
      </c>
      <c r="M281" t="s">
        <v>713</v>
      </c>
      <c r="N281" t="s">
        <v>723</v>
      </c>
      <c r="O281" t="s">
        <v>1004</v>
      </c>
      <c r="P281">
        <v>953.46</v>
      </c>
      <c r="Q281">
        <v>2066.75</v>
      </c>
      <c r="R281" t="s">
        <v>1496</v>
      </c>
      <c r="S281" s="31">
        <v>0.13800000000000001</v>
      </c>
      <c r="T281">
        <v>5</v>
      </c>
      <c r="U281">
        <v>8907.6924999999992</v>
      </c>
      <c r="V281">
        <v>794633.87113999983</v>
      </c>
      <c r="W281">
        <v>4767.3</v>
      </c>
      <c r="X281">
        <v>4140.392499999999</v>
      </c>
      <c r="Y281" s="31">
        <v>0.46481089238318446</v>
      </c>
      <c r="Z281">
        <v>202310</v>
      </c>
      <c r="AA281">
        <v>202301</v>
      </c>
      <c r="AB281" t="s">
        <v>1476</v>
      </c>
      <c r="AC281">
        <v>9</v>
      </c>
      <c r="AD281" t="s">
        <v>1484</v>
      </c>
      <c r="AE281">
        <v>0</v>
      </c>
      <c r="AF281">
        <v>0</v>
      </c>
    </row>
    <row r="282" spans="1:32" x14ac:dyDescent="0.25">
      <c r="A282" t="s">
        <v>286</v>
      </c>
      <c r="B282" s="4">
        <v>45092</v>
      </c>
      <c r="C282" t="s">
        <v>1458</v>
      </c>
      <c r="D282" t="s">
        <v>1480</v>
      </c>
      <c r="E282" s="4">
        <v>45100</v>
      </c>
      <c r="F282">
        <v>8</v>
      </c>
      <c r="G282" t="s">
        <v>640</v>
      </c>
      <c r="H282" t="s">
        <v>652</v>
      </c>
      <c r="I282" t="s">
        <v>678</v>
      </c>
      <c r="J282" t="s">
        <v>1516</v>
      </c>
      <c r="K282" t="s">
        <v>696</v>
      </c>
      <c r="L282" t="s">
        <v>702</v>
      </c>
      <c r="M282" t="s">
        <v>711</v>
      </c>
      <c r="N282" t="s">
        <v>724</v>
      </c>
      <c r="O282" t="s">
        <v>1005</v>
      </c>
      <c r="P282">
        <v>1097.0899999999999</v>
      </c>
      <c r="Q282">
        <v>2182.31</v>
      </c>
      <c r="R282" t="s">
        <v>1492</v>
      </c>
      <c r="S282" s="31">
        <v>0.112</v>
      </c>
      <c r="T282">
        <v>9</v>
      </c>
      <c r="U282">
        <v>17441.021520000002</v>
      </c>
      <c r="V282">
        <v>794633.87113999983</v>
      </c>
      <c r="W282">
        <v>9873.81</v>
      </c>
      <c r="X282">
        <v>7567.2115200000026</v>
      </c>
      <c r="Y282" s="31">
        <v>0.43387432962699546</v>
      </c>
      <c r="Z282">
        <v>202306</v>
      </c>
      <c r="AA282">
        <v>202301</v>
      </c>
      <c r="AB282" t="s">
        <v>1458</v>
      </c>
      <c r="AC282">
        <v>5</v>
      </c>
      <c r="AD282" t="s">
        <v>1484</v>
      </c>
      <c r="AE282">
        <v>0</v>
      </c>
      <c r="AF282">
        <v>0</v>
      </c>
    </row>
    <row r="283" spans="1:32" x14ac:dyDescent="0.25">
      <c r="A283" t="s">
        <v>287</v>
      </c>
      <c r="B283" s="4">
        <v>45730</v>
      </c>
      <c r="C283" t="s">
        <v>1461</v>
      </c>
      <c r="D283" t="s">
        <v>1479</v>
      </c>
      <c r="E283" s="4">
        <v>45745</v>
      </c>
      <c r="F283">
        <v>15</v>
      </c>
      <c r="G283" t="s">
        <v>639</v>
      </c>
      <c r="H283" t="s">
        <v>644</v>
      </c>
      <c r="I283" t="s">
        <v>681</v>
      </c>
      <c r="J283" t="s">
        <v>1519</v>
      </c>
      <c r="K283" t="s">
        <v>695</v>
      </c>
      <c r="L283" t="s">
        <v>703</v>
      </c>
      <c r="M283" t="s">
        <v>714</v>
      </c>
      <c r="N283" t="s">
        <v>721</v>
      </c>
      <c r="O283" t="s">
        <v>1006</v>
      </c>
      <c r="P283">
        <v>1106.96</v>
      </c>
      <c r="Q283">
        <v>2726.62</v>
      </c>
      <c r="R283" t="s">
        <v>1492</v>
      </c>
      <c r="S283" s="31">
        <v>0.317</v>
      </c>
      <c r="T283">
        <v>7</v>
      </c>
      <c r="U283">
        <v>13035.970220000001</v>
      </c>
      <c r="V283">
        <v>794633.87113999983</v>
      </c>
      <c r="W283">
        <v>7748.72</v>
      </c>
      <c r="X283">
        <v>5287.2502200000008</v>
      </c>
      <c r="Y283" s="31">
        <v>0.40558931408789306</v>
      </c>
      <c r="Z283">
        <v>202503</v>
      </c>
      <c r="AA283">
        <v>202303</v>
      </c>
      <c r="AB283" t="s">
        <v>1469</v>
      </c>
      <c r="AC283">
        <v>24</v>
      </c>
      <c r="AD283" t="s">
        <v>1484</v>
      </c>
      <c r="AE283">
        <v>0</v>
      </c>
      <c r="AF283">
        <v>1</v>
      </c>
    </row>
    <row r="284" spans="1:32" x14ac:dyDescent="0.25">
      <c r="A284" t="s">
        <v>288</v>
      </c>
      <c r="B284" s="4">
        <v>45153</v>
      </c>
      <c r="C284" t="s">
        <v>1448</v>
      </c>
      <c r="D284" t="s">
        <v>1481</v>
      </c>
      <c r="E284" s="4">
        <v>45163</v>
      </c>
      <c r="F284">
        <v>10</v>
      </c>
      <c r="G284" t="s">
        <v>638</v>
      </c>
      <c r="H284" t="s">
        <v>642</v>
      </c>
      <c r="I284" t="s">
        <v>656</v>
      </c>
      <c r="J284" t="s">
        <v>1493</v>
      </c>
      <c r="K284" t="s">
        <v>697</v>
      </c>
      <c r="L284" t="s">
        <v>699</v>
      </c>
      <c r="M284" t="s">
        <v>717</v>
      </c>
      <c r="N284" t="s">
        <v>722</v>
      </c>
      <c r="O284" t="s">
        <v>1007</v>
      </c>
      <c r="P284">
        <v>91.85</v>
      </c>
      <c r="Q284">
        <v>111.29</v>
      </c>
      <c r="R284" t="s">
        <v>1490</v>
      </c>
      <c r="S284" s="31">
        <v>0</v>
      </c>
      <c r="T284">
        <v>6</v>
      </c>
      <c r="U284">
        <v>667.74</v>
      </c>
      <c r="V284">
        <v>794633.87113999983</v>
      </c>
      <c r="W284">
        <v>551.09999999999991</v>
      </c>
      <c r="X284">
        <v>116.6400000000001</v>
      </c>
      <c r="Y284" s="31">
        <v>0.17467876718483258</v>
      </c>
      <c r="Z284">
        <v>202308</v>
      </c>
      <c r="AA284">
        <v>202301</v>
      </c>
      <c r="AB284" t="s">
        <v>1448</v>
      </c>
      <c r="AC284">
        <v>7</v>
      </c>
      <c r="AD284" t="s">
        <v>1484</v>
      </c>
      <c r="AE284">
        <v>0</v>
      </c>
      <c r="AF284">
        <v>0</v>
      </c>
    </row>
    <row r="285" spans="1:32" x14ac:dyDescent="0.25">
      <c r="A285" t="s">
        <v>289</v>
      </c>
      <c r="B285" s="4">
        <v>45794</v>
      </c>
      <c r="C285" t="s">
        <v>1471</v>
      </c>
      <c r="D285" t="s">
        <v>1480</v>
      </c>
      <c r="E285" s="4">
        <v>45805</v>
      </c>
      <c r="F285">
        <v>11</v>
      </c>
      <c r="G285" t="s">
        <v>639</v>
      </c>
      <c r="H285" t="s">
        <v>646</v>
      </c>
      <c r="I285" t="s">
        <v>660</v>
      </c>
      <c r="J285" t="s">
        <v>1498</v>
      </c>
      <c r="K285" t="s">
        <v>693</v>
      </c>
      <c r="L285" t="s">
        <v>702</v>
      </c>
      <c r="M285" t="s">
        <v>709</v>
      </c>
      <c r="N285" t="s">
        <v>723</v>
      </c>
      <c r="O285" t="s">
        <v>1008</v>
      </c>
      <c r="P285">
        <v>623.4</v>
      </c>
      <c r="Q285">
        <v>1100.0899999999999</v>
      </c>
      <c r="R285" t="s">
        <v>1496</v>
      </c>
      <c r="S285" s="31">
        <v>0.114</v>
      </c>
      <c r="T285">
        <v>12</v>
      </c>
      <c r="U285">
        <v>11696.156879999999</v>
      </c>
      <c r="V285">
        <v>794633.87113999983</v>
      </c>
      <c r="W285">
        <v>7480.7999999999993</v>
      </c>
      <c r="X285">
        <v>4215.3568799999994</v>
      </c>
      <c r="Y285" s="31">
        <v>0.36040529579490388</v>
      </c>
      <c r="Z285">
        <v>202505</v>
      </c>
      <c r="AA285">
        <v>202301</v>
      </c>
      <c r="AB285" t="s">
        <v>1462</v>
      </c>
      <c r="AC285">
        <v>28</v>
      </c>
      <c r="AD285" t="s">
        <v>1484</v>
      </c>
      <c r="AE285">
        <v>0</v>
      </c>
      <c r="AF285">
        <v>0</v>
      </c>
    </row>
    <row r="286" spans="1:32" x14ac:dyDescent="0.25">
      <c r="A286" t="s">
        <v>290</v>
      </c>
      <c r="B286" s="4">
        <v>45304</v>
      </c>
      <c r="C286" t="s">
        <v>1454</v>
      </c>
      <c r="D286" t="s">
        <v>1479</v>
      </c>
      <c r="E286" s="4">
        <v>45327</v>
      </c>
      <c r="F286">
        <v>23</v>
      </c>
      <c r="G286" t="s">
        <v>641</v>
      </c>
      <c r="H286" t="s">
        <v>648</v>
      </c>
      <c r="I286" t="s">
        <v>690</v>
      </c>
      <c r="J286" t="s">
        <v>1529</v>
      </c>
      <c r="K286" t="s">
        <v>694</v>
      </c>
      <c r="L286" t="s">
        <v>703</v>
      </c>
      <c r="M286" t="s">
        <v>709</v>
      </c>
      <c r="N286" t="s">
        <v>723</v>
      </c>
      <c r="O286" t="s">
        <v>1009</v>
      </c>
      <c r="P286">
        <v>1017.93</v>
      </c>
      <c r="Q286">
        <v>1529.14</v>
      </c>
      <c r="R286" t="s">
        <v>1492</v>
      </c>
      <c r="S286" s="31">
        <v>0.155</v>
      </c>
      <c r="T286">
        <v>12</v>
      </c>
      <c r="U286">
        <v>15505.479600000001</v>
      </c>
      <c r="V286">
        <v>794633.87113999983</v>
      </c>
      <c r="W286">
        <v>12215.16</v>
      </c>
      <c r="X286">
        <v>3290.3196000000007</v>
      </c>
      <c r="Y286" s="31">
        <v>0.21220366508366503</v>
      </c>
      <c r="Z286">
        <v>202401</v>
      </c>
      <c r="AA286">
        <v>202301</v>
      </c>
      <c r="AB286" t="s">
        <v>1477</v>
      </c>
      <c r="AC286">
        <v>12</v>
      </c>
      <c r="AD286" t="s">
        <v>1484</v>
      </c>
      <c r="AE286">
        <v>0</v>
      </c>
      <c r="AF286">
        <v>0</v>
      </c>
    </row>
    <row r="287" spans="1:32" x14ac:dyDescent="0.25">
      <c r="A287" t="s">
        <v>291</v>
      </c>
      <c r="B287" s="4">
        <v>45101</v>
      </c>
      <c r="C287" t="s">
        <v>1458</v>
      </c>
      <c r="D287" t="s">
        <v>1480</v>
      </c>
      <c r="E287" s="4">
        <v>45128</v>
      </c>
      <c r="F287">
        <v>27</v>
      </c>
      <c r="G287" t="s">
        <v>639</v>
      </c>
      <c r="H287" t="s">
        <v>644</v>
      </c>
      <c r="I287" t="s">
        <v>686</v>
      </c>
      <c r="J287" t="s">
        <v>1524</v>
      </c>
      <c r="K287" t="s">
        <v>696</v>
      </c>
      <c r="L287" t="s">
        <v>701</v>
      </c>
      <c r="M287" t="s">
        <v>705</v>
      </c>
      <c r="N287" t="s">
        <v>722</v>
      </c>
      <c r="O287" t="s">
        <v>1010</v>
      </c>
      <c r="P287">
        <v>554.76</v>
      </c>
      <c r="Q287">
        <v>728.69</v>
      </c>
      <c r="R287" t="s">
        <v>1496</v>
      </c>
      <c r="S287" s="31">
        <v>0.22</v>
      </c>
      <c r="T287">
        <v>7</v>
      </c>
      <c r="U287">
        <v>3978.6474000000003</v>
      </c>
      <c r="V287">
        <v>794633.87113999983</v>
      </c>
      <c r="W287">
        <v>3883.3199999999997</v>
      </c>
      <c r="X287">
        <v>95.32740000000058</v>
      </c>
      <c r="Y287" s="31">
        <v>2.395975074343119E-2</v>
      </c>
      <c r="Z287">
        <v>202306</v>
      </c>
      <c r="AA287">
        <v>202303</v>
      </c>
      <c r="AB287" t="s">
        <v>1458</v>
      </c>
      <c r="AC287">
        <v>3</v>
      </c>
      <c r="AD287" t="s">
        <v>1484</v>
      </c>
      <c r="AE287">
        <v>0</v>
      </c>
      <c r="AF287">
        <v>1</v>
      </c>
    </row>
    <row r="288" spans="1:32" x14ac:dyDescent="0.25">
      <c r="A288" t="s">
        <v>292</v>
      </c>
      <c r="B288" s="4">
        <v>45751</v>
      </c>
      <c r="C288" t="s">
        <v>1473</v>
      </c>
      <c r="D288" t="s">
        <v>1480</v>
      </c>
      <c r="E288" s="4">
        <v>45760</v>
      </c>
      <c r="F288">
        <v>9</v>
      </c>
      <c r="G288" t="s">
        <v>641</v>
      </c>
      <c r="H288" t="s">
        <v>648</v>
      </c>
      <c r="I288" t="s">
        <v>676</v>
      </c>
      <c r="J288" t="s">
        <v>1514</v>
      </c>
      <c r="K288" t="s">
        <v>696</v>
      </c>
      <c r="L288" t="s">
        <v>701</v>
      </c>
      <c r="M288" t="s">
        <v>713</v>
      </c>
      <c r="N288" t="s">
        <v>722</v>
      </c>
      <c r="O288" t="s">
        <v>1011</v>
      </c>
      <c r="P288">
        <v>7.02</v>
      </c>
      <c r="Q288">
        <v>6.28</v>
      </c>
      <c r="R288" t="s">
        <v>1490</v>
      </c>
      <c r="S288" s="31">
        <v>0.13400000000000001</v>
      </c>
      <c r="T288">
        <v>14</v>
      </c>
      <c r="U288">
        <v>76.138720000000006</v>
      </c>
      <c r="V288">
        <v>794633.87113999983</v>
      </c>
      <c r="W288">
        <v>98.28</v>
      </c>
      <c r="X288">
        <v>-22.141279999999995</v>
      </c>
      <c r="Y288" s="31">
        <v>-0.29080184169106066</v>
      </c>
      <c r="Z288">
        <v>202504</v>
      </c>
      <c r="AA288">
        <v>202301</v>
      </c>
      <c r="AB288" t="s">
        <v>1446</v>
      </c>
      <c r="AC288">
        <v>27</v>
      </c>
      <c r="AD288" t="s">
        <v>1484</v>
      </c>
      <c r="AE288">
        <v>0</v>
      </c>
      <c r="AF288">
        <v>0</v>
      </c>
    </row>
    <row r="289" spans="1:32" x14ac:dyDescent="0.25">
      <c r="A289" t="s">
        <v>293</v>
      </c>
      <c r="B289" s="4">
        <v>45542</v>
      </c>
      <c r="C289" t="s">
        <v>1466</v>
      </c>
      <c r="D289" t="s">
        <v>1481</v>
      </c>
      <c r="E289" s="4">
        <v>45542</v>
      </c>
      <c r="F289">
        <v>0</v>
      </c>
      <c r="G289" t="s">
        <v>639</v>
      </c>
      <c r="H289" t="s">
        <v>646</v>
      </c>
      <c r="I289" t="s">
        <v>683</v>
      </c>
      <c r="J289" t="s">
        <v>1521</v>
      </c>
      <c r="K289" t="s">
        <v>694</v>
      </c>
      <c r="L289" t="s">
        <v>702</v>
      </c>
      <c r="M289" t="s">
        <v>709</v>
      </c>
      <c r="N289" t="s">
        <v>721</v>
      </c>
      <c r="O289" t="s">
        <v>1012</v>
      </c>
      <c r="P289">
        <v>1066.6500000000001</v>
      </c>
      <c r="Q289">
        <v>2569.77</v>
      </c>
      <c r="R289" t="s">
        <v>1492</v>
      </c>
      <c r="S289" s="31">
        <v>0.13400000000000001</v>
      </c>
      <c r="T289">
        <v>9</v>
      </c>
      <c r="U289">
        <v>20028.787380000002</v>
      </c>
      <c r="V289">
        <v>794633.87113999983</v>
      </c>
      <c r="W289">
        <v>9599.85</v>
      </c>
      <c r="X289">
        <v>10428.937380000001</v>
      </c>
      <c r="Y289" s="31">
        <v>0.52069739331368348</v>
      </c>
      <c r="Z289">
        <v>202409</v>
      </c>
      <c r="AA289">
        <v>202301</v>
      </c>
      <c r="AB289" t="s">
        <v>1465</v>
      </c>
      <c r="AC289">
        <v>20</v>
      </c>
      <c r="AD289" t="s">
        <v>1483</v>
      </c>
      <c r="AE289">
        <v>1</v>
      </c>
      <c r="AF289">
        <v>0</v>
      </c>
    </row>
    <row r="290" spans="1:32" x14ac:dyDescent="0.25">
      <c r="A290" t="s">
        <v>294</v>
      </c>
      <c r="B290" s="4">
        <v>45319</v>
      </c>
      <c r="C290" t="s">
        <v>1454</v>
      </c>
      <c r="D290" t="s">
        <v>1479</v>
      </c>
      <c r="E290" s="4">
        <v>45321</v>
      </c>
      <c r="F290">
        <v>2</v>
      </c>
      <c r="G290" t="s">
        <v>638</v>
      </c>
      <c r="H290" t="s">
        <v>653</v>
      </c>
      <c r="I290" t="s">
        <v>687</v>
      </c>
      <c r="J290" t="s">
        <v>1525</v>
      </c>
      <c r="K290" t="s">
        <v>696</v>
      </c>
      <c r="L290" t="s">
        <v>703</v>
      </c>
      <c r="M290" t="s">
        <v>713</v>
      </c>
      <c r="N290" t="s">
        <v>725</v>
      </c>
      <c r="O290" t="s">
        <v>1013</v>
      </c>
      <c r="P290">
        <v>798.45</v>
      </c>
      <c r="Q290">
        <v>1592.02</v>
      </c>
      <c r="R290" t="s">
        <v>1496</v>
      </c>
      <c r="S290" s="31">
        <v>6.6000000000000003E-2</v>
      </c>
      <c r="T290">
        <v>18</v>
      </c>
      <c r="U290">
        <v>26765.040239999998</v>
      </c>
      <c r="V290">
        <v>794633.87113999983</v>
      </c>
      <c r="W290">
        <v>14372.1</v>
      </c>
      <c r="X290">
        <v>12392.940239999998</v>
      </c>
      <c r="Y290" s="31">
        <v>0.46302714768494585</v>
      </c>
      <c r="Z290">
        <v>202401</v>
      </c>
      <c r="AA290">
        <v>202301</v>
      </c>
      <c r="AB290" t="s">
        <v>1477</v>
      </c>
      <c r="AC290">
        <v>12</v>
      </c>
      <c r="AD290" t="s">
        <v>1483</v>
      </c>
      <c r="AE290">
        <v>1</v>
      </c>
      <c r="AF290">
        <v>0</v>
      </c>
    </row>
    <row r="291" spans="1:32" x14ac:dyDescent="0.25">
      <c r="A291" t="s">
        <v>295</v>
      </c>
      <c r="B291" s="4">
        <v>45125</v>
      </c>
      <c r="C291" t="s">
        <v>1468</v>
      </c>
      <c r="D291" t="s">
        <v>1481</v>
      </c>
      <c r="E291" s="4">
        <v>45148</v>
      </c>
      <c r="F291">
        <v>23</v>
      </c>
      <c r="G291" t="s">
        <v>638</v>
      </c>
      <c r="H291" t="s">
        <v>653</v>
      </c>
      <c r="I291" t="s">
        <v>674</v>
      </c>
      <c r="J291" t="s">
        <v>1512</v>
      </c>
      <c r="K291" t="s">
        <v>697</v>
      </c>
      <c r="L291" t="s">
        <v>699</v>
      </c>
      <c r="M291" t="s">
        <v>708</v>
      </c>
      <c r="N291" t="s">
        <v>719</v>
      </c>
      <c r="O291" t="s">
        <v>1014</v>
      </c>
      <c r="P291">
        <v>1271.56</v>
      </c>
      <c r="Q291">
        <v>995.47</v>
      </c>
      <c r="R291" t="s">
        <v>1492</v>
      </c>
      <c r="S291" s="31">
        <v>0.192</v>
      </c>
      <c r="T291">
        <v>13</v>
      </c>
      <c r="U291">
        <v>10456.416880000001</v>
      </c>
      <c r="V291">
        <v>794633.87113999983</v>
      </c>
      <c r="W291">
        <v>16530.28</v>
      </c>
      <c r="X291">
        <v>-6073.8631199999982</v>
      </c>
      <c r="Y291" s="31">
        <v>-0.58087423155607754</v>
      </c>
      <c r="Z291">
        <v>202307</v>
      </c>
      <c r="AA291">
        <v>202301</v>
      </c>
      <c r="AB291" t="s">
        <v>1468</v>
      </c>
      <c r="AC291">
        <v>6</v>
      </c>
      <c r="AD291" t="s">
        <v>1484</v>
      </c>
      <c r="AE291">
        <v>0</v>
      </c>
      <c r="AF291">
        <v>0</v>
      </c>
    </row>
    <row r="292" spans="1:32" x14ac:dyDescent="0.25">
      <c r="A292" t="s">
        <v>296</v>
      </c>
      <c r="B292" s="4">
        <v>45897</v>
      </c>
      <c r="C292" t="s">
        <v>1449</v>
      </c>
      <c r="D292" t="s">
        <v>1481</v>
      </c>
      <c r="E292" s="4">
        <v>45899</v>
      </c>
      <c r="F292">
        <v>2</v>
      </c>
      <c r="G292" t="s">
        <v>638</v>
      </c>
      <c r="H292" t="s">
        <v>643</v>
      </c>
      <c r="I292" t="s">
        <v>655</v>
      </c>
      <c r="J292" t="s">
        <v>1491</v>
      </c>
      <c r="K292" t="s">
        <v>697</v>
      </c>
      <c r="L292" t="s">
        <v>699</v>
      </c>
      <c r="M292" t="s">
        <v>712</v>
      </c>
      <c r="N292" t="s">
        <v>725</v>
      </c>
      <c r="O292" t="s">
        <v>1015</v>
      </c>
      <c r="P292">
        <v>521.05999999999995</v>
      </c>
      <c r="Q292">
        <v>1240.31</v>
      </c>
      <c r="R292" t="s">
        <v>1496</v>
      </c>
      <c r="S292" s="31">
        <v>0.14599999999999999</v>
      </c>
      <c r="T292">
        <v>18</v>
      </c>
      <c r="U292">
        <v>19066.045319999997</v>
      </c>
      <c r="V292">
        <v>784177.45425999991</v>
      </c>
      <c r="W292">
        <v>9379.0799999999981</v>
      </c>
      <c r="X292">
        <v>9686.9653199999993</v>
      </c>
      <c r="Y292" s="31">
        <v>0.50807417885650974</v>
      </c>
      <c r="Z292">
        <v>202508</v>
      </c>
      <c r="AA292">
        <v>202301</v>
      </c>
      <c r="AB292" t="s">
        <v>1448</v>
      </c>
      <c r="AC292">
        <v>31</v>
      </c>
      <c r="AD292" t="s">
        <v>1483</v>
      </c>
      <c r="AE292">
        <v>1</v>
      </c>
      <c r="AF292">
        <v>0</v>
      </c>
    </row>
    <row r="293" spans="1:32" x14ac:dyDescent="0.25">
      <c r="A293" t="s">
        <v>297</v>
      </c>
      <c r="B293" s="4">
        <v>45746</v>
      </c>
      <c r="C293" t="s">
        <v>1461</v>
      </c>
      <c r="D293" t="s">
        <v>1479</v>
      </c>
      <c r="E293" s="4">
        <v>45754</v>
      </c>
      <c r="F293">
        <v>8</v>
      </c>
      <c r="G293" t="s">
        <v>640</v>
      </c>
      <c r="H293" t="s">
        <v>647</v>
      </c>
      <c r="I293" t="s">
        <v>662</v>
      </c>
      <c r="J293" t="s">
        <v>1500</v>
      </c>
      <c r="K293" t="s">
        <v>695</v>
      </c>
      <c r="L293" t="s">
        <v>703</v>
      </c>
      <c r="M293" t="s">
        <v>708</v>
      </c>
      <c r="N293" t="s">
        <v>720</v>
      </c>
      <c r="O293" t="s">
        <v>1016</v>
      </c>
      <c r="P293">
        <v>71.62</v>
      </c>
      <c r="Q293">
        <v>118.37</v>
      </c>
      <c r="R293" t="s">
        <v>1490</v>
      </c>
      <c r="S293" s="31">
        <v>0.156</v>
      </c>
      <c r="T293">
        <v>11</v>
      </c>
      <c r="U293">
        <v>1098.9470800000001</v>
      </c>
      <c r="V293">
        <v>784177.45425999991</v>
      </c>
      <c r="W293">
        <v>787.82</v>
      </c>
      <c r="X293">
        <v>311.12708000000009</v>
      </c>
      <c r="Y293" s="31">
        <v>0.28311379652603474</v>
      </c>
      <c r="Z293">
        <v>202503</v>
      </c>
      <c r="AA293">
        <v>202301</v>
      </c>
      <c r="AB293" t="s">
        <v>1469</v>
      </c>
      <c r="AC293">
        <v>26</v>
      </c>
      <c r="AD293" t="s">
        <v>1484</v>
      </c>
      <c r="AE293">
        <v>0</v>
      </c>
      <c r="AF293">
        <v>0</v>
      </c>
    </row>
    <row r="294" spans="1:32" x14ac:dyDescent="0.25">
      <c r="A294" t="s">
        <v>298</v>
      </c>
      <c r="B294" s="4">
        <v>45220</v>
      </c>
      <c r="C294" t="s">
        <v>1476</v>
      </c>
      <c r="D294" t="s">
        <v>1482</v>
      </c>
      <c r="E294" s="4">
        <v>45239</v>
      </c>
      <c r="F294">
        <v>19</v>
      </c>
      <c r="G294" t="s">
        <v>641</v>
      </c>
      <c r="H294" t="s">
        <v>650</v>
      </c>
      <c r="I294" t="s">
        <v>675</v>
      </c>
      <c r="J294" t="s">
        <v>1513</v>
      </c>
      <c r="K294" t="s">
        <v>695</v>
      </c>
      <c r="L294" t="s">
        <v>703</v>
      </c>
      <c r="M294" t="s">
        <v>712</v>
      </c>
      <c r="N294" t="s">
        <v>725</v>
      </c>
      <c r="O294" t="s">
        <v>1017</v>
      </c>
      <c r="P294">
        <v>1142.48</v>
      </c>
      <c r="Q294">
        <v>2105.5300000000002</v>
      </c>
      <c r="R294" t="s">
        <v>1492</v>
      </c>
      <c r="S294" s="31">
        <v>0.20699999999999999</v>
      </c>
      <c r="T294">
        <v>14</v>
      </c>
      <c r="U294">
        <v>23375.594060000003</v>
      </c>
      <c r="V294">
        <v>784177.45425999991</v>
      </c>
      <c r="W294">
        <v>15994.720000000001</v>
      </c>
      <c r="X294">
        <v>7380.8740600000019</v>
      </c>
      <c r="Y294" s="31">
        <v>0.31575129346680658</v>
      </c>
      <c r="Z294">
        <v>202310</v>
      </c>
      <c r="AA294">
        <v>202301</v>
      </c>
      <c r="AB294" t="s">
        <v>1476</v>
      </c>
      <c r="AC294">
        <v>9</v>
      </c>
      <c r="AD294" t="s">
        <v>1484</v>
      </c>
      <c r="AE294">
        <v>0</v>
      </c>
      <c r="AF294">
        <v>1</v>
      </c>
    </row>
    <row r="295" spans="1:32" x14ac:dyDescent="0.25">
      <c r="A295" t="s">
        <v>299</v>
      </c>
      <c r="B295" s="4">
        <v>45161</v>
      </c>
      <c r="C295" t="s">
        <v>1448</v>
      </c>
      <c r="D295" t="s">
        <v>1481</v>
      </c>
      <c r="E295" s="4">
        <v>45191</v>
      </c>
      <c r="F295">
        <v>30</v>
      </c>
      <c r="G295" t="s">
        <v>641</v>
      </c>
      <c r="H295" t="s">
        <v>650</v>
      </c>
      <c r="I295" t="s">
        <v>675</v>
      </c>
      <c r="J295" t="s">
        <v>1513</v>
      </c>
      <c r="K295" t="s">
        <v>696</v>
      </c>
      <c r="L295" t="s">
        <v>702</v>
      </c>
      <c r="M295" t="s">
        <v>711</v>
      </c>
      <c r="N295" t="s">
        <v>725</v>
      </c>
      <c r="O295" t="s">
        <v>1018</v>
      </c>
      <c r="P295">
        <v>209.81</v>
      </c>
      <c r="Q295">
        <v>523</v>
      </c>
      <c r="R295" t="s">
        <v>1490</v>
      </c>
      <c r="S295" s="31">
        <v>5.8999999999999997E-2</v>
      </c>
      <c r="T295">
        <v>15</v>
      </c>
      <c r="U295">
        <v>7382.1450000000004</v>
      </c>
      <c r="V295">
        <v>784177.45425999991</v>
      </c>
      <c r="W295">
        <v>3147.15</v>
      </c>
      <c r="X295">
        <v>4234.9950000000008</v>
      </c>
      <c r="Y295" s="31">
        <v>0.57368082041195356</v>
      </c>
      <c r="Z295">
        <v>202308</v>
      </c>
      <c r="AA295">
        <v>202301</v>
      </c>
      <c r="AB295" t="s">
        <v>1448</v>
      </c>
      <c r="AC295">
        <v>7</v>
      </c>
      <c r="AD295" t="s">
        <v>1484</v>
      </c>
      <c r="AE295">
        <v>0</v>
      </c>
      <c r="AF295">
        <v>0</v>
      </c>
    </row>
    <row r="296" spans="1:32" x14ac:dyDescent="0.25">
      <c r="A296" t="s">
        <v>300</v>
      </c>
      <c r="B296" s="4">
        <v>45758</v>
      </c>
      <c r="C296" t="s">
        <v>1473</v>
      </c>
      <c r="D296" t="s">
        <v>1480</v>
      </c>
      <c r="E296" s="4">
        <v>45781</v>
      </c>
      <c r="F296">
        <v>23</v>
      </c>
      <c r="G296" t="s">
        <v>639</v>
      </c>
      <c r="H296" t="s">
        <v>644</v>
      </c>
      <c r="I296" t="s">
        <v>658</v>
      </c>
      <c r="J296" t="s">
        <v>1495</v>
      </c>
      <c r="K296" t="s">
        <v>697</v>
      </c>
      <c r="L296" t="s">
        <v>700</v>
      </c>
      <c r="M296" t="s">
        <v>716</v>
      </c>
      <c r="N296" t="s">
        <v>719</v>
      </c>
      <c r="O296" t="s">
        <v>1019</v>
      </c>
      <c r="P296">
        <v>786.2</v>
      </c>
      <c r="Q296">
        <v>1075.3</v>
      </c>
      <c r="R296" t="s">
        <v>1496</v>
      </c>
      <c r="S296" s="31">
        <v>0.08</v>
      </c>
      <c r="T296">
        <v>9</v>
      </c>
      <c r="U296">
        <v>8903.4839999999986</v>
      </c>
      <c r="V296">
        <v>784177.45425999991</v>
      </c>
      <c r="W296">
        <v>7075.8</v>
      </c>
      <c r="X296">
        <v>1827.6839999999984</v>
      </c>
      <c r="Y296" s="31">
        <v>0.20527739478163815</v>
      </c>
      <c r="Z296">
        <v>202504</v>
      </c>
      <c r="AA296">
        <v>202303</v>
      </c>
      <c r="AB296" t="s">
        <v>1446</v>
      </c>
      <c r="AC296">
        <v>25</v>
      </c>
      <c r="AD296" t="s">
        <v>1484</v>
      </c>
      <c r="AE296">
        <v>0</v>
      </c>
      <c r="AF296">
        <v>0</v>
      </c>
    </row>
    <row r="297" spans="1:32" x14ac:dyDescent="0.25">
      <c r="A297" t="s">
        <v>301</v>
      </c>
      <c r="B297" s="4">
        <v>45809</v>
      </c>
      <c r="C297" t="s">
        <v>1460</v>
      </c>
      <c r="D297" t="s">
        <v>1480</v>
      </c>
      <c r="E297" s="4">
        <v>45835</v>
      </c>
      <c r="F297">
        <v>26</v>
      </c>
      <c r="G297" t="s">
        <v>641</v>
      </c>
      <c r="H297" t="s">
        <v>648</v>
      </c>
      <c r="I297" t="s">
        <v>676</v>
      </c>
      <c r="J297" t="s">
        <v>1514</v>
      </c>
      <c r="K297" t="s">
        <v>696</v>
      </c>
      <c r="L297" t="s">
        <v>702</v>
      </c>
      <c r="M297" t="s">
        <v>710</v>
      </c>
      <c r="N297" t="s">
        <v>723</v>
      </c>
      <c r="O297" t="s">
        <v>1020</v>
      </c>
      <c r="P297">
        <v>1362.31</v>
      </c>
      <c r="Q297">
        <v>3294.57</v>
      </c>
      <c r="R297" t="s">
        <v>1492</v>
      </c>
      <c r="S297" s="31">
        <v>0.113</v>
      </c>
      <c r="T297">
        <v>7</v>
      </c>
      <c r="U297">
        <v>20455.985130000001</v>
      </c>
      <c r="V297">
        <v>775273.97025999997</v>
      </c>
      <c r="W297">
        <v>9536.17</v>
      </c>
      <c r="X297">
        <v>10919.815130000001</v>
      </c>
      <c r="Y297" s="31">
        <v>0.5338200561157721</v>
      </c>
      <c r="Z297">
        <v>202506</v>
      </c>
      <c r="AA297">
        <v>202301</v>
      </c>
      <c r="AB297" t="s">
        <v>1458</v>
      </c>
      <c r="AC297">
        <v>29</v>
      </c>
      <c r="AD297" t="s">
        <v>1484</v>
      </c>
      <c r="AE297">
        <v>0</v>
      </c>
      <c r="AF297">
        <v>0</v>
      </c>
    </row>
    <row r="298" spans="1:32" x14ac:dyDescent="0.25">
      <c r="A298" t="s">
        <v>302</v>
      </c>
      <c r="B298" s="4">
        <v>45353</v>
      </c>
      <c r="C298" t="s">
        <v>1470</v>
      </c>
      <c r="D298" t="s">
        <v>1479</v>
      </c>
      <c r="E298" s="4">
        <v>45367</v>
      </c>
      <c r="F298">
        <v>14</v>
      </c>
      <c r="G298" t="s">
        <v>640</v>
      </c>
      <c r="H298" t="s">
        <v>645</v>
      </c>
      <c r="I298" t="s">
        <v>680</v>
      </c>
      <c r="J298" t="s">
        <v>1518</v>
      </c>
      <c r="K298" t="s">
        <v>695</v>
      </c>
      <c r="L298" t="s">
        <v>703</v>
      </c>
      <c r="M298" t="s">
        <v>711</v>
      </c>
      <c r="N298" t="s">
        <v>720</v>
      </c>
      <c r="O298" t="s">
        <v>1021</v>
      </c>
      <c r="P298">
        <v>248.24</v>
      </c>
      <c r="Q298">
        <v>464.05</v>
      </c>
      <c r="R298" t="s">
        <v>1490</v>
      </c>
      <c r="S298" s="31">
        <v>0.16900000000000001</v>
      </c>
      <c r="T298">
        <v>11</v>
      </c>
      <c r="U298">
        <v>4241.88105</v>
      </c>
      <c r="V298">
        <v>775273.97025999997</v>
      </c>
      <c r="W298">
        <v>2730.6400000000003</v>
      </c>
      <c r="X298">
        <v>1511.2410499999996</v>
      </c>
      <c r="Y298" s="31">
        <v>0.3562667203975462</v>
      </c>
      <c r="Z298">
        <v>202403</v>
      </c>
      <c r="AA298">
        <v>202301</v>
      </c>
      <c r="AB298" t="s">
        <v>1469</v>
      </c>
      <c r="AC298">
        <v>14</v>
      </c>
      <c r="AD298" t="s">
        <v>1484</v>
      </c>
      <c r="AE298">
        <v>0</v>
      </c>
      <c r="AF298">
        <v>0</v>
      </c>
    </row>
    <row r="299" spans="1:32" x14ac:dyDescent="0.25">
      <c r="A299" t="s">
        <v>303</v>
      </c>
      <c r="B299" s="4">
        <v>45097</v>
      </c>
      <c r="C299" t="s">
        <v>1458</v>
      </c>
      <c r="D299" t="s">
        <v>1480</v>
      </c>
      <c r="E299" s="4">
        <v>45115</v>
      </c>
      <c r="F299">
        <v>18</v>
      </c>
      <c r="G299" t="s">
        <v>640</v>
      </c>
      <c r="H299" t="s">
        <v>652</v>
      </c>
      <c r="I299" t="s">
        <v>689</v>
      </c>
      <c r="J299" t="s">
        <v>1528</v>
      </c>
      <c r="K299" t="s">
        <v>695</v>
      </c>
      <c r="L299" t="s">
        <v>703</v>
      </c>
      <c r="M299" t="s">
        <v>713</v>
      </c>
      <c r="N299" t="s">
        <v>724</v>
      </c>
      <c r="O299" t="s">
        <v>1022</v>
      </c>
      <c r="P299">
        <v>337</v>
      </c>
      <c r="Q299">
        <v>511.03</v>
      </c>
      <c r="R299" t="s">
        <v>1490</v>
      </c>
      <c r="S299" s="31">
        <v>0.108</v>
      </c>
      <c r="T299">
        <v>7</v>
      </c>
      <c r="U299">
        <v>3190.8713200000002</v>
      </c>
      <c r="V299">
        <v>775273.97025999997</v>
      </c>
      <c r="W299">
        <v>2359</v>
      </c>
      <c r="X299">
        <v>831.8713200000002</v>
      </c>
      <c r="Y299" s="31">
        <v>0.26070349963219458</v>
      </c>
      <c r="Z299">
        <v>202306</v>
      </c>
      <c r="AA299">
        <v>202301</v>
      </c>
      <c r="AB299" t="s">
        <v>1458</v>
      </c>
      <c r="AC299">
        <v>5</v>
      </c>
      <c r="AD299" t="s">
        <v>1484</v>
      </c>
      <c r="AE299">
        <v>0</v>
      </c>
      <c r="AF299">
        <v>0</v>
      </c>
    </row>
    <row r="300" spans="1:32" x14ac:dyDescent="0.25">
      <c r="A300" t="s">
        <v>304</v>
      </c>
      <c r="B300" s="4">
        <v>45377</v>
      </c>
      <c r="C300" t="s">
        <v>1470</v>
      </c>
      <c r="D300" t="s">
        <v>1479</v>
      </c>
      <c r="E300" s="4">
        <v>45387</v>
      </c>
      <c r="F300">
        <v>10</v>
      </c>
      <c r="G300" t="s">
        <v>640</v>
      </c>
      <c r="H300" t="s">
        <v>652</v>
      </c>
      <c r="I300" t="s">
        <v>689</v>
      </c>
      <c r="J300" t="s">
        <v>1528</v>
      </c>
      <c r="K300" t="s">
        <v>696</v>
      </c>
      <c r="L300" t="s">
        <v>703</v>
      </c>
      <c r="M300" t="s">
        <v>705</v>
      </c>
      <c r="N300" t="s">
        <v>724</v>
      </c>
      <c r="O300" t="s">
        <v>1023</v>
      </c>
      <c r="P300">
        <v>5.66</v>
      </c>
      <c r="Q300">
        <v>4.22</v>
      </c>
      <c r="R300" t="s">
        <v>1490</v>
      </c>
      <c r="S300" s="31">
        <v>0.11899999999999999</v>
      </c>
      <c r="T300">
        <v>18</v>
      </c>
      <c r="U300">
        <v>66.920760000000001</v>
      </c>
      <c r="V300">
        <v>775273.97025999997</v>
      </c>
      <c r="W300">
        <v>101.88</v>
      </c>
      <c r="X300">
        <v>-34.959239999999994</v>
      </c>
      <c r="Y300" s="31">
        <v>-0.52239753403876454</v>
      </c>
      <c r="Z300">
        <v>202403</v>
      </c>
      <c r="AA300">
        <v>202301</v>
      </c>
      <c r="AB300" t="s">
        <v>1469</v>
      </c>
      <c r="AC300">
        <v>14</v>
      </c>
      <c r="AD300" t="s">
        <v>1484</v>
      </c>
      <c r="AE300">
        <v>0</v>
      </c>
      <c r="AF300">
        <v>0</v>
      </c>
    </row>
    <row r="301" spans="1:32" x14ac:dyDescent="0.25">
      <c r="A301" t="s">
        <v>305</v>
      </c>
      <c r="B301" s="4">
        <v>45679</v>
      </c>
      <c r="C301" t="s">
        <v>1455</v>
      </c>
      <c r="D301" t="s">
        <v>1479</v>
      </c>
      <c r="E301" s="4">
        <v>45679</v>
      </c>
      <c r="F301">
        <v>0</v>
      </c>
      <c r="G301" t="s">
        <v>641</v>
      </c>
      <c r="H301" t="s">
        <v>649</v>
      </c>
      <c r="I301" t="s">
        <v>671</v>
      </c>
      <c r="J301" t="s">
        <v>1509</v>
      </c>
      <c r="K301" t="s">
        <v>697</v>
      </c>
      <c r="L301" t="s">
        <v>700</v>
      </c>
      <c r="M301" t="s">
        <v>709</v>
      </c>
      <c r="N301" t="s">
        <v>725</v>
      </c>
      <c r="O301" t="s">
        <v>1024</v>
      </c>
      <c r="P301">
        <v>591.72</v>
      </c>
      <c r="Q301">
        <v>577.24</v>
      </c>
      <c r="R301" t="s">
        <v>1496</v>
      </c>
      <c r="S301" s="31">
        <v>0</v>
      </c>
      <c r="T301">
        <v>22</v>
      </c>
      <c r="U301">
        <v>12699.28</v>
      </c>
      <c r="V301">
        <v>775273.97025999997</v>
      </c>
      <c r="W301">
        <v>13017.84</v>
      </c>
      <c r="X301">
        <v>-318.55999999999949</v>
      </c>
      <c r="Y301" s="31">
        <v>-2.5084886702238195E-2</v>
      </c>
      <c r="Z301">
        <v>202501</v>
      </c>
      <c r="AA301">
        <v>202301</v>
      </c>
      <c r="AB301" t="s">
        <v>1477</v>
      </c>
      <c r="AC301">
        <v>24</v>
      </c>
      <c r="AD301" t="s">
        <v>1483</v>
      </c>
      <c r="AE301">
        <v>1</v>
      </c>
      <c r="AF301">
        <v>0</v>
      </c>
    </row>
    <row r="302" spans="1:32" x14ac:dyDescent="0.25">
      <c r="A302" t="s">
        <v>306</v>
      </c>
      <c r="B302" s="4">
        <v>45787</v>
      </c>
      <c r="C302" t="s">
        <v>1471</v>
      </c>
      <c r="D302" t="s">
        <v>1480</v>
      </c>
      <c r="E302" s="4">
        <v>45804</v>
      </c>
      <c r="F302">
        <v>17</v>
      </c>
      <c r="G302" t="s">
        <v>640</v>
      </c>
      <c r="H302" t="s">
        <v>645</v>
      </c>
      <c r="I302" t="s">
        <v>680</v>
      </c>
      <c r="J302" t="s">
        <v>1518</v>
      </c>
      <c r="K302" t="s">
        <v>694</v>
      </c>
      <c r="L302" t="s">
        <v>703</v>
      </c>
      <c r="M302" t="s">
        <v>704</v>
      </c>
      <c r="N302" t="s">
        <v>719</v>
      </c>
      <c r="O302" t="s">
        <v>1025</v>
      </c>
      <c r="P302">
        <v>862.89</v>
      </c>
      <c r="Q302">
        <v>1426.03</v>
      </c>
      <c r="R302" t="s">
        <v>1496</v>
      </c>
      <c r="S302" s="31">
        <v>5.6000000000000001E-2</v>
      </c>
      <c r="T302">
        <v>19</v>
      </c>
      <c r="U302">
        <v>25577.274079999999</v>
      </c>
      <c r="V302">
        <v>775273.97025999997</v>
      </c>
      <c r="W302">
        <v>16394.91</v>
      </c>
      <c r="X302">
        <v>9182.3640799999994</v>
      </c>
      <c r="Y302" s="31">
        <v>0.35900479665188778</v>
      </c>
      <c r="Z302">
        <v>202505</v>
      </c>
      <c r="AA302">
        <v>202301</v>
      </c>
      <c r="AB302" t="s">
        <v>1462</v>
      </c>
      <c r="AC302">
        <v>28</v>
      </c>
      <c r="AD302" t="s">
        <v>1484</v>
      </c>
      <c r="AE302">
        <v>0</v>
      </c>
      <c r="AF302">
        <v>0</v>
      </c>
    </row>
    <row r="303" spans="1:32" x14ac:dyDescent="0.25">
      <c r="A303" t="s">
        <v>307</v>
      </c>
      <c r="B303" s="4">
        <v>45204</v>
      </c>
      <c r="C303" t="s">
        <v>1476</v>
      </c>
      <c r="D303" t="s">
        <v>1482</v>
      </c>
      <c r="E303" s="4">
        <v>45230</v>
      </c>
      <c r="F303">
        <v>26</v>
      </c>
      <c r="G303" t="s">
        <v>639</v>
      </c>
      <c r="H303" t="s">
        <v>651</v>
      </c>
      <c r="I303" t="s">
        <v>677</v>
      </c>
      <c r="J303" t="s">
        <v>1515</v>
      </c>
      <c r="K303" t="s">
        <v>696</v>
      </c>
      <c r="L303" t="s">
        <v>1413</v>
      </c>
      <c r="M303" t="s">
        <v>705</v>
      </c>
      <c r="N303" t="s">
        <v>720</v>
      </c>
      <c r="O303" t="s">
        <v>1026</v>
      </c>
      <c r="P303">
        <v>649.91</v>
      </c>
      <c r="Q303">
        <v>1360.12</v>
      </c>
      <c r="R303" t="s">
        <v>1496</v>
      </c>
      <c r="S303" s="31">
        <v>0.19400000000000001</v>
      </c>
      <c r="T303">
        <v>9</v>
      </c>
      <c r="U303">
        <v>9866.3104799999983</v>
      </c>
      <c r="V303">
        <v>749696.69617999985</v>
      </c>
      <c r="W303">
        <v>5849.19</v>
      </c>
      <c r="X303">
        <v>4017.1204799999987</v>
      </c>
      <c r="Y303" s="31">
        <v>0.40715528749506769</v>
      </c>
      <c r="Z303">
        <v>202310</v>
      </c>
      <c r="AA303">
        <v>202301</v>
      </c>
      <c r="AB303" t="s">
        <v>1476</v>
      </c>
      <c r="AC303">
        <v>9</v>
      </c>
      <c r="AD303" t="s">
        <v>1484</v>
      </c>
      <c r="AE303">
        <v>0</v>
      </c>
      <c r="AF303">
        <v>0</v>
      </c>
    </row>
    <row r="304" spans="1:32" x14ac:dyDescent="0.25">
      <c r="A304" t="s">
        <v>308</v>
      </c>
      <c r="B304" s="4">
        <v>45125</v>
      </c>
      <c r="C304" t="s">
        <v>1468</v>
      </c>
      <c r="D304" t="s">
        <v>1481</v>
      </c>
      <c r="E304" s="4">
        <v>45129</v>
      </c>
      <c r="F304">
        <v>4</v>
      </c>
      <c r="G304" t="s">
        <v>640</v>
      </c>
      <c r="H304" t="s">
        <v>647</v>
      </c>
      <c r="I304" t="s">
        <v>662</v>
      </c>
      <c r="J304" t="s">
        <v>1500</v>
      </c>
      <c r="K304" t="s">
        <v>696</v>
      </c>
      <c r="L304" t="s">
        <v>703</v>
      </c>
      <c r="M304" t="s">
        <v>713</v>
      </c>
      <c r="N304" t="s">
        <v>721</v>
      </c>
      <c r="O304" t="s">
        <v>1027</v>
      </c>
      <c r="P304">
        <v>1269.55</v>
      </c>
      <c r="Q304">
        <v>2071.1</v>
      </c>
      <c r="R304" t="s">
        <v>1492</v>
      </c>
      <c r="S304" s="31">
        <v>0.129</v>
      </c>
      <c r="T304">
        <v>22</v>
      </c>
      <c r="U304">
        <v>39686.4182</v>
      </c>
      <c r="V304">
        <v>749696.69617999985</v>
      </c>
      <c r="W304">
        <v>27930.1</v>
      </c>
      <c r="X304">
        <v>11756.318200000002</v>
      </c>
      <c r="Y304" s="31">
        <v>0.29623026549672354</v>
      </c>
      <c r="Z304">
        <v>202307</v>
      </c>
      <c r="AA304">
        <v>202301</v>
      </c>
      <c r="AB304" t="s">
        <v>1468</v>
      </c>
      <c r="AC304">
        <v>6</v>
      </c>
      <c r="AD304" t="s">
        <v>1483</v>
      </c>
      <c r="AE304">
        <v>1</v>
      </c>
      <c r="AF304">
        <v>0</v>
      </c>
    </row>
    <row r="305" spans="1:32" x14ac:dyDescent="0.25">
      <c r="A305" t="s">
        <v>309</v>
      </c>
      <c r="B305" s="4">
        <v>45830</v>
      </c>
      <c r="C305" t="s">
        <v>1460</v>
      </c>
      <c r="D305" t="s">
        <v>1480</v>
      </c>
      <c r="E305" s="4">
        <v>45846</v>
      </c>
      <c r="F305">
        <v>16</v>
      </c>
      <c r="G305" t="s">
        <v>641</v>
      </c>
      <c r="H305" t="s">
        <v>650</v>
      </c>
      <c r="I305" t="s">
        <v>675</v>
      </c>
      <c r="J305" t="s">
        <v>1513</v>
      </c>
      <c r="K305" t="s">
        <v>694</v>
      </c>
      <c r="L305" t="s">
        <v>703</v>
      </c>
      <c r="M305" t="s">
        <v>712</v>
      </c>
      <c r="N305" t="s">
        <v>722</v>
      </c>
      <c r="O305" t="s">
        <v>1028</v>
      </c>
      <c r="P305">
        <v>892.73</v>
      </c>
      <c r="Q305">
        <v>979.84</v>
      </c>
      <c r="R305" t="s">
        <v>1496</v>
      </c>
      <c r="S305" s="31">
        <v>0.17399999999999999</v>
      </c>
      <c r="T305">
        <v>10</v>
      </c>
      <c r="U305">
        <v>8093.4784</v>
      </c>
      <c r="V305">
        <v>749696.69617999985</v>
      </c>
      <c r="W305">
        <v>8927.2999999999993</v>
      </c>
      <c r="X305">
        <v>-833.82159999999931</v>
      </c>
      <c r="Y305" s="31">
        <v>-0.10302388649112838</v>
      </c>
      <c r="Z305">
        <v>202506</v>
      </c>
      <c r="AA305">
        <v>202301</v>
      </c>
      <c r="AB305" t="s">
        <v>1458</v>
      </c>
      <c r="AC305">
        <v>29</v>
      </c>
      <c r="AD305" t="s">
        <v>1484</v>
      </c>
      <c r="AE305">
        <v>0</v>
      </c>
      <c r="AF305">
        <v>0</v>
      </c>
    </row>
    <row r="306" spans="1:32" x14ac:dyDescent="0.25">
      <c r="A306" t="s">
        <v>310</v>
      </c>
      <c r="B306" s="4">
        <v>45462</v>
      </c>
      <c r="C306" t="s">
        <v>1459</v>
      </c>
      <c r="D306" t="s">
        <v>1480</v>
      </c>
      <c r="E306" s="4">
        <v>45463</v>
      </c>
      <c r="F306">
        <v>1</v>
      </c>
      <c r="G306" t="s">
        <v>638</v>
      </c>
      <c r="H306" t="s">
        <v>642</v>
      </c>
      <c r="I306" t="s">
        <v>654</v>
      </c>
      <c r="J306" t="s">
        <v>1489</v>
      </c>
      <c r="K306" t="s">
        <v>697</v>
      </c>
      <c r="L306" t="s">
        <v>703</v>
      </c>
      <c r="M306" t="s">
        <v>705</v>
      </c>
      <c r="N306" t="s">
        <v>723</v>
      </c>
      <c r="O306" t="s">
        <v>1029</v>
      </c>
      <c r="P306">
        <v>231.63</v>
      </c>
      <c r="Q306">
        <v>537.39</v>
      </c>
      <c r="R306" t="s">
        <v>1490</v>
      </c>
      <c r="S306" s="31">
        <v>0.08</v>
      </c>
      <c r="T306">
        <v>12</v>
      </c>
      <c r="U306">
        <v>5932.7856000000002</v>
      </c>
      <c r="V306">
        <v>749696.69617999985</v>
      </c>
      <c r="W306">
        <v>2779.56</v>
      </c>
      <c r="X306">
        <v>3153.2256000000002</v>
      </c>
      <c r="Y306" s="31">
        <v>0.53149158129024587</v>
      </c>
      <c r="Z306">
        <v>202406</v>
      </c>
      <c r="AA306">
        <v>202301</v>
      </c>
      <c r="AB306" t="s">
        <v>1458</v>
      </c>
      <c r="AC306">
        <v>17</v>
      </c>
      <c r="AD306" t="s">
        <v>1483</v>
      </c>
      <c r="AE306">
        <v>1</v>
      </c>
      <c r="AF306">
        <v>0</v>
      </c>
    </row>
    <row r="307" spans="1:32" x14ac:dyDescent="0.25">
      <c r="A307" t="s">
        <v>311</v>
      </c>
      <c r="B307" s="4">
        <v>45756</v>
      </c>
      <c r="C307" t="s">
        <v>1473</v>
      </c>
      <c r="D307" t="s">
        <v>1480</v>
      </c>
      <c r="E307" s="4">
        <v>45759</v>
      </c>
      <c r="F307">
        <v>3</v>
      </c>
      <c r="G307" t="s">
        <v>641</v>
      </c>
      <c r="H307" t="s">
        <v>649</v>
      </c>
      <c r="I307" t="s">
        <v>671</v>
      </c>
      <c r="J307" t="s">
        <v>1509</v>
      </c>
      <c r="K307" t="s">
        <v>697</v>
      </c>
      <c r="L307" t="s">
        <v>702</v>
      </c>
      <c r="M307" t="s">
        <v>714</v>
      </c>
      <c r="N307" t="s">
        <v>724</v>
      </c>
      <c r="O307" t="s">
        <v>1030</v>
      </c>
      <c r="P307">
        <v>86.68</v>
      </c>
      <c r="Q307">
        <v>213.32</v>
      </c>
      <c r="R307" t="s">
        <v>1490</v>
      </c>
      <c r="S307" s="31">
        <v>3.7999999999999999E-2</v>
      </c>
      <c r="T307">
        <v>8</v>
      </c>
      <c r="U307">
        <v>1641.7107199999998</v>
      </c>
      <c r="V307">
        <v>749696.69617999985</v>
      </c>
      <c r="W307">
        <v>693.44</v>
      </c>
      <c r="X307">
        <v>948.27071999999976</v>
      </c>
      <c r="Y307" s="31">
        <v>0.57761133459614611</v>
      </c>
      <c r="Z307">
        <v>202504</v>
      </c>
      <c r="AA307">
        <v>202301</v>
      </c>
      <c r="AB307" t="s">
        <v>1446</v>
      </c>
      <c r="AC307">
        <v>27</v>
      </c>
      <c r="AD307" t="s">
        <v>1483</v>
      </c>
      <c r="AE307">
        <v>1</v>
      </c>
      <c r="AF307">
        <v>0</v>
      </c>
    </row>
    <row r="308" spans="1:32" x14ac:dyDescent="0.25">
      <c r="A308" t="s">
        <v>312</v>
      </c>
      <c r="B308" s="4">
        <v>45741</v>
      </c>
      <c r="C308" t="s">
        <v>1461</v>
      </c>
      <c r="D308" t="s">
        <v>1479</v>
      </c>
      <c r="E308" s="4">
        <v>45742</v>
      </c>
      <c r="F308">
        <v>1</v>
      </c>
      <c r="G308" t="s">
        <v>638</v>
      </c>
      <c r="H308" t="s">
        <v>643</v>
      </c>
      <c r="I308" t="s">
        <v>657</v>
      </c>
      <c r="J308" t="s">
        <v>1494</v>
      </c>
      <c r="K308" t="s">
        <v>694</v>
      </c>
      <c r="L308" t="s">
        <v>702</v>
      </c>
      <c r="M308" t="s">
        <v>707</v>
      </c>
      <c r="N308" t="s">
        <v>725</v>
      </c>
      <c r="O308" t="s">
        <v>1031</v>
      </c>
      <c r="P308">
        <v>1450.43</v>
      </c>
      <c r="Q308">
        <v>1994.67</v>
      </c>
      <c r="R308" t="s">
        <v>1492</v>
      </c>
      <c r="S308" s="31">
        <v>0.1</v>
      </c>
      <c r="T308">
        <v>24</v>
      </c>
      <c r="U308">
        <v>43084.872000000003</v>
      </c>
      <c r="V308">
        <v>749696.69617999985</v>
      </c>
      <c r="W308">
        <v>34810.32</v>
      </c>
      <c r="X308">
        <v>8274.5520000000033</v>
      </c>
      <c r="Y308" s="31">
        <v>0.19205237513529116</v>
      </c>
      <c r="Z308">
        <v>202503</v>
      </c>
      <c r="AA308">
        <v>202301</v>
      </c>
      <c r="AB308" t="s">
        <v>1469</v>
      </c>
      <c r="AC308">
        <v>26</v>
      </c>
      <c r="AD308" t="s">
        <v>1483</v>
      </c>
      <c r="AE308">
        <v>1</v>
      </c>
      <c r="AF308">
        <v>0</v>
      </c>
    </row>
    <row r="309" spans="1:32" x14ac:dyDescent="0.25">
      <c r="A309" t="s">
        <v>313</v>
      </c>
      <c r="B309" s="4">
        <v>45795</v>
      </c>
      <c r="C309" t="s">
        <v>1471</v>
      </c>
      <c r="D309" t="s">
        <v>1480</v>
      </c>
      <c r="E309" s="4">
        <v>45817</v>
      </c>
      <c r="F309">
        <v>22</v>
      </c>
      <c r="G309" t="s">
        <v>640</v>
      </c>
      <c r="H309" t="s">
        <v>652</v>
      </c>
      <c r="I309" t="s">
        <v>692</v>
      </c>
      <c r="J309" t="s">
        <v>1532</v>
      </c>
      <c r="K309" t="s">
        <v>696</v>
      </c>
      <c r="L309" t="s">
        <v>699</v>
      </c>
      <c r="M309" t="s">
        <v>714</v>
      </c>
      <c r="N309" t="s">
        <v>721</v>
      </c>
      <c r="O309" t="s">
        <v>1032</v>
      </c>
      <c r="P309">
        <v>382.96</v>
      </c>
      <c r="Q309">
        <v>552.84</v>
      </c>
      <c r="R309" t="s">
        <v>1490</v>
      </c>
      <c r="S309" s="31">
        <v>0.17599999999999999</v>
      </c>
      <c r="T309">
        <v>8</v>
      </c>
      <c r="U309">
        <v>3644.3212800000006</v>
      </c>
      <c r="V309">
        <v>749696.69617999985</v>
      </c>
      <c r="W309">
        <v>3063.68</v>
      </c>
      <c r="X309">
        <v>580.64128000000073</v>
      </c>
      <c r="Y309" s="31">
        <v>0.15932768693763483</v>
      </c>
      <c r="Z309">
        <v>202505</v>
      </c>
      <c r="AA309">
        <v>202301</v>
      </c>
      <c r="AB309" t="s">
        <v>1462</v>
      </c>
      <c r="AC309">
        <v>28</v>
      </c>
      <c r="AD309" t="s">
        <v>1484</v>
      </c>
      <c r="AE309">
        <v>0</v>
      </c>
      <c r="AF309">
        <v>0</v>
      </c>
    </row>
    <row r="310" spans="1:32" x14ac:dyDescent="0.25">
      <c r="A310" t="s">
        <v>314</v>
      </c>
      <c r="B310" s="4">
        <v>45679</v>
      </c>
      <c r="C310" t="s">
        <v>1455</v>
      </c>
      <c r="D310" t="s">
        <v>1479</v>
      </c>
      <c r="E310" s="4">
        <v>45692</v>
      </c>
      <c r="F310">
        <v>13</v>
      </c>
      <c r="G310" t="s">
        <v>639</v>
      </c>
      <c r="H310" t="s">
        <v>644</v>
      </c>
      <c r="I310" t="s">
        <v>681</v>
      </c>
      <c r="J310" t="s">
        <v>1519</v>
      </c>
      <c r="K310" t="s">
        <v>697</v>
      </c>
      <c r="L310" t="s">
        <v>702</v>
      </c>
      <c r="M310" t="s">
        <v>708</v>
      </c>
      <c r="N310" t="s">
        <v>720</v>
      </c>
      <c r="O310" t="s">
        <v>1033</v>
      </c>
      <c r="P310">
        <v>122.29</v>
      </c>
      <c r="Q310">
        <v>224.95</v>
      </c>
      <c r="R310" t="s">
        <v>1490</v>
      </c>
      <c r="S310" s="31">
        <v>0.153</v>
      </c>
      <c r="T310">
        <v>28</v>
      </c>
      <c r="U310">
        <v>5334.9141999999993</v>
      </c>
      <c r="V310">
        <v>749696.69617999985</v>
      </c>
      <c r="W310">
        <v>3424.1200000000003</v>
      </c>
      <c r="X310">
        <v>1910.7941999999989</v>
      </c>
      <c r="Y310" s="31">
        <v>0.3581677471026618</v>
      </c>
      <c r="Z310">
        <v>202501</v>
      </c>
      <c r="AA310">
        <v>202303</v>
      </c>
      <c r="AB310" t="s">
        <v>1477</v>
      </c>
      <c r="AC310">
        <v>22</v>
      </c>
      <c r="AD310" t="s">
        <v>1484</v>
      </c>
      <c r="AE310">
        <v>0</v>
      </c>
      <c r="AF310">
        <v>0</v>
      </c>
    </row>
    <row r="311" spans="1:32" x14ac:dyDescent="0.25">
      <c r="A311" t="s">
        <v>315</v>
      </c>
      <c r="B311" s="4">
        <v>44936</v>
      </c>
      <c r="C311" t="s">
        <v>1477</v>
      </c>
      <c r="D311" t="s">
        <v>1479</v>
      </c>
      <c r="E311" s="4">
        <v>44955</v>
      </c>
      <c r="F311">
        <v>19</v>
      </c>
      <c r="G311" t="s">
        <v>641</v>
      </c>
      <c r="H311" t="s">
        <v>649</v>
      </c>
      <c r="I311" t="s">
        <v>671</v>
      </c>
      <c r="J311" t="s">
        <v>1509</v>
      </c>
      <c r="K311" t="s">
        <v>695</v>
      </c>
      <c r="L311" t="s">
        <v>703</v>
      </c>
      <c r="M311" t="s">
        <v>718</v>
      </c>
      <c r="N311" t="s">
        <v>723</v>
      </c>
      <c r="O311" t="s">
        <v>1034</v>
      </c>
      <c r="P311">
        <v>401.66</v>
      </c>
      <c r="Q311">
        <v>772.09</v>
      </c>
      <c r="R311" t="s">
        <v>1490</v>
      </c>
      <c r="S311" s="31">
        <v>8.8999999999999996E-2</v>
      </c>
      <c r="T311">
        <v>14</v>
      </c>
      <c r="U311">
        <v>9847.2358600000007</v>
      </c>
      <c r="V311">
        <v>749696.69617999985</v>
      </c>
      <c r="W311">
        <v>5623.2400000000007</v>
      </c>
      <c r="X311">
        <v>4223.99586</v>
      </c>
      <c r="Y311" s="31">
        <v>0.42895244107619046</v>
      </c>
      <c r="Z311">
        <v>202301</v>
      </c>
      <c r="AA311">
        <v>202301</v>
      </c>
      <c r="AB311" t="s">
        <v>1477</v>
      </c>
      <c r="AC311">
        <v>0</v>
      </c>
      <c r="AD311" t="s">
        <v>1484</v>
      </c>
      <c r="AE311">
        <v>0</v>
      </c>
      <c r="AF311">
        <v>0</v>
      </c>
    </row>
    <row r="312" spans="1:32" x14ac:dyDescent="0.25">
      <c r="A312" t="s">
        <v>316</v>
      </c>
      <c r="B312" s="4">
        <v>45655</v>
      </c>
      <c r="C312" t="s">
        <v>1478</v>
      </c>
      <c r="D312" t="s">
        <v>1482</v>
      </c>
      <c r="E312" s="4">
        <v>45669</v>
      </c>
      <c r="F312">
        <v>14</v>
      </c>
      <c r="G312" t="s">
        <v>641</v>
      </c>
      <c r="H312" t="s">
        <v>650</v>
      </c>
      <c r="I312" t="s">
        <v>685</v>
      </c>
      <c r="J312" t="s">
        <v>1523</v>
      </c>
      <c r="K312" t="s">
        <v>693</v>
      </c>
      <c r="L312" t="s">
        <v>703</v>
      </c>
      <c r="M312" t="s">
        <v>709</v>
      </c>
      <c r="N312" t="s">
        <v>724</v>
      </c>
      <c r="O312" t="s">
        <v>1035</v>
      </c>
      <c r="P312">
        <v>1399.72</v>
      </c>
      <c r="Q312">
        <v>3149.21</v>
      </c>
      <c r="R312" t="s">
        <v>1492</v>
      </c>
      <c r="S312" s="31">
        <v>0.185</v>
      </c>
      <c r="T312">
        <v>12</v>
      </c>
      <c r="U312">
        <v>30799.273800000003</v>
      </c>
      <c r="V312">
        <v>749696.69617999985</v>
      </c>
      <c r="W312">
        <v>16796.64</v>
      </c>
      <c r="X312">
        <v>14002.633800000003</v>
      </c>
      <c r="Y312" s="31">
        <v>0.45464168703873797</v>
      </c>
      <c r="Z312">
        <v>202412</v>
      </c>
      <c r="AA312">
        <v>202301</v>
      </c>
      <c r="AB312" t="s">
        <v>1450</v>
      </c>
      <c r="AC312">
        <v>23</v>
      </c>
      <c r="AD312" t="s">
        <v>1484</v>
      </c>
      <c r="AE312">
        <v>0</v>
      </c>
      <c r="AF312">
        <v>0</v>
      </c>
    </row>
    <row r="313" spans="1:32" x14ac:dyDescent="0.25">
      <c r="A313" t="s">
        <v>317</v>
      </c>
      <c r="B313" s="4">
        <v>45435</v>
      </c>
      <c r="C313" t="s">
        <v>1463</v>
      </c>
      <c r="D313" t="s">
        <v>1480</v>
      </c>
      <c r="E313" s="4">
        <v>45449</v>
      </c>
      <c r="F313">
        <v>14</v>
      </c>
      <c r="G313" t="s">
        <v>640</v>
      </c>
      <c r="H313" t="s">
        <v>647</v>
      </c>
      <c r="I313" t="s">
        <v>684</v>
      </c>
      <c r="J313" t="s">
        <v>1522</v>
      </c>
      <c r="K313" t="s">
        <v>695</v>
      </c>
      <c r="L313" t="s">
        <v>700</v>
      </c>
      <c r="M313" t="s">
        <v>706</v>
      </c>
      <c r="N313" t="s">
        <v>721</v>
      </c>
      <c r="O313" t="s">
        <v>1036</v>
      </c>
      <c r="P313">
        <v>51.13</v>
      </c>
      <c r="Q313">
        <v>57.53</v>
      </c>
      <c r="R313" t="s">
        <v>1490</v>
      </c>
      <c r="S313" s="31">
        <v>4.4999999999999998E-2</v>
      </c>
      <c r="T313">
        <v>16</v>
      </c>
      <c r="U313">
        <v>879.05840000000001</v>
      </c>
      <c r="V313">
        <v>749696.69617999985</v>
      </c>
      <c r="W313">
        <v>818.08</v>
      </c>
      <c r="X313">
        <v>60.978399999999965</v>
      </c>
      <c r="Y313" s="31">
        <v>6.9367859973808302E-2</v>
      </c>
      <c r="Z313">
        <v>202405</v>
      </c>
      <c r="AA313">
        <v>202301</v>
      </c>
      <c r="AB313" t="s">
        <v>1462</v>
      </c>
      <c r="AC313">
        <v>16</v>
      </c>
      <c r="AD313" t="s">
        <v>1484</v>
      </c>
      <c r="AE313">
        <v>0</v>
      </c>
      <c r="AF313">
        <v>0</v>
      </c>
    </row>
    <row r="314" spans="1:32" x14ac:dyDescent="0.25">
      <c r="A314" t="s">
        <v>318</v>
      </c>
      <c r="B314" s="4">
        <v>45101</v>
      </c>
      <c r="C314" t="s">
        <v>1458</v>
      </c>
      <c r="D314" t="s">
        <v>1480</v>
      </c>
      <c r="E314" s="4">
        <v>45103</v>
      </c>
      <c r="F314">
        <v>2</v>
      </c>
      <c r="G314" t="s">
        <v>640</v>
      </c>
      <c r="H314" t="s">
        <v>645</v>
      </c>
      <c r="I314" t="s">
        <v>659</v>
      </c>
      <c r="J314" t="s">
        <v>1497</v>
      </c>
      <c r="K314" t="s">
        <v>695</v>
      </c>
      <c r="L314" t="s">
        <v>699</v>
      </c>
      <c r="M314" t="s">
        <v>716</v>
      </c>
      <c r="N314" t="s">
        <v>725</v>
      </c>
      <c r="O314" t="s">
        <v>1037</v>
      </c>
      <c r="P314">
        <v>471.42</v>
      </c>
      <c r="Q314">
        <v>824.81</v>
      </c>
      <c r="R314" t="s">
        <v>1490</v>
      </c>
      <c r="S314" s="31">
        <v>8.7999999999999995E-2</v>
      </c>
      <c r="T314">
        <v>15</v>
      </c>
      <c r="U314">
        <v>11283.400799999999</v>
      </c>
      <c r="V314">
        <v>749696.69617999985</v>
      </c>
      <c r="W314">
        <v>7071.3</v>
      </c>
      <c r="X314">
        <v>4212.1007999999993</v>
      </c>
      <c r="Y314" s="31">
        <v>0.37330064531608231</v>
      </c>
      <c r="Z314">
        <v>202306</v>
      </c>
      <c r="AA314">
        <v>202301</v>
      </c>
      <c r="AB314" t="s">
        <v>1458</v>
      </c>
      <c r="AC314">
        <v>5</v>
      </c>
      <c r="AD314" t="s">
        <v>1483</v>
      </c>
      <c r="AE314">
        <v>1</v>
      </c>
      <c r="AF314">
        <v>0</v>
      </c>
    </row>
    <row r="315" spans="1:32" x14ac:dyDescent="0.25">
      <c r="A315" t="s">
        <v>319</v>
      </c>
      <c r="B315" s="4">
        <v>45600</v>
      </c>
      <c r="C315" t="s">
        <v>1472</v>
      </c>
      <c r="D315" t="s">
        <v>1482</v>
      </c>
      <c r="E315" s="4">
        <v>45601</v>
      </c>
      <c r="F315">
        <v>1</v>
      </c>
      <c r="G315" t="s">
        <v>641</v>
      </c>
      <c r="H315" t="s">
        <v>650</v>
      </c>
      <c r="I315" t="s">
        <v>675</v>
      </c>
      <c r="J315" t="s">
        <v>1513</v>
      </c>
      <c r="K315" t="s">
        <v>693</v>
      </c>
      <c r="L315" t="s">
        <v>699</v>
      </c>
      <c r="M315" t="s">
        <v>716</v>
      </c>
      <c r="N315" t="s">
        <v>720</v>
      </c>
      <c r="O315" t="s">
        <v>1038</v>
      </c>
      <c r="P315">
        <v>840.68</v>
      </c>
      <c r="Q315">
        <v>1493.53</v>
      </c>
      <c r="R315" t="s">
        <v>1496</v>
      </c>
      <c r="S315" s="31">
        <v>0</v>
      </c>
      <c r="T315">
        <v>27</v>
      </c>
      <c r="U315">
        <v>40325.31</v>
      </c>
      <c r="V315">
        <v>749696.69617999985</v>
      </c>
      <c r="W315">
        <v>22698.359999999997</v>
      </c>
      <c r="X315">
        <v>17626.95</v>
      </c>
      <c r="Y315" s="31">
        <v>0.43711877230454027</v>
      </c>
      <c r="Z315">
        <v>202411</v>
      </c>
      <c r="AA315">
        <v>202301</v>
      </c>
      <c r="AB315" t="s">
        <v>1475</v>
      </c>
      <c r="AC315">
        <v>22</v>
      </c>
      <c r="AD315" t="s">
        <v>1483</v>
      </c>
      <c r="AE315">
        <v>1</v>
      </c>
      <c r="AF315">
        <v>0</v>
      </c>
    </row>
    <row r="316" spans="1:32" x14ac:dyDescent="0.25">
      <c r="A316" t="s">
        <v>320</v>
      </c>
      <c r="B316" s="4">
        <v>45451</v>
      </c>
      <c r="C316" t="s">
        <v>1459</v>
      </c>
      <c r="D316" t="s">
        <v>1480</v>
      </c>
      <c r="E316" s="4">
        <v>45467</v>
      </c>
      <c r="F316">
        <v>16</v>
      </c>
      <c r="G316" t="s">
        <v>638</v>
      </c>
      <c r="H316" t="s">
        <v>653</v>
      </c>
      <c r="I316" t="s">
        <v>679</v>
      </c>
      <c r="J316" t="s">
        <v>1517</v>
      </c>
      <c r="K316" t="s">
        <v>694</v>
      </c>
      <c r="L316" t="s">
        <v>702</v>
      </c>
      <c r="M316" t="s">
        <v>714</v>
      </c>
      <c r="N316" t="s">
        <v>724</v>
      </c>
      <c r="O316" t="s">
        <v>1039</v>
      </c>
      <c r="P316">
        <v>597.85</v>
      </c>
      <c r="Q316">
        <v>741.92</v>
      </c>
      <c r="R316" t="s">
        <v>1496</v>
      </c>
      <c r="S316" s="31">
        <v>3.1E-2</v>
      </c>
      <c r="T316">
        <v>7</v>
      </c>
      <c r="U316">
        <v>5032.4433599999993</v>
      </c>
      <c r="V316">
        <v>749696.69617999985</v>
      </c>
      <c r="W316">
        <v>4184.95</v>
      </c>
      <c r="X316">
        <v>847.49335999999948</v>
      </c>
      <c r="Y316" s="31">
        <v>0.16840594108544515</v>
      </c>
      <c r="Z316">
        <v>202406</v>
      </c>
      <c r="AA316">
        <v>202301</v>
      </c>
      <c r="AB316" t="s">
        <v>1458</v>
      </c>
      <c r="AC316">
        <v>17</v>
      </c>
      <c r="AD316" t="s">
        <v>1484</v>
      </c>
      <c r="AE316">
        <v>0</v>
      </c>
      <c r="AF316">
        <v>0</v>
      </c>
    </row>
    <row r="317" spans="1:32" x14ac:dyDescent="0.25">
      <c r="A317" t="s">
        <v>321</v>
      </c>
      <c r="B317" s="4">
        <v>45809</v>
      </c>
      <c r="C317" t="s">
        <v>1460</v>
      </c>
      <c r="D317" t="s">
        <v>1480</v>
      </c>
      <c r="E317" s="4">
        <v>45814</v>
      </c>
      <c r="F317">
        <v>5</v>
      </c>
      <c r="G317" t="s">
        <v>641</v>
      </c>
      <c r="H317" t="s">
        <v>649</v>
      </c>
      <c r="I317" t="s">
        <v>682</v>
      </c>
      <c r="J317" t="s">
        <v>1520</v>
      </c>
      <c r="K317" t="s">
        <v>696</v>
      </c>
      <c r="L317" t="s">
        <v>702</v>
      </c>
      <c r="M317" t="s">
        <v>707</v>
      </c>
      <c r="N317" t="s">
        <v>719</v>
      </c>
      <c r="O317" t="s">
        <v>1040</v>
      </c>
      <c r="P317">
        <v>379.45</v>
      </c>
      <c r="Q317">
        <v>742.23</v>
      </c>
      <c r="R317" t="s">
        <v>1490</v>
      </c>
      <c r="S317" s="31">
        <v>0.09</v>
      </c>
      <c r="T317">
        <v>13</v>
      </c>
      <c r="U317">
        <v>8780.5809000000008</v>
      </c>
      <c r="V317">
        <v>749696.69617999985</v>
      </c>
      <c r="W317">
        <v>4932.8499999999995</v>
      </c>
      <c r="X317">
        <v>3847.7309000000014</v>
      </c>
      <c r="Y317" s="31">
        <v>0.43820915083192286</v>
      </c>
      <c r="Z317">
        <v>202506</v>
      </c>
      <c r="AA317">
        <v>202301</v>
      </c>
      <c r="AB317" t="s">
        <v>1458</v>
      </c>
      <c r="AC317">
        <v>29</v>
      </c>
      <c r="AD317" t="s">
        <v>1483</v>
      </c>
      <c r="AE317">
        <v>1</v>
      </c>
      <c r="AF317">
        <v>0</v>
      </c>
    </row>
    <row r="318" spans="1:32" x14ac:dyDescent="0.25">
      <c r="A318" t="s">
        <v>322</v>
      </c>
      <c r="B318" s="4">
        <v>45052</v>
      </c>
      <c r="C318" t="s">
        <v>1462</v>
      </c>
      <c r="D318" t="s">
        <v>1480</v>
      </c>
      <c r="E318" s="4">
        <v>45060</v>
      </c>
      <c r="F318">
        <v>8</v>
      </c>
      <c r="G318" t="s">
        <v>639</v>
      </c>
      <c r="H318" t="s">
        <v>644</v>
      </c>
      <c r="I318" t="s">
        <v>658</v>
      </c>
      <c r="J318" t="s">
        <v>1495</v>
      </c>
      <c r="K318" t="s">
        <v>698</v>
      </c>
      <c r="L318" t="s">
        <v>701</v>
      </c>
      <c r="M318" t="s">
        <v>709</v>
      </c>
      <c r="N318" t="s">
        <v>722</v>
      </c>
      <c r="O318" t="s">
        <v>1041</v>
      </c>
      <c r="P318">
        <v>291.18</v>
      </c>
      <c r="Q318">
        <v>479.54</v>
      </c>
      <c r="R318" t="s">
        <v>1490</v>
      </c>
      <c r="S318" s="31">
        <v>0.14099999999999999</v>
      </c>
      <c r="T318">
        <v>22</v>
      </c>
      <c r="U318">
        <v>9062.34692</v>
      </c>
      <c r="V318">
        <v>740916.11527999991</v>
      </c>
      <c r="W318">
        <v>6405.96</v>
      </c>
      <c r="X318">
        <v>2656.3869199999999</v>
      </c>
      <c r="Y318" s="31">
        <v>0.29312350801066001</v>
      </c>
      <c r="Z318">
        <v>202305</v>
      </c>
      <c r="AA318">
        <v>202303</v>
      </c>
      <c r="AB318" t="s">
        <v>1462</v>
      </c>
      <c r="AC318">
        <v>2</v>
      </c>
      <c r="AD318" t="s">
        <v>1484</v>
      </c>
      <c r="AE318">
        <v>0</v>
      </c>
      <c r="AF318">
        <v>0</v>
      </c>
    </row>
    <row r="319" spans="1:32" x14ac:dyDescent="0.25">
      <c r="A319" t="s">
        <v>323</v>
      </c>
      <c r="B319" s="4">
        <v>45244</v>
      </c>
      <c r="C319" t="s">
        <v>1475</v>
      </c>
      <c r="D319" t="s">
        <v>1482</v>
      </c>
      <c r="E319" s="4">
        <v>45260</v>
      </c>
      <c r="F319">
        <v>16</v>
      </c>
      <c r="G319" t="s">
        <v>640</v>
      </c>
      <c r="H319" t="s">
        <v>647</v>
      </c>
      <c r="I319" t="s">
        <v>662</v>
      </c>
      <c r="J319" t="s">
        <v>1500</v>
      </c>
      <c r="K319" t="s">
        <v>698</v>
      </c>
      <c r="L319" t="s">
        <v>703</v>
      </c>
      <c r="M319" t="s">
        <v>715</v>
      </c>
      <c r="N319" t="s">
        <v>721</v>
      </c>
      <c r="O319" t="s">
        <v>1042</v>
      </c>
      <c r="P319">
        <v>1017.92</v>
      </c>
      <c r="Q319">
        <v>1175.25</v>
      </c>
      <c r="R319" t="s">
        <v>1492</v>
      </c>
      <c r="S319" s="31">
        <v>7.4999999999999997E-2</v>
      </c>
      <c r="T319">
        <v>15</v>
      </c>
      <c r="U319">
        <v>16306.59375</v>
      </c>
      <c r="V319">
        <v>740916.11527999991</v>
      </c>
      <c r="W319">
        <v>15268.8</v>
      </c>
      <c r="X319">
        <v>1037.7937500000007</v>
      </c>
      <c r="Y319" s="31">
        <v>6.3642583234159542E-2</v>
      </c>
      <c r="Z319">
        <v>202311</v>
      </c>
      <c r="AA319">
        <v>202301</v>
      </c>
      <c r="AB319" t="s">
        <v>1475</v>
      </c>
      <c r="AC319">
        <v>10</v>
      </c>
      <c r="AD319" t="s">
        <v>1484</v>
      </c>
      <c r="AE319">
        <v>0</v>
      </c>
      <c r="AF319">
        <v>0</v>
      </c>
    </row>
    <row r="320" spans="1:32" x14ac:dyDescent="0.25">
      <c r="A320" t="s">
        <v>324</v>
      </c>
      <c r="B320" s="4">
        <v>45748</v>
      </c>
      <c r="C320" t="s">
        <v>1473</v>
      </c>
      <c r="D320" t="s">
        <v>1480</v>
      </c>
      <c r="E320" s="4">
        <v>45774</v>
      </c>
      <c r="F320">
        <v>26</v>
      </c>
      <c r="G320" t="s">
        <v>640</v>
      </c>
      <c r="H320" t="s">
        <v>652</v>
      </c>
      <c r="I320" t="s">
        <v>678</v>
      </c>
      <c r="J320" t="s">
        <v>1516</v>
      </c>
      <c r="K320" t="s">
        <v>693</v>
      </c>
      <c r="L320" t="s">
        <v>703</v>
      </c>
      <c r="M320" t="s">
        <v>706</v>
      </c>
      <c r="N320" t="s">
        <v>724</v>
      </c>
      <c r="O320" t="s">
        <v>1043</v>
      </c>
      <c r="P320">
        <v>156.55000000000001</v>
      </c>
      <c r="Q320">
        <v>227.45</v>
      </c>
      <c r="R320" t="s">
        <v>1490</v>
      </c>
      <c r="S320" s="31">
        <v>1.4E-2</v>
      </c>
      <c r="T320">
        <v>13</v>
      </c>
      <c r="U320">
        <v>2915.4540999999999</v>
      </c>
      <c r="V320">
        <v>740916.11527999991</v>
      </c>
      <c r="W320">
        <v>2035.15</v>
      </c>
      <c r="X320">
        <v>880.30409999999983</v>
      </c>
      <c r="Y320" s="31">
        <v>0.3019440779396938</v>
      </c>
      <c r="Z320">
        <v>202504</v>
      </c>
      <c r="AA320">
        <v>202301</v>
      </c>
      <c r="AB320" t="s">
        <v>1446</v>
      </c>
      <c r="AC320">
        <v>27</v>
      </c>
      <c r="AD320" t="s">
        <v>1484</v>
      </c>
      <c r="AE320">
        <v>0</v>
      </c>
      <c r="AF320">
        <v>0</v>
      </c>
    </row>
    <row r="321" spans="1:32" x14ac:dyDescent="0.25">
      <c r="A321" t="s">
        <v>325</v>
      </c>
      <c r="B321" s="4">
        <v>45008</v>
      </c>
      <c r="C321" t="s">
        <v>1469</v>
      </c>
      <c r="D321" t="s">
        <v>1479</v>
      </c>
      <c r="E321" s="4">
        <v>45031</v>
      </c>
      <c r="F321">
        <v>23</v>
      </c>
      <c r="G321" t="s">
        <v>638</v>
      </c>
      <c r="H321" t="s">
        <v>642</v>
      </c>
      <c r="I321" t="s">
        <v>667</v>
      </c>
      <c r="J321" t="s">
        <v>1505</v>
      </c>
      <c r="K321" t="s">
        <v>697</v>
      </c>
      <c r="L321" t="s">
        <v>699</v>
      </c>
      <c r="M321" t="s">
        <v>704</v>
      </c>
      <c r="N321" t="s">
        <v>725</v>
      </c>
      <c r="O321" t="s">
        <v>1044</v>
      </c>
      <c r="P321">
        <v>875.36</v>
      </c>
      <c r="Q321">
        <v>1178.6199999999999</v>
      </c>
      <c r="R321" t="s">
        <v>1496</v>
      </c>
      <c r="S321" s="31">
        <v>0.151</v>
      </c>
      <c r="T321">
        <v>53</v>
      </c>
      <c r="U321">
        <v>53034.364139999991</v>
      </c>
      <c r="V321">
        <v>740916.11527999991</v>
      </c>
      <c r="W321">
        <v>46394.080000000002</v>
      </c>
      <c r="X321">
        <v>6640.2841399999888</v>
      </c>
      <c r="Y321" s="31">
        <v>0.12520719815685888</v>
      </c>
      <c r="Z321">
        <v>202303</v>
      </c>
      <c r="AA321">
        <v>202301</v>
      </c>
      <c r="AB321" t="s">
        <v>1469</v>
      </c>
      <c r="AC321">
        <v>2</v>
      </c>
      <c r="AD321" t="s">
        <v>1484</v>
      </c>
      <c r="AE321">
        <v>0</v>
      </c>
      <c r="AF321">
        <v>0</v>
      </c>
    </row>
    <row r="322" spans="1:32" x14ac:dyDescent="0.25">
      <c r="A322" t="s">
        <v>326</v>
      </c>
      <c r="B322" s="4">
        <v>45440</v>
      </c>
      <c r="C322" t="s">
        <v>1463</v>
      </c>
      <c r="D322" t="s">
        <v>1480</v>
      </c>
      <c r="E322" s="4">
        <v>45461</v>
      </c>
      <c r="F322">
        <v>21</v>
      </c>
      <c r="G322" t="s">
        <v>641</v>
      </c>
      <c r="H322" t="s">
        <v>648</v>
      </c>
      <c r="I322" t="s">
        <v>690</v>
      </c>
      <c r="J322" t="s">
        <v>1529</v>
      </c>
      <c r="K322" t="s">
        <v>697</v>
      </c>
      <c r="L322" t="s">
        <v>700</v>
      </c>
      <c r="M322" t="s">
        <v>710</v>
      </c>
      <c r="N322" t="s">
        <v>722</v>
      </c>
      <c r="O322" t="s">
        <v>1045</v>
      </c>
      <c r="P322">
        <v>986.85</v>
      </c>
      <c r="Q322">
        <v>2422.1</v>
      </c>
      <c r="R322" t="s">
        <v>1496</v>
      </c>
      <c r="S322" s="31">
        <v>7.5999999999999998E-2</v>
      </c>
      <c r="T322">
        <v>10</v>
      </c>
      <c r="U322">
        <v>22380.204000000002</v>
      </c>
      <c r="V322">
        <v>740916.11527999991</v>
      </c>
      <c r="W322">
        <v>9868.5</v>
      </c>
      <c r="X322">
        <v>12511.704000000002</v>
      </c>
      <c r="Y322" s="31">
        <v>0.55905227673527913</v>
      </c>
      <c r="Z322">
        <v>202405</v>
      </c>
      <c r="AA322">
        <v>202301</v>
      </c>
      <c r="AB322" t="s">
        <v>1462</v>
      </c>
      <c r="AC322">
        <v>16</v>
      </c>
      <c r="AD322" t="s">
        <v>1484</v>
      </c>
      <c r="AE322">
        <v>0</v>
      </c>
      <c r="AF322">
        <v>0</v>
      </c>
    </row>
    <row r="323" spans="1:32" x14ac:dyDescent="0.25">
      <c r="A323" t="s">
        <v>327</v>
      </c>
      <c r="B323" s="4">
        <v>45293</v>
      </c>
      <c r="C323" t="s">
        <v>1454</v>
      </c>
      <c r="D323" t="s">
        <v>1479</v>
      </c>
      <c r="E323" s="4">
        <v>45294</v>
      </c>
      <c r="F323">
        <v>1</v>
      </c>
      <c r="G323" t="s">
        <v>640</v>
      </c>
      <c r="H323" t="s">
        <v>652</v>
      </c>
      <c r="I323" t="s">
        <v>669</v>
      </c>
      <c r="J323" t="s">
        <v>1507</v>
      </c>
      <c r="K323" t="s">
        <v>694</v>
      </c>
      <c r="L323" t="s">
        <v>701</v>
      </c>
      <c r="M323" t="s">
        <v>709</v>
      </c>
      <c r="N323" t="s">
        <v>721</v>
      </c>
      <c r="O323" t="s">
        <v>1046</v>
      </c>
      <c r="P323">
        <v>404.77</v>
      </c>
      <c r="Q323">
        <v>433.88</v>
      </c>
      <c r="R323" t="s">
        <v>1490</v>
      </c>
      <c r="S323" s="31">
        <v>0.215</v>
      </c>
      <c r="T323">
        <v>22</v>
      </c>
      <c r="U323">
        <v>7493.1076000000012</v>
      </c>
      <c r="V323">
        <v>740916.11527999991</v>
      </c>
      <c r="W323">
        <v>8904.9399999999987</v>
      </c>
      <c r="X323">
        <v>-1411.8323999999975</v>
      </c>
      <c r="Y323" s="31">
        <v>-0.18841747314558746</v>
      </c>
      <c r="Z323">
        <v>202401</v>
      </c>
      <c r="AA323">
        <v>202301</v>
      </c>
      <c r="AB323" t="s">
        <v>1477</v>
      </c>
      <c r="AC323">
        <v>12</v>
      </c>
      <c r="AD323" t="s">
        <v>1483</v>
      </c>
      <c r="AE323">
        <v>1</v>
      </c>
      <c r="AF323">
        <v>1</v>
      </c>
    </row>
    <row r="324" spans="1:32" x14ac:dyDescent="0.25">
      <c r="A324" t="s">
        <v>328</v>
      </c>
      <c r="B324" s="4">
        <v>44985</v>
      </c>
      <c r="C324" t="s">
        <v>1451</v>
      </c>
      <c r="D324" t="s">
        <v>1479</v>
      </c>
      <c r="E324" s="4">
        <v>44986</v>
      </c>
      <c r="F324">
        <v>1</v>
      </c>
      <c r="G324" t="s">
        <v>641</v>
      </c>
      <c r="H324" t="s">
        <v>649</v>
      </c>
      <c r="I324" t="s">
        <v>665</v>
      </c>
      <c r="J324" t="s">
        <v>1503</v>
      </c>
      <c r="K324" t="s">
        <v>693</v>
      </c>
      <c r="L324" t="s">
        <v>699</v>
      </c>
      <c r="M324" t="s">
        <v>715</v>
      </c>
      <c r="N324" t="s">
        <v>721</v>
      </c>
      <c r="O324" t="s">
        <v>1047</v>
      </c>
      <c r="P324">
        <v>1299.81</v>
      </c>
      <c r="Q324">
        <v>3149.13</v>
      </c>
      <c r="R324" t="s">
        <v>1492</v>
      </c>
      <c r="S324" s="31">
        <v>0.10299999999999999</v>
      </c>
      <c r="T324">
        <v>14</v>
      </c>
      <c r="U324">
        <v>39546.774539999999</v>
      </c>
      <c r="V324">
        <v>740916.11527999991</v>
      </c>
      <c r="W324">
        <v>18197.34</v>
      </c>
      <c r="X324">
        <v>21349.434539999998</v>
      </c>
      <c r="Y324" s="31">
        <v>0.53985273864511729</v>
      </c>
      <c r="Z324">
        <v>202302</v>
      </c>
      <c r="AA324">
        <v>202301</v>
      </c>
      <c r="AB324" t="s">
        <v>1451</v>
      </c>
      <c r="AC324">
        <v>1</v>
      </c>
      <c r="AD324" t="s">
        <v>1483</v>
      </c>
      <c r="AE324">
        <v>1</v>
      </c>
      <c r="AF324">
        <v>0</v>
      </c>
    </row>
    <row r="325" spans="1:32" x14ac:dyDescent="0.25">
      <c r="A325" t="s">
        <v>329</v>
      </c>
      <c r="B325" s="4">
        <v>45340</v>
      </c>
      <c r="C325" t="s">
        <v>1452</v>
      </c>
      <c r="D325" t="s">
        <v>1479</v>
      </c>
      <c r="E325" s="4">
        <v>45362</v>
      </c>
      <c r="F325">
        <v>22</v>
      </c>
      <c r="G325" t="s">
        <v>640</v>
      </c>
      <c r="H325" t="s">
        <v>647</v>
      </c>
      <c r="I325" t="s">
        <v>662</v>
      </c>
      <c r="J325" t="s">
        <v>1500</v>
      </c>
      <c r="K325" t="s">
        <v>696</v>
      </c>
      <c r="L325" t="s">
        <v>700</v>
      </c>
      <c r="M325" t="s">
        <v>712</v>
      </c>
      <c r="N325" t="s">
        <v>719</v>
      </c>
      <c r="O325" t="s">
        <v>1048</v>
      </c>
      <c r="P325">
        <v>80.48</v>
      </c>
      <c r="Q325">
        <v>65.650000000000006</v>
      </c>
      <c r="R325" t="s">
        <v>1490</v>
      </c>
      <c r="S325" s="31">
        <v>0.17599999999999999</v>
      </c>
      <c r="T325">
        <v>13</v>
      </c>
      <c r="U325">
        <v>703.2428000000001</v>
      </c>
      <c r="V325">
        <v>740916.11527999991</v>
      </c>
      <c r="W325">
        <v>1046.24</v>
      </c>
      <c r="X325">
        <v>-342.99719999999991</v>
      </c>
      <c r="Y325" s="31">
        <v>-0.48773652570634191</v>
      </c>
      <c r="Z325">
        <v>202402</v>
      </c>
      <c r="AA325">
        <v>202301</v>
      </c>
      <c r="AB325" t="s">
        <v>1451</v>
      </c>
      <c r="AC325">
        <v>13</v>
      </c>
      <c r="AD325" t="s">
        <v>1484</v>
      </c>
      <c r="AE325">
        <v>0</v>
      </c>
      <c r="AF325">
        <v>0</v>
      </c>
    </row>
    <row r="326" spans="1:32" x14ac:dyDescent="0.25">
      <c r="A326" t="s">
        <v>330</v>
      </c>
      <c r="B326" s="4">
        <v>45544</v>
      </c>
      <c r="C326" t="s">
        <v>1466</v>
      </c>
      <c r="D326" t="s">
        <v>1481</v>
      </c>
      <c r="E326" s="4">
        <v>45573</v>
      </c>
      <c r="F326">
        <v>29</v>
      </c>
      <c r="G326" t="s">
        <v>640</v>
      </c>
      <c r="H326" t="s">
        <v>647</v>
      </c>
      <c r="I326" t="s">
        <v>662</v>
      </c>
      <c r="J326" t="s">
        <v>1500</v>
      </c>
      <c r="K326" t="s">
        <v>694</v>
      </c>
      <c r="L326" t="s">
        <v>703</v>
      </c>
      <c r="M326" t="s">
        <v>705</v>
      </c>
      <c r="N326" t="s">
        <v>719</v>
      </c>
      <c r="O326" t="s">
        <v>1049</v>
      </c>
      <c r="P326">
        <v>1010.33</v>
      </c>
      <c r="Q326">
        <v>2492.14</v>
      </c>
      <c r="R326" t="s">
        <v>1492</v>
      </c>
      <c r="S326" s="31">
        <v>5.0999999999999997E-2</v>
      </c>
      <c r="T326">
        <v>11</v>
      </c>
      <c r="U326">
        <v>26015.449459999996</v>
      </c>
      <c r="V326">
        <v>740212.8724799999</v>
      </c>
      <c r="W326">
        <v>11113.630000000001</v>
      </c>
      <c r="X326">
        <v>14901.819459999995</v>
      </c>
      <c r="Y326" s="31">
        <v>0.57280653493656752</v>
      </c>
      <c r="Z326">
        <v>202409</v>
      </c>
      <c r="AA326">
        <v>202301</v>
      </c>
      <c r="AB326" t="s">
        <v>1465</v>
      </c>
      <c r="AC326">
        <v>20</v>
      </c>
      <c r="AD326" t="s">
        <v>1484</v>
      </c>
      <c r="AE326">
        <v>0</v>
      </c>
      <c r="AF326">
        <v>0</v>
      </c>
    </row>
    <row r="327" spans="1:32" x14ac:dyDescent="0.25">
      <c r="A327" t="s">
        <v>331</v>
      </c>
      <c r="B327" s="4">
        <v>45053</v>
      </c>
      <c r="C327" t="s">
        <v>1462</v>
      </c>
      <c r="D327" t="s">
        <v>1480</v>
      </c>
      <c r="E327" s="4">
        <v>45075</v>
      </c>
      <c r="F327">
        <v>22</v>
      </c>
      <c r="G327" t="s">
        <v>638</v>
      </c>
      <c r="H327" t="s">
        <v>653</v>
      </c>
      <c r="I327" t="s">
        <v>679</v>
      </c>
      <c r="J327" t="s">
        <v>1517</v>
      </c>
      <c r="K327" t="s">
        <v>694</v>
      </c>
      <c r="L327" t="s">
        <v>702</v>
      </c>
      <c r="M327" t="s">
        <v>715</v>
      </c>
      <c r="N327" t="s">
        <v>725</v>
      </c>
      <c r="O327" t="s">
        <v>1050</v>
      </c>
      <c r="P327">
        <v>653.86</v>
      </c>
      <c r="Q327">
        <v>931.84</v>
      </c>
      <c r="R327" t="s">
        <v>1496</v>
      </c>
      <c r="S327" s="31">
        <v>0.121</v>
      </c>
      <c r="T327">
        <v>12</v>
      </c>
      <c r="U327">
        <v>9829.0483199999999</v>
      </c>
      <c r="V327">
        <v>714197.42301999987</v>
      </c>
      <c r="W327">
        <v>7846.32</v>
      </c>
      <c r="X327">
        <v>1982.7283200000002</v>
      </c>
      <c r="Y327" s="31">
        <v>0.20172129136506273</v>
      </c>
      <c r="Z327">
        <v>202305</v>
      </c>
      <c r="AA327">
        <v>202301</v>
      </c>
      <c r="AB327" t="s">
        <v>1462</v>
      </c>
      <c r="AC327">
        <v>4</v>
      </c>
      <c r="AD327" t="s">
        <v>1484</v>
      </c>
      <c r="AE327">
        <v>0</v>
      </c>
      <c r="AF327">
        <v>0</v>
      </c>
    </row>
    <row r="328" spans="1:32" x14ac:dyDescent="0.25">
      <c r="A328" t="s">
        <v>332</v>
      </c>
      <c r="B328" s="4">
        <v>45303</v>
      </c>
      <c r="C328" t="s">
        <v>1454</v>
      </c>
      <c r="D328" t="s">
        <v>1479</v>
      </c>
      <c r="E328" s="4">
        <v>45320</v>
      </c>
      <c r="F328">
        <v>17</v>
      </c>
      <c r="G328" t="s">
        <v>639</v>
      </c>
      <c r="H328" t="s">
        <v>646</v>
      </c>
      <c r="I328" t="s">
        <v>688</v>
      </c>
      <c r="J328" t="s">
        <v>1526</v>
      </c>
      <c r="K328" t="s">
        <v>697</v>
      </c>
      <c r="L328" t="s">
        <v>703</v>
      </c>
      <c r="M328" t="s">
        <v>709</v>
      </c>
      <c r="N328" t="s">
        <v>719</v>
      </c>
      <c r="O328" t="s">
        <v>1051</v>
      </c>
      <c r="P328">
        <v>310.02</v>
      </c>
      <c r="Q328">
        <v>619.51</v>
      </c>
      <c r="R328" t="s">
        <v>1490</v>
      </c>
      <c r="S328" s="31">
        <v>4.2000000000000003E-2</v>
      </c>
      <c r="T328">
        <v>4</v>
      </c>
      <c r="U328">
        <v>2373.9623200000001</v>
      </c>
      <c r="V328">
        <v>714197.42301999987</v>
      </c>
      <c r="W328">
        <v>1240.08</v>
      </c>
      <c r="X328">
        <v>1133.8823200000002</v>
      </c>
      <c r="Y328" s="31">
        <v>0.47763282106347843</v>
      </c>
      <c r="Z328">
        <v>202401</v>
      </c>
      <c r="AA328">
        <v>202301</v>
      </c>
      <c r="AB328" t="s">
        <v>1477</v>
      </c>
      <c r="AC328">
        <v>12</v>
      </c>
      <c r="AD328" t="s">
        <v>1484</v>
      </c>
      <c r="AE328">
        <v>0</v>
      </c>
      <c r="AF328">
        <v>0</v>
      </c>
    </row>
    <row r="329" spans="1:32" x14ac:dyDescent="0.25">
      <c r="A329" t="s">
        <v>333</v>
      </c>
      <c r="B329" s="4">
        <v>45087</v>
      </c>
      <c r="C329" t="s">
        <v>1458</v>
      </c>
      <c r="D329" t="s">
        <v>1480</v>
      </c>
      <c r="E329" s="4">
        <v>45095</v>
      </c>
      <c r="F329">
        <v>8</v>
      </c>
      <c r="G329" t="s">
        <v>638</v>
      </c>
      <c r="H329" t="s">
        <v>642</v>
      </c>
      <c r="I329" t="s">
        <v>670</v>
      </c>
      <c r="J329" t="s">
        <v>1508</v>
      </c>
      <c r="K329" t="s">
        <v>698</v>
      </c>
      <c r="L329" t="s">
        <v>703</v>
      </c>
      <c r="M329" t="s">
        <v>714</v>
      </c>
      <c r="N329" t="s">
        <v>722</v>
      </c>
      <c r="O329" t="s">
        <v>1052</v>
      </c>
      <c r="P329">
        <v>894.23</v>
      </c>
      <c r="Q329">
        <v>1421.55</v>
      </c>
      <c r="R329" t="s">
        <v>1496</v>
      </c>
      <c r="S329" s="31">
        <v>0.109</v>
      </c>
      <c r="T329">
        <v>3</v>
      </c>
      <c r="U329">
        <v>3799.8031499999997</v>
      </c>
      <c r="V329">
        <v>711823.46069999994</v>
      </c>
      <c r="W329">
        <v>2682.69</v>
      </c>
      <c r="X329">
        <v>1117.1131499999997</v>
      </c>
      <c r="Y329" s="31">
        <v>0.29399237431549574</v>
      </c>
      <c r="Z329">
        <v>202306</v>
      </c>
      <c r="AA329">
        <v>202301</v>
      </c>
      <c r="AB329" t="s">
        <v>1458</v>
      </c>
      <c r="AC329">
        <v>5</v>
      </c>
      <c r="AD329" t="s">
        <v>1484</v>
      </c>
      <c r="AE329">
        <v>0</v>
      </c>
      <c r="AF329">
        <v>0</v>
      </c>
    </row>
    <row r="330" spans="1:32" x14ac:dyDescent="0.25">
      <c r="A330" t="s">
        <v>334</v>
      </c>
      <c r="B330" s="4">
        <v>45796</v>
      </c>
      <c r="C330" t="s">
        <v>1471</v>
      </c>
      <c r="D330" t="s">
        <v>1480</v>
      </c>
      <c r="E330" s="4">
        <v>45798</v>
      </c>
      <c r="F330">
        <v>2</v>
      </c>
      <c r="G330" t="s">
        <v>640</v>
      </c>
      <c r="H330" t="s">
        <v>647</v>
      </c>
      <c r="I330" t="s">
        <v>662</v>
      </c>
      <c r="J330" t="s">
        <v>1500</v>
      </c>
      <c r="K330" t="s">
        <v>697</v>
      </c>
      <c r="L330" t="s">
        <v>702</v>
      </c>
      <c r="M330" t="s">
        <v>708</v>
      </c>
      <c r="N330" t="s">
        <v>724</v>
      </c>
      <c r="O330" t="s">
        <v>1053</v>
      </c>
      <c r="P330">
        <v>383.77</v>
      </c>
      <c r="Q330">
        <v>952.56</v>
      </c>
      <c r="R330" t="s">
        <v>1490</v>
      </c>
      <c r="S330" s="31">
        <v>0.34599999999999997</v>
      </c>
      <c r="T330">
        <v>10</v>
      </c>
      <c r="U330">
        <v>6229.7423999999992</v>
      </c>
      <c r="V330">
        <v>711823.46069999994</v>
      </c>
      <c r="W330">
        <v>3837.7</v>
      </c>
      <c r="X330">
        <v>2392.0423999999994</v>
      </c>
      <c r="Y330" s="31">
        <v>0.38397131797937578</v>
      </c>
      <c r="Z330">
        <v>202505</v>
      </c>
      <c r="AA330">
        <v>202301</v>
      </c>
      <c r="AB330" t="s">
        <v>1462</v>
      </c>
      <c r="AC330">
        <v>28</v>
      </c>
      <c r="AD330" t="s">
        <v>1483</v>
      </c>
      <c r="AE330">
        <v>1</v>
      </c>
      <c r="AF330">
        <v>1</v>
      </c>
    </row>
    <row r="331" spans="1:32" x14ac:dyDescent="0.25">
      <c r="A331" t="s">
        <v>335</v>
      </c>
      <c r="B331" s="4">
        <v>45221</v>
      </c>
      <c r="C331" t="s">
        <v>1476</v>
      </c>
      <c r="D331" t="s">
        <v>1482</v>
      </c>
      <c r="E331" s="4">
        <v>45246</v>
      </c>
      <c r="F331">
        <v>25</v>
      </c>
      <c r="G331" t="s">
        <v>640</v>
      </c>
      <c r="H331" t="s">
        <v>645</v>
      </c>
      <c r="I331" t="s">
        <v>659</v>
      </c>
      <c r="J331" t="s">
        <v>1497</v>
      </c>
      <c r="K331" t="s">
        <v>697</v>
      </c>
      <c r="L331" t="s">
        <v>701</v>
      </c>
      <c r="M331" t="s">
        <v>706</v>
      </c>
      <c r="N331" t="s">
        <v>723</v>
      </c>
      <c r="O331" t="s">
        <v>1054</v>
      </c>
      <c r="P331">
        <v>1373.31</v>
      </c>
      <c r="Q331">
        <v>3154.14</v>
      </c>
      <c r="R331" t="s">
        <v>1492</v>
      </c>
      <c r="S331" s="31">
        <v>0.2</v>
      </c>
      <c r="T331">
        <v>11</v>
      </c>
      <c r="U331">
        <v>27756.432000000001</v>
      </c>
      <c r="V331">
        <v>711823.46069999994</v>
      </c>
      <c r="W331">
        <v>15106.41</v>
      </c>
      <c r="X331">
        <v>12650.022000000001</v>
      </c>
      <c r="Y331" s="31">
        <v>0.45575101295440279</v>
      </c>
      <c r="Z331">
        <v>202310</v>
      </c>
      <c r="AA331">
        <v>202301</v>
      </c>
      <c r="AB331" t="s">
        <v>1476</v>
      </c>
      <c r="AC331">
        <v>9</v>
      </c>
      <c r="AD331" t="s">
        <v>1484</v>
      </c>
      <c r="AE331">
        <v>0</v>
      </c>
      <c r="AF331">
        <v>0</v>
      </c>
    </row>
    <row r="332" spans="1:32" x14ac:dyDescent="0.25">
      <c r="A332" t="s">
        <v>336</v>
      </c>
      <c r="B332" s="4">
        <v>45668</v>
      </c>
      <c r="C332" t="s">
        <v>1455</v>
      </c>
      <c r="D332" t="s">
        <v>1479</v>
      </c>
      <c r="E332" s="4">
        <v>45680</v>
      </c>
      <c r="F332">
        <v>12</v>
      </c>
      <c r="G332" t="s">
        <v>640</v>
      </c>
      <c r="H332" t="s">
        <v>652</v>
      </c>
      <c r="I332" t="s">
        <v>689</v>
      </c>
      <c r="J332" t="s">
        <v>1528</v>
      </c>
      <c r="K332" t="s">
        <v>696</v>
      </c>
      <c r="L332" t="s">
        <v>702</v>
      </c>
      <c r="M332" t="s">
        <v>714</v>
      </c>
      <c r="N332" t="s">
        <v>722</v>
      </c>
      <c r="O332" t="s">
        <v>1055</v>
      </c>
      <c r="P332">
        <v>100.69</v>
      </c>
      <c r="Q332">
        <v>226.14</v>
      </c>
      <c r="R332" t="s">
        <v>1490</v>
      </c>
      <c r="S332" s="31">
        <v>6.5000000000000002E-2</v>
      </c>
      <c r="T332">
        <v>12</v>
      </c>
      <c r="U332">
        <v>2537.2908000000002</v>
      </c>
      <c r="V332">
        <v>711823.46069999994</v>
      </c>
      <c r="W332">
        <v>1208.28</v>
      </c>
      <c r="X332">
        <v>1329.0108000000002</v>
      </c>
      <c r="Y332" s="31">
        <v>0.52379128162999689</v>
      </c>
      <c r="Z332">
        <v>202501</v>
      </c>
      <c r="AA332">
        <v>202301</v>
      </c>
      <c r="AB332" t="s">
        <v>1477</v>
      </c>
      <c r="AC332">
        <v>24</v>
      </c>
      <c r="AD332" t="s">
        <v>1484</v>
      </c>
      <c r="AE332">
        <v>0</v>
      </c>
      <c r="AF332">
        <v>0</v>
      </c>
    </row>
    <row r="333" spans="1:32" x14ac:dyDescent="0.25">
      <c r="A333" t="s">
        <v>337</v>
      </c>
      <c r="B333" s="4">
        <v>45914</v>
      </c>
      <c r="C333" t="s">
        <v>1467</v>
      </c>
      <c r="D333" t="s">
        <v>1481</v>
      </c>
      <c r="E333" s="4">
        <v>45926</v>
      </c>
      <c r="F333">
        <v>12</v>
      </c>
      <c r="G333" t="s">
        <v>641</v>
      </c>
      <c r="H333" t="s">
        <v>650</v>
      </c>
      <c r="I333" t="s">
        <v>675</v>
      </c>
      <c r="J333" t="s">
        <v>1513</v>
      </c>
      <c r="K333" t="s">
        <v>697</v>
      </c>
      <c r="L333" t="s">
        <v>703</v>
      </c>
      <c r="M333" t="s">
        <v>717</v>
      </c>
      <c r="N333" t="s">
        <v>721</v>
      </c>
      <c r="O333" t="s">
        <v>1056</v>
      </c>
      <c r="P333">
        <v>425.15</v>
      </c>
      <c r="Q333">
        <v>885.92</v>
      </c>
      <c r="R333" t="s">
        <v>1490</v>
      </c>
      <c r="S333" s="31">
        <v>0.23899999999999999</v>
      </c>
      <c r="T333">
        <v>13</v>
      </c>
      <c r="U333">
        <v>8764.4065599999994</v>
      </c>
      <c r="V333">
        <v>711823.46069999994</v>
      </c>
      <c r="W333">
        <v>5526.95</v>
      </c>
      <c r="X333">
        <v>3237.4565599999996</v>
      </c>
      <c r="Y333" s="31">
        <v>0.3693868532725848</v>
      </c>
      <c r="Z333">
        <v>202509</v>
      </c>
      <c r="AA333">
        <v>202301</v>
      </c>
      <c r="AB333" t="s">
        <v>1465</v>
      </c>
      <c r="AC333">
        <v>32</v>
      </c>
      <c r="AD333" t="s">
        <v>1484</v>
      </c>
      <c r="AE333">
        <v>0</v>
      </c>
      <c r="AF333">
        <v>1</v>
      </c>
    </row>
    <row r="334" spans="1:32" x14ac:dyDescent="0.25">
      <c r="A334" t="s">
        <v>338</v>
      </c>
      <c r="B334" s="4">
        <v>45168</v>
      </c>
      <c r="C334" t="s">
        <v>1448</v>
      </c>
      <c r="D334" t="s">
        <v>1481</v>
      </c>
      <c r="E334" s="4">
        <v>45172</v>
      </c>
      <c r="F334">
        <v>4</v>
      </c>
      <c r="G334" t="s">
        <v>639</v>
      </c>
      <c r="H334" t="s">
        <v>646</v>
      </c>
      <c r="I334" t="s">
        <v>672</v>
      </c>
      <c r="J334" t="s">
        <v>1510</v>
      </c>
      <c r="K334" t="s">
        <v>697</v>
      </c>
      <c r="L334" t="s">
        <v>701</v>
      </c>
      <c r="M334" t="s">
        <v>708</v>
      </c>
      <c r="N334" t="s">
        <v>725</v>
      </c>
      <c r="O334" t="s">
        <v>1057</v>
      </c>
      <c r="P334">
        <v>1082.25</v>
      </c>
      <c r="Q334">
        <v>2433.34</v>
      </c>
      <c r="R334" t="s">
        <v>1492</v>
      </c>
      <c r="S334" s="31">
        <v>0.27</v>
      </c>
      <c r="T334">
        <v>4</v>
      </c>
      <c r="U334">
        <v>7105.3528000000006</v>
      </c>
      <c r="V334">
        <v>711823.46069999994</v>
      </c>
      <c r="W334">
        <v>4329</v>
      </c>
      <c r="X334">
        <v>2776.3528000000006</v>
      </c>
      <c r="Y334" s="31">
        <v>0.3907410199251472</v>
      </c>
      <c r="Z334">
        <v>202308</v>
      </c>
      <c r="AA334">
        <v>202301</v>
      </c>
      <c r="AB334" t="s">
        <v>1448</v>
      </c>
      <c r="AC334">
        <v>7</v>
      </c>
      <c r="AD334" t="s">
        <v>1483</v>
      </c>
      <c r="AE334">
        <v>1</v>
      </c>
      <c r="AF334">
        <v>1</v>
      </c>
    </row>
    <row r="335" spans="1:32" x14ac:dyDescent="0.25">
      <c r="A335" t="s">
        <v>339</v>
      </c>
      <c r="B335" s="4">
        <v>45245</v>
      </c>
      <c r="C335" t="s">
        <v>1475</v>
      </c>
      <c r="D335" t="s">
        <v>1482</v>
      </c>
      <c r="E335" s="4">
        <v>45266</v>
      </c>
      <c r="F335">
        <v>21</v>
      </c>
      <c r="G335" t="s">
        <v>641</v>
      </c>
      <c r="H335" t="s">
        <v>650</v>
      </c>
      <c r="I335" t="s">
        <v>685</v>
      </c>
      <c r="J335" t="s">
        <v>1523</v>
      </c>
      <c r="K335" t="s">
        <v>694</v>
      </c>
      <c r="L335" t="s">
        <v>703</v>
      </c>
      <c r="M335" t="s">
        <v>714</v>
      </c>
      <c r="N335" t="s">
        <v>725</v>
      </c>
      <c r="O335" t="s">
        <v>1058</v>
      </c>
      <c r="P335">
        <v>1184.99</v>
      </c>
      <c r="Q335">
        <v>1154.3399999999999</v>
      </c>
      <c r="R335" t="s">
        <v>1492</v>
      </c>
      <c r="S335" s="31">
        <v>2.8000000000000001E-2</v>
      </c>
      <c r="T335">
        <v>5</v>
      </c>
      <c r="U335">
        <v>5610.0923999999995</v>
      </c>
      <c r="V335">
        <v>711823.46069999994</v>
      </c>
      <c r="W335">
        <v>5924.95</v>
      </c>
      <c r="X335">
        <v>-314.85760000000028</v>
      </c>
      <c r="Y335" s="31">
        <v>-5.6123424990290764E-2</v>
      </c>
      <c r="Z335">
        <v>202311</v>
      </c>
      <c r="AA335">
        <v>202301</v>
      </c>
      <c r="AB335" t="s">
        <v>1475</v>
      </c>
      <c r="AC335">
        <v>10</v>
      </c>
      <c r="AD335" t="s">
        <v>1484</v>
      </c>
      <c r="AE335">
        <v>0</v>
      </c>
      <c r="AF335">
        <v>0</v>
      </c>
    </row>
    <row r="336" spans="1:32" x14ac:dyDescent="0.25">
      <c r="A336" t="s">
        <v>340</v>
      </c>
      <c r="B336" s="4">
        <v>45774</v>
      </c>
      <c r="C336" t="s">
        <v>1473</v>
      </c>
      <c r="D336" t="s">
        <v>1480</v>
      </c>
      <c r="E336" s="4">
        <v>45804</v>
      </c>
      <c r="F336">
        <v>30</v>
      </c>
      <c r="G336" t="s">
        <v>639</v>
      </c>
      <c r="H336" t="s">
        <v>646</v>
      </c>
      <c r="I336" t="s">
        <v>1413</v>
      </c>
      <c r="J336" t="s">
        <v>1527</v>
      </c>
      <c r="K336" t="s">
        <v>698</v>
      </c>
      <c r="L336" t="s">
        <v>701</v>
      </c>
      <c r="M336" t="s">
        <v>714</v>
      </c>
      <c r="N336" t="s">
        <v>722</v>
      </c>
      <c r="O336" t="s">
        <v>1059</v>
      </c>
      <c r="P336">
        <v>481.32</v>
      </c>
      <c r="Q336">
        <v>1135.99</v>
      </c>
      <c r="R336" t="s">
        <v>1490</v>
      </c>
      <c r="S336" s="31">
        <v>0.14499999999999999</v>
      </c>
      <c r="T336">
        <v>5</v>
      </c>
      <c r="U336">
        <v>4856.35725</v>
      </c>
      <c r="V336">
        <v>711823.46069999994</v>
      </c>
      <c r="W336">
        <v>2406.6</v>
      </c>
      <c r="X336">
        <v>2449.7572500000001</v>
      </c>
      <c r="Y336" s="31">
        <v>0.50444337677175621</v>
      </c>
      <c r="Z336">
        <v>202504</v>
      </c>
      <c r="AA336">
        <v>202301</v>
      </c>
      <c r="AB336" t="s">
        <v>1446</v>
      </c>
      <c r="AC336">
        <v>27</v>
      </c>
      <c r="AD336" t="s">
        <v>1484</v>
      </c>
      <c r="AE336">
        <v>0</v>
      </c>
      <c r="AF336">
        <v>0</v>
      </c>
    </row>
    <row r="337" spans="1:32" x14ac:dyDescent="0.25">
      <c r="A337" t="s">
        <v>341</v>
      </c>
      <c r="B337" s="4">
        <v>45391</v>
      </c>
      <c r="C337" t="s">
        <v>1447</v>
      </c>
      <c r="D337" t="s">
        <v>1480</v>
      </c>
      <c r="E337" s="4">
        <v>45400</v>
      </c>
      <c r="F337">
        <v>9</v>
      </c>
      <c r="G337" t="s">
        <v>641</v>
      </c>
      <c r="H337" t="s">
        <v>649</v>
      </c>
      <c r="I337" t="s">
        <v>671</v>
      </c>
      <c r="J337" t="s">
        <v>1509</v>
      </c>
      <c r="K337" t="s">
        <v>696</v>
      </c>
      <c r="L337" t="s">
        <v>700</v>
      </c>
      <c r="M337" t="s">
        <v>710</v>
      </c>
      <c r="N337" t="s">
        <v>720</v>
      </c>
      <c r="O337" t="s">
        <v>1060</v>
      </c>
      <c r="P337">
        <v>1288.8499999999999</v>
      </c>
      <c r="Q337">
        <v>2751.84</v>
      </c>
      <c r="R337" t="s">
        <v>1492</v>
      </c>
      <c r="S337" s="31">
        <v>0.158</v>
      </c>
      <c r="T337">
        <v>7</v>
      </c>
      <c r="U337">
        <v>16219.34496</v>
      </c>
      <c r="V337">
        <v>711823.46069999994</v>
      </c>
      <c r="W337">
        <v>9021.9499999999989</v>
      </c>
      <c r="X337">
        <v>7197.3949600000014</v>
      </c>
      <c r="Y337" s="31">
        <v>0.44375373837538756</v>
      </c>
      <c r="Z337">
        <v>202404</v>
      </c>
      <c r="AA337">
        <v>202301</v>
      </c>
      <c r="AB337" t="s">
        <v>1446</v>
      </c>
      <c r="AC337">
        <v>15</v>
      </c>
      <c r="AD337" t="s">
        <v>1484</v>
      </c>
      <c r="AE337">
        <v>0</v>
      </c>
      <c r="AF337">
        <v>0</v>
      </c>
    </row>
    <row r="338" spans="1:32" x14ac:dyDescent="0.25">
      <c r="A338" t="s">
        <v>342</v>
      </c>
      <c r="B338" s="4">
        <v>45484</v>
      </c>
      <c r="C338" t="s">
        <v>1456</v>
      </c>
      <c r="D338" t="s">
        <v>1481</v>
      </c>
      <c r="E338" s="4">
        <v>45504</v>
      </c>
      <c r="F338">
        <v>20</v>
      </c>
      <c r="G338" t="s">
        <v>639</v>
      </c>
      <c r="H338" t="s">
        <v>651</v>
      </c>
      <c r="I338" t="s">
        <v>668</v>
      </c>
      <c r="J338" t="s">
        <v>1506</v>
      </c>
      <c r="K338" t="s">
        <v>696</v>
      </c>
      <c r="L338" t="s">
        <v>700</v>
      </c>
      <c r="M338" t="s">
        <v>707</v>
      </c>
      <c r="N338" t="s">
        <v>722</v>
      </c>
      <c r="O338" t="s">
        <v>1061</v>
      </c>
      <c r="P338">
        <v>647.26</v>
      </c>
      <c r="Q338">
        <v>1374.72</v>
      </c>
      <c r="R338" t="s">
        <v>1496</v>
      </c>
      <c r="S338" s="31">
        <v>6.6000000000000003E-2</v>
      </c>
      <c r="T338">
        <v>22</v>
      </c>
      <c r="U338">
        <v>28247.74656</v>
      </c>
      <c r="V338">
        <v>711823.46069999994</v>
      </c>
      <c r="W338">
        <v>14239.72</v>
      </c>
      <c r="X338">
        <v>14008.02656</v>
      </c>
      <c r="Y338" s="31">
        <v>0.49589890401508901</v>
      </c>
      <c r="Z338">
        <v>202407</v>
      </c>
      <c r="AA338">
        <v>202301</v>
      </c>
      <c r="AB338" t="s">
        <v>1468</v>
      </c>
      <c r="AC338">
        <v>18</v>
      </c>
      <c r="AD338" t="s">
        <v>1484</v>
      </c>
      <c r="AE338">
        <v>0</v>
      </c>
      <c r="AF338">
        <v>0</v>
      </c>
    </row>
    <row r="339" spans="1:32" x14ac:dyDescent="0.25">
      <c r="A339" t="s">
        <v>343</v>
      </c>
      <c r="B339" s="4">
        <v>45340</v>
      </c>
      <c r="C339" t="s">
        <v>1452</v>
      </c>
      <c r="D339" t="s">
        <v>1479</v>
      </c>
      <c r="E339" s="4">
        <v>45354</v>
      </c>
      <c r="F339">
        <v>14</v>
      </c>
      <c r="G339" t="s">
        <v>640</v>
      </c>
      <c r="H339" t="s">
        <v>647</v>
      </c>
      <c r="I339" t="s">
        <v>1413</v>
      </c>
      <c r="J339" t="s">
        <v>1533</v>
      </c>
      <c r="K339" t="s">
        <v>698</v>
      </c>
      <c r="L339" t="s">
        <v>702</v>
      </c>
      <c r="M339" t="s">
        <v>712</v>
      </c>
      <c r="N339" t="s">
        <v>720</v>
      </c>
      <c r="O339" t="s">
        <v>1062</v>
      </c>
      <c r="P339">
        <v>624.23</v>
      </c>
      <c r="Q339">
        <v>1318.37</v>
      </c>
      <c r="R339" t="s">
        <v>1496</v>
      </c>
      <c r="S339" s="31">
        <v>0.21</v>
      </c>
      <c r="T339">
        <v>37</v>
      </c>
      <c r="U339">
        <v>38535.955099999999</v>
      </c>
      <c r="V339">
        <v>711823.46069999994</v>
      </c>
      <c r="W339">
        <v>23096.510000000002</v>
      </c>
      <c r="X339">
        <v>15439.445099999997</v>
      </c>
      <c r="Y339" s="31">
        <v>0.40065038118128793</v>
      </c>
      <c r="Z339">
        <v>202402</v>
      </c>
      <c r="AA339">
        <v>202301</v>
      </c>
      <c r="AB339" t="s">
        <v>1451</v>
      </c>
      <c r="AC339">
        <v>13</v>
      </c>
      <c r="AD339" t="s">
        <v>1484</v>
      </c>
      <c r="AE339">
        <v>0</v>
      </c>
      <c r="AF339">
        <v>1</v>
      </c>
    </row>
    <row r="340" spans="1:32" x14ac:dyDescent="0.25">
      <c r="A340" t="s">
        <v>344</v>
      </c>
      <c r="B340" s="4">
        <v>45132</v>
      </c>
      <c r="C340" t="s">
        <v>1468</v>
      </c>
      <c r="D340" t="s">
        <v>1481</v>
      </c>
      <c r="E340" s="4">
        <v>45148</v>
      </c>
      <c r="F340">
        <v>16</v>
      </c>
      <c r="G340" t="s">
        <v>638</v>
      </c>
      <c r="H340" t="s">
        <v>643</v>
      </c>
      <c r="I340" t="s">
        <v>655</v>
      </c>
      <c r="J340" t="s">
        <v>1491</v>
      </c>
      <c r="K340" t="s">
        <v>693</v>
      </c>
      <c r="L340" t="s">
        <v>702</v>
      </c>
      <c r="M340" t="s">
        <v>706</v>
      </c>
      <c r="N340" t="s">
        <v>725</v>
      </c>
      <c r="O340" t="s">
        <v>1063</v>
      </c>
      <c r="P340">
        <v>506.83</v>
      </c>
      <c r="Q340">
        <v>441.74</v>
      </c>
      <c r="R340" t="s">
        <v>1496</v>
      </c>
      <c r="S340" s="31">
        <v>0.24</v>
      </c>
      <c r="T340">
        <v>9</v>
      </c>
      <c r="U340">
        <v>3021.5016000000001</v>
      </c>
      <c r="V340">
        <v>711823.46069999994</v>
      </c>
      <c r="W340">
        <v>4561.47</v>
      </c>
      <c r="X340">
        <v>-1539.9684000000002</v>
      </c>
      <c r="Y340" s="31">
        <v>-0.50966989393618067</v>
      </c>
      <c r="Z340">
        <v>202307</v>
      </c>
      <c r="AA340">
        <v>202301</v>
      </c>
      <c r="AB340" t="s">
        <v>1468</v>
      </c>
      <c r="AC340">
        <v>6</v>
      </c>
      <c r="AD340" t="s">
        <v>1484</v>
      </c>
      <c r="AE340">
        <v>0</v>
      </c>
      <c r="AF340">
        <v>1</v>
      </c>
    </row>
    <row r="341" spans="1:32" x14ac:dyDescent="0.25">
      <c r="A341" t="s">
        <v>345</v>
      </c>
      <c r="B341" s="4">
        <v>45121</v>
      </c>
      <c r="C341" t="s">
        <v>1468</v>
      </c>
      <c r="D341" t="s">
        <v>1481</v>
      </c>
      <c r="E341" s="4">
        <v>45128</v>
      </c>
      <c r="F341">
        <v>7</v>
      </c>
      <c r="G341" t="s">
        <v>638</v>
      </c>
      <c r="H341" t="s">
        <v>653</v>
      </c>
      <c r="I341" t="s">
        <v>679</v>
      </c>
      <c r="J341" t="s">
        <v>1517</v>
      </c>
      <c r="K341" t="s">
        <v>698</v>
      </c>
      <c r="L341" t="s">
        <v>701</v>
      </c>
      <c r="M341" t="s">
        <v>1413</v>
      </c>
      <c r="N341" t="s">
        <v>724</v>
      </c>
      <c r="O341" t="s">
        <v>1064</v>
      </c>
      <c r="P341">
        <v>620.74</v>
      </c>
      <c r="Q341">
        <v>1330.07</v>
      </c>
      <c r="R341" t="s">
        <v>1496</v>
      </c>
      <c r="S341" s="31">
        <v>0.29899999999999999</v>
      </c>
      <c r="T341">
        <v>28</v>
      </c>
      <c r="U341">
        <v>26106.613960000002</v>
      </c>
      <c r="V341">
        <v>711823.46069999994</v>
      </c>
      <c r="W341">
        <v>17380.72</v>
      </c>
      <c r="X341">
        <v>8725.8939600000012</v>
      </c>
      <c r="Y341" s="31">
        <v>0.33424073965967516</v>
      </c>
      <c r="Z341">
        <v>202307</v>
      </c>
      <c r="AA341">
        <v>202301</v>
      </c>
      <c r="AB341" t="s">
        <v>1468</v>
      </c>
      <c r="AC341">
        <v>6</v>
      </c>
      <c r="AD341" t="s">
        <v>1483</v>
      </c>
      <c r="AE341">
        <v>1</v>
      </c>
      <c r="AF341">
        <v>1</v>
      </c>
    </row>
    <row r="342" spans="1:32" x14ac:dyDescent="0.25">
      <c r="A342" t="s">
        <v>346</v>
      </c>
      <c r="B342" s="4">
        <v>45131</v>
      </c>
      <c r="C342" t="s">
        <v>1468</v>
      </c>
      <c r="D342" t="s">
        <v>1481</v>
      </c>
      <c r="E342" s="4">
        <v>45157</v>
      </c>
      <c r="F342">
        <v>26</v>
      </c>
      <c r="G342" t="s">
        <v>638</v>
      </c>
      <c r="H342" t="s">
        <v>642</v>
      </c>
      <c r="I342" t="s">
        <v>656</v>
      </c>
      <c r="J342" t="s">
        <v>1493</v>
      </c>
      <c r="K342" t="s">
        <v>698</v>
      </c>
      <c r="L342" t="s">
        <v>702</v>
      </c>
      <c r="M342" t="s">
        <v>716</v>
      </c>
      <c r="N342" t="s">
        <v>725</v>
      </c>
      <c r="O342" t="s">
        <v>1065</v>
      </c>
      <c r="P342">
        <v>661.45</v>
      </c>
      <c r="Q342">
        <v>1634.86</v>
      </c>
      <c r="R342" t="s">
        <v>1496</v>
      </c>
      <c r="S342" s="31">
        <v>0.56499999999999995</v>
      </c>
      <c r="T342">
        <v>24</v>
      </c>
      <c r="U342">
        <v>17067.938400000003</v>
      </c>
      <c r="V342">
        <v>711823.46069999994</v>
      </c>
      <c r="W342">
        <v>15874.800000000001</v>
      </c>
      <c r="X342">
        <v>1193.1384000000016</v>
      </c>
      <c r="Y342" s="31">
        <v>6.9905244092045793E-2</v>
      </c>
      <c r="Z342">
        <v>202307</v>
      </c>
      <c r="AA342">
        <v>202301</v>
      </c>
      <c r="AB342" t="s">
        <v>1468</v>
      </c>
      <c r="AC342">
        <v>6</v>
      </c>
      <c r="AD342" t="s">
        <v>1484</v>
      </c>
      <c r="AE342">
        <v>0</v>
      </c>
      <c r="AF342">
        <v>1</v>
      </c>
    </row>
    <row r="343" spans="1:32" x14ac:dyDescent="0.25">
      <c r="A343" t="s">
        <v>347</v>
      </c>
      <c r="B343" s="4">
        <v>45029</v>
      </c>
      <c r="C343" t="s">
        <v>1446</v>
      </c>
      <c r="D343" t="s">
        <v>1480</v>
      </c>
      <c r="E343" s="4">
        <v>45031</v>
      </c>
      <c r="F343">
        <v>2</v>
      </c>
      <c r="G343" t="s">
        <v>640</v>
      </c>
      <c r="H343" t="s">
        <v>652</v>
      </c>
      <c r="I343" t="s">
        <v>678</v>
      </c>
      <c r="J343" t="s">
        <v>1516</v>
      </c>
      <c r="K343" t="s">
        <v>694</v>
      </c>
      <c r="L343" t="s">
        <v>701</v>
      </c>
      <c r="M343" t="s">
        <v>707</v>
      </c>
      <c r="N343" t="s">
        <v>721</v>
      </c>
      <c r="O343" t="s">
        <v>1066</v>
      </c>
      <c r="P343">
        <v>32.1</v>
      </c>
      <c r="Q343">
        <v>70.599999999999994</v>
      </c>
      <c r="R343" t="s">
        <v>1490</v>
      </c>
      <c r="S343" s="31">
        <v>0.28199999999999997</v>
      </c>
      <c r="T343">
        <v>22</v>
      </c>
      <c r="U343">
        <v>1115.1975999999997</v>
      </c>
      <c r="V343">
        <v>711823.46069999994</v>
      </c>
      <c r="W343">
        <v>706.2</v>
      </c>
      <c r="X343">
        <v>408.99759999999969</v>
      </c>
      <c r="Y343" s="31">
        <v>0.36674899587301818</v>
      </c>
      <c r="Z343">
        <v>202304</v>
      </c>
      <c r="AA343">
        <v>202301</v>
      </c>
      <c r="AB343" t="s">
        <v>1446</v>
      </c>
      <c r="AC343">
        <v>3</v>
      </c>
      <c r="AD343" t="s">
        <v>1483</v>
      </c>
      <c r="AE343">
        <v>1</v>
      </c>
      <c r="AF343">
        <v>1</v>
      </c>
    </row>
    <row r="344" spans="1:32" x14ac:dyDescent="0.25">
      <c r="A344" t="s">
        <v>348</v>
      </c>
      <c r="B344" s="4">
        <v>45594</v>
      </c>
      <c r="C344" t="s">
        <v>1464</v>
      </c>
      <c r="D344" t="s">
        <v>1482</v>
      </c>
      <c r="E344" s="4">
        <v>45600</v>
      </c>
      <c r="F344">
        <v>6</v>
      </c>
      <c r="G344" t="s">
        <v>638</v>
      </c>
      <c r="H344" t="s">
        <v>642</v>
      </c>
      <c r="I344" t="s">
        <v>656</v>
      </c>
      <c r="J344" t="s">
        <v>1493</v>
      </c>
      <c r="K344" t="s">
        <v>693</v>
      </c>
      <c r="L344" t="s">
        <v>702</v>
      </c>
      <c r="M344" t="s">
        <v>716</v>
      </c>
      <c r="N344" t="s">
        <v>720</v>
      </c>
      <c r="O344" t="s">
        <v>1067</v>
      </c>
      <c r="P344">
        <v>805.81</v>
      </c>
      <c r="Q344">
        <v>1823.04</v>
      </c>
      <c r="R344" t="s">
        <v>1496</v>
      </c>
      <c r="S344" s="31">
        <v>0</v>
      </c>
      <c r="T344">
        <v>11</v>
      </c>
      <c r="U344">
        <v>20053.439999999999</v>
      </c>
      <c r="V344">
        <v>711823.46069999994</v>
      </c>
      <c r="W344">
        <v>8863.91</v>
      </c>
      <c r="X344">
        <v>11189.529999999999</v>
      </c>
      <c r="Y344" s="31">
        <v>0.55798556257679477</v>
      </c>
      <c r="Z344">
        <v>202410</v>
      </c>
      <c r="AA344">
        <v>202301</v>
      </c>
      <c r="AB344" t="s">
        <v>1476</v>
      </c>
      <c r="AC344">
        <v>21</v>
      </c>
      <c r="AD344" t="s">
        <v>1483</v>
      </c>
      <c r="AE344">
        <v>1</v>
      </c>
      <c r="AF344">
        <v>0</v>
      </c>
    </row>
    <row r="345" spans="1:32" x14ac:dyDescent="0.25">
      <c r="A345" t="s">
        <v>349</v>
      </c>
      <c r="B345" s="4">
        <v>45339</v>
      </c>
      <c r="C345" t="s">
        <v>1452</v>
      </c>
      <c r="D345" t="s">
        <v>1479</v>
      </c>
      <c r="E345" s="4">
        <v>45355</v>
      </c>
      <c r="F345">
        <v>16</v>
      </c>
      <c r="G345" t="s">
        <v>639</v>
      </c>
      <c r="H345" t="s">
        <v>646</v>
      </c>
      <c r="I345" t="s">
        <v>672</v>
      </c>
      <c r="J345" t="s">
        <v>1510</v>
      </c>
      <c r="K345" t="s">
        <v>697</v>
      </c>
      <c r="L345" t="s">
        <v>701</v>
      </c>
      <c r="M345" t="s">
        <v>713</v>
      </c>
      <c r="N345" t="s">
        <v>722</v>
      </c>
      <c r="O345" t="s">
        <v>1068</v>
      </c>
      <c r="P345">
        <v>1231.8</v>
      </c>
      <c r="Q345">
        <v>2015.99</v>
      </c>
      <c r="R345" t="s">
        <v>1492</v>
      </c>
      <c r="S345" s="31">
        <v>0.26100000000000001</v>
      </c>
      <c r="T345">
        <v>6</v>
      </c>
      <c r="U345">
        <v>8938.8996600000009</v>
      </c>
      <c r="V345">
        <v>711823.46069999994</v>
      </c>
      <c r="W345">
        <v>7390.7999999999993</v>
      </c>
      <c r="X345">
        <v>1548.0996600000017</v>
      </c>
      <c r="Y345" s="31">
        <v>0.17318682599464391</v>
      </c>
      <c r="Z345">
        <v>202402</v>
      </c>
      <c r="AA345">
        <v>202301</v>
      </c>
      <c r="AB345" t="s">
        <v>1451</v>
      </c>
      <c r="AC345">
        <v>13</v>
      </c>
      <c r="AD345" t="s">
        <v>1484</v>
      </c>
      <c r="AE345">
        <v>0</v>
      </c>
      <c r="AF345">
        <v>1</v>
      </c>
    </row>
    <row r="346" spans="1:32" x14ac:dyDescent="0.25">
      <c r="A346" t="s">
        <v>350</v>
      </c>
      <c r="B346" s="4">
        <v>45486</v>
      </c>
      <c r="C346" t="s">
        <v>1456</v>
      </c>
      <c r="D346" t="s">
        <v>1481</v>
      </c>
      <c r="E346" s="4">
        <v>45487</v>
      </c>
      <c r="F346">
        <v>1</v>
      </c>
      <c r="G346" t="s">
        <v>639</v>
      </c>
      <c r="H346" t="s">
        <v>644</v>
      </c>
      <c r="I346" t="s">
        <v>686</v>
      </c>
      <c r="J346" t="s">
        <v>1524</v>
      </c>
      <c r="K346" t="s">
        <v>697</v>
      </c>
      <c r="L346" t="s">
        <v>701</v>
      </c>
      <c r="M346" t="s">
        <v>713</v>
      </c>
      <c r="N346" t="s">
        <v>721</v>
      </c>
      <c r="O346" t="s">
        <v>1069</v>
      </c>
      <c r="P346">
        <v>105.13</v>
      </c>
      <c r="Q346">
        <v>244.13</v>
      </c>
      <c r="R346" t="s">
        <v>1490</v>
      </c>
      <c r="S346" s="31">
        <v>7.0999999999999994E-2</v>
      </c>
      <c r="T346">
        <v>14</v>
      </c>
      <c r="U346">
        <v>3175.1547799999998</v>
      </c>
      <c r="V346">
        <v>711823.46069999994</v>
      </c>
      <c r="W346">
        <v>1471.82</v>
      </c>
      <c r="X346">
        <v>1703.3347799999999</v>
      </c>
      <c r="Y346" s="31">
        <v>0.53645724319618837</v>
      </c>
      <c r="Z346">
        <v>202407</v>
      </c>
      <c r="AA346">
        <v>202303</v>
      </c>
      <c r="AB346" t="s">
        <v>1468</v>
      </c>
      <c r="AC346">
        <v>16</v>
      </c>
      <c r="AD346" t="s">
        <v>1483</v>
      </c>
      <c r="AE346">
        <v>1</v>
      </c>
      <c r="AF346">
        <v>0</v>
      </c>
    </row>
    <row r="347" spans="1:32" x14ac:dyDescent="0.25">
      <c r="A347" t="s">
        <v>351</v>
      </c>
      <c r="B347" s="4">
        <v>45261</v>
      </c>
      <c r="C347" t="s">
        <v>1450</v>
      </c>
      <c r="D347" t="s">
        <v>1482</v>
      </c>
      <c r="E347" s="4">
        <v>45278</v>
      </c>
      <c r="F347">
        <v>17</v>
      </c>
      <c r="G347" t="s">
        <v>639</v>
      </c>
      <c r="H347" t="s">
        <v>644</v>
      </c>
      <c r="I347" t="s">
        <v>686</v>
      </c>
      <c r="J347" t="s">
        <v>1524</v>
      </c>
      <c r="K347" t="s">
        <v>697</v>
      </c>
      <c r="L347" t="s">
        <v>703</v>
      </c>
      <c r="M347" t="s">
        <v>717</v>
      </c>
      <c r="N347" t="s">
        <v>723</v>
      </c>
      <c r="O347" t="s">
        <v>1070</v>
      </c>
      <c r="P347">
        <v>1495.79</v>
      </c>
      <c r="Q347">
        <v>2783.12</v>
      </c>
      <c r="R347" t="s">
        <v>1492</v>
      </c>
      <c r="S347" s="31">
        <v>0.02</v>
      </c>
      <c r="T347">
        <v>5</v>
      </c>
      <c r="U347">
        <v>13637.287999999999</v>
      </c>
      <c r="V347">
        <v>711823.46069999994</v>
      </c>
      <c r="W347">
        <v>7478.95</v>
      </c>
      <c r="X347">
        <v>6158.3379999999988</v>
      </c>
      <c r="Y347" s="31">
        <v>0.45158084217331185</v>
      </c>
      <c r="Z347">
        <v>202312</v>
      </c>
      <c r="AA347">
        <v>202303</v>
      </c>
      <c r="AB347" t="s">
        <v>1450</v>
      </c>
      <c r="AC347">
        <v>9</v>
      </c>
      <c r="AD347" t="s">
        <v>1484</v>
      </c>
      <c r="AE347">
        <v>0</v>
      </c>
      <c r="AF347">
        <v>0</v>
      </c>
    </row>
    <row r="348" spans="1:32" x14ac:dyDescent="0.25">
      <c r="A348" t="s">
        <v>352</v>
      </c>
      <c r="B348" s="4">
        <v>45498</v>
      </c>
      <c r="C348" t="s">
        <v>1456</v>
      </c>
      <c r="D348" t="s">
        <v>1481</v>
      </c>
      <c r="E348" s="4">
        <v>45506</v>
      </c>
      <c r="F348">
        <v>8</v>
      </c>
      <c r="G348" t="s">
        <v>640</v>
      </c>
      <c r="H348" t="s">
        <v>645</v>
      </c>
      <c r="I348" t="s">
        <v>673</v>
      </c>
      <c r="J348" t="s">
        <v>1511</v>
      </c>
      <c r="K348" t="s">
        <v>696</v>
      </c>
      <c r="L348" t="s">
        <v>703</v>
      </c>
      <c r="M348" t="s">
        <v>705</v>
      </c>
      <c r="N348" t="s">
        <v>725</v>
      </c>
      <c r="O348" t="s">
        <v>1071</v>
      </c>
      <c r="P348">
        <v>986.81</v>
      </c>
      <c r="Q348">
        <v>2050.31</v>
      </c>
      <c r="R348" t="s">
        <v>1496</v>
      </c>
      <c r="S348" s="31">
        <v>0.10299999999999999</v>
      </c>
      <c r="T348">
        <v>43</v>
      </c>
      <c r="U348">
        <v>79082.507010000001</v>
      </c>
      <c r="V348">
        <v>711823.46069999994</v>
      </c>
      <c r="W348">
        <v>42432.829999999994</v>
      </c>
      <c r="X348">
        <v>36649.677010000007</v>
      </c>
      <c r="Y348" s="31">
        <v>0.46343595310358138</v>
      </c>
      <c r="Z348">
        <v>202407</v>
      </c>
      <c r="AA348">
        <v>202301</v>
      </c>
      <c r="AB348" t="s">
        <v>1468</v>
      </c>
      <c r="AC348">
        <v>18</v>
      </c>
      <c r="AD348" t="s">
        <v>1484</v>
      </c>
      <c r="AE348">
        <v>0</v>
      </c>
      <c r="AF348">
        <v>0</v>
      </c>
    </row>
    <row r="349" spans="1:32" x14ac:dyDescent="0.25">
      <c r="A349" t="s">
        <v>353</v>
      </c>
      <c r="B349" s="4">
        <v>45050</v>
      </c>
      <c r="C349" t="s">
        <v>1462</v>
      </c>
      <c r="D349" t="s">
        <v>1480</v>
      </c>
      <c r="E349" s="4">
        <v>45062</v>
      </c>
      <c r="F349">
        <v>12</v>
      </c>
      <c r="G349" t="s">
        <v>638</v>
      </c>
      <c r="H349" t="s">
        <v>643</v>
      </c>
      <c r="I349" t="s">
        <v>661</v>
      </c>
      <c r="J349" t="s">
        <v>1499</v>
      </c>
      <c r="K349" t="s">
        <v>697</v>
      </c>
      <c r="L349" t="s">
        <v>701</v>
      </c>
      <c r="M349" t="s">
        <v>705</v>
      </c>
      <c r="N349" t="s">
        <v>722</v>
      </c>
      <c r="O349" t="s">
        <v>1072</v>
      </c>
      <c r="P349">
        <v>77.739999999999995</v>
      </c>
      <c r="Q349">
        <v>147.12</v>
      </c>
      <c r="R349" t="s">
        <v>1490</v>
      </c>
      <c r="S349" s="31">
        <v>0</v>
      </c>
      <c r="T349">
        <v>15</v>
      </c>
      <c r="U349">
        <v>2206.8000000000002</v>
      </c>
      <c r="V349">
        <v>711823.46069999994</v>
      </c>
      <c r="W349">
        <v>1166.0999999999999</v>
      </c>
      <c r="X349">
        <v>1040.7000000000003</v>
      </c>
      <c r="Y349" s="31">
        <v>0.47158781946710177</v>
      </c>
      <c r="Z349">
        <v>202305</v>
      </c>
      <c r="AA349">
        <v>202301</v>
      </c>
      <c r="AB349" t="s">
        <v>1462</v>
      </c>
      <c r="AC349">
        <v>4</v>
      </c>
      <c r="AD349" t="s">
        <v>1484</v>
      </c>
      <c r="AE349">
        <v>0</v>
      </c>
      <c r="AF349">
        <v>0</v>
      </c>
    </row>
    <row r="350" spans="1:32" x14ac:dyDescent="0.25">
      <c r="A350" t="s">
        <v>354</v>
      </c>
      <c r="B350" s="4">
        <v>45281</v>
      </c>
      <c r="C350" t="s">
        <v>1450</v>
      </c>
      <c r="D350" t="s">
        <v>1482</v>
      </c>
      <c r="E350" s="4">
        <v>45297</v>
      </c>
      <c r="F350">
        <v>16</v>
      </c>
      <c r="G350" t="s">
        <v>638</v>
      </c>
      <c r="H350" t="s">
        <v>643</v>
      </c>
      <c r="I350" t="s">
        <v>1413</v>
      </c>
      <c r="J350" t="s">
        <v>1534</v>
      </c>
      <c r="K350" t="s">
        <v>693</v>
      </c>
      <c r="L350" t="s">
        <v>701</v>
      </c>
      <c r="M350" t="s">
        <v>715</v>
      </c>
      <c r="N350" t="s">
        <v>719</v>
      </c>
      <c r="O350" t="s">
        <v>1073</v>
      </c>
      <c r="P350">
        <v>932.61</v>
      </c>
      <c r="Q350">
        <v>1982.98</v>
      </c>
      <c r="R350" t="s">
        <v>1496</v>
      </c>
      <c r="S350" s="31">
        <v>0.14399999999999999</v>
      </c>
      <c r="T350">
        <v>16</v>
      </c>
      <c r="U350">
        <v>27158.894079999998</v>
      </c>
      <c r="V350">
        <v>711823.46069999994</v>
      </c>
      <c r="W350">
        <v>14921.76</v>
      </c>
      <c r="X350">
        <v>12237.134079999998</v>
      </c>
      <c r="Y350" s="31">
        <v>0.45057556629345635</v>
      </c>
      <c r="Z350">
        <v>202312</v>
      </c>
      <c r="AA350">
        <v>202301</v>
      </c>
      <c r="AB350" t="s">
        <v>1450</v>
      </c>
      <c r="AC350">
        <v>11</v>
      </c>
      <c r="AD350" t="s">
        <v>1484</v>
      </c>
      <c r="AE350">
        <v>0</v>
      </c>
      <c r="AF350">
        <v>0</v>
      </c>
    </row>
    <row r="351" spans="1:32" x14ac:dyDescent="0.25">
      <c r="A351" t="s">
        <v>355</v>
      </c>
      <c r="B351" s="4">
        <v>45825</v>
      </c>
      <c r="C351" t="s">
        <v>1460</v>
      </c>
      <c r="D351" t="s">
        <v>1480</v>
      </c>
      <c r="E351" s="4">
        <v>45843</v>
      </c>
      <c r="F351">
        <v>18</v>
      </c>
      <c r="G351" t="s">
        <v>639</v>
      </c>
      <c r="H351" t="s">
        <v>646</v>
      </c>
      <c r="I351" t="s">
        <v>672</v>
      </c>
      <c r="J351" t="s">
        <v>1510</v>
      </c>
      <c r="K351" t="s">
        <v>696</v>
      </c>
      <c r="L351" t="s">
        <v>701</v>
      </c>
      <c r="M351" t="s">
        <v>708</v>
      </c>
      <c r="N351" t="s">
        <v>723</v>
      </c>
      <c r="O351" t="s">
        <v>1074</v>
      </c>
      <c r="P351">
        <v>982.93</v>
      </c>
      <c r="Q351">
        <v>2299.3000000000002</v>
      </c>
      <c r="R351" t="s">
        <v>1496</v>
      </c>
      <c r="S351" s="31">
        <v>0.113</v>
      </c>
      <c r="T351">
        <v>6</v>
      </c>
      <c r="U351">
        <v>12236.874600000001</v>
      </c>
      <c r="V351">
        <v>684664.56661999994</v>
      </c>
      <c r="W351">
        <v>5897.58</v>
      </c>
      <c r="X351">
        <v>6339.2946000000011</v>
      </c>
      <c r="Y351" s="31">
        <v>0.51804850562087157</v>
      </c>
      <c r="Z351">
        <v>202506</v>
      </c>
      <c r="AA351">
        <v>202301</v>
      </c>
      <c r="AB351" t="s">
        <v>1458</v>
      </c>
      <c r="AC351">
        <v>29</v>
      </c>
      <c r="AD351" t="s">
        <v>1484</v>
      </c>
      <c r="AE351">
        <v>0</v>
      </c>
      <c r="AF351">
        <v>0</v>
      </c>
    </row>
    <row r="352" spans="1:32" x14ac:dyDescent="0.25">
      <c r="A352" t="s">
        <v>356</v>
      </c>
      <c r="B352" s="4">
        <v>44980</v>
      </c>
      <c r="C352" t="s">
        <v>1451</v>
      </c>
      <c r="D352" t="s">
        <v>1479</v>
      </c>
      <c r="E352" s="4">
        <v>44993</v>
      </c>
      <c r="F352">
        <v>13</v>
      </c>
      <c r="G352" t="s">
        <v>641</v>
      </c>
      <c r="H352" t="s">
        <v>650</v>
      </c>
      <c r="I352" t="s">
        <v>685</v>
      </c>
      <c r="J352" t="s">
        <v>1523</v>
      </c>
      <c r="K352" t="s">
        <v>697</v>
      </c>
      <c r="L352" t="s">
        <v>703</v>
      </c>
      <c r="M352" t="s">
        <v>704</v>
      </c>
      <c r="N352" t="s">
        <v>720</v>
      </c>
      <c r="O352" t="s">
        <v>1075</v>
      </c>
      <c r="P352">
        <v>307.37</v>
      </c>
      <c r="Q352">
        <v>462.61</v>
      </c>
      <c r="R352" t="s">
        <v>1490</v>
      </c>
      <c r="S352" s="31">
        <v>0.188</v>
      </c>
      <c r="T352">
        <v>11</v>
      </c>
      <c r="U352">
        <v>4132.0325200000007</v>
      </c>
      <c r="V352">
        <v>684664.56661999994</v>
      </c>
      <c r="W352">
        <v>3381.07</v>
      </c>
      <c r="X352">
        <v>750.9625200000005</v>
      </c>
      <c r="Y352" s="31">
        <v>0.18174167709599739</v>
      </c>
      <c r="Z352">
        <v>202302</v>
      </c>
      <c r="AA352">
        <v>202301</v>
      </c>
      <c r="AB352" t="s">
        <v>1451</v>
      </c>
      <c r="AC352">
        <v>1</v>
      </c>
      <c r="AD352" t="s">
        <v>1484</v>
      </c>
      <c r="AE352">
        <v>0</v>
      </c>
      <c r="AF352">
        <v>0</v>
      </c>
    </row>
    <row r="353" spans="1:32" x14ac:dyDescent="0.25">
      <c r="A353" t="s">
        <v>357</v>
      </c>
      <c r="B353" s="4">
        <v>45262</v>
      </c>
      <c r="C353" t="s">
        <v>1450</v>
      </c>
      <c r="D353" t="s">
        <v>1482</v>
      </c>
      <c r="E353" s="4">
        <v>45276</v>
      </c>
      <c r="F353">
        <v>14</v>
      </c>
      <c r="G353" t="s">
        <v>641</v>
      </c>
      <c r="H353" t="s">
        <v>648</v>
      </c>
      <c r="I353" t="s">
        <v>690</v>
      </c>
      <c r="J353" t="s">
        <v>1529</v>
      </c>
      <c r="K353" t="s">
        <v>694</v>
      </c>
      <c r="L353" t="s">
        <v>703</v>
      </c>
      <c r="M353" t="s">
        <v>717</v>
      </c>
      <c r="N353" t="s">
        <v>724</v>
      </c>
      <c r="O353" t="s">
        <v>1076</v>
      </c>
      <c r="P353">
        <v>879.08</v>
      </c>
      <c r="Q353">
        <v>1093.3900000000001</v>
      </c>
      <c r="R353" t="s">
        <v>1496</v>
      </c>
      <c r="S353" s="31">
        <v>0.113</v>
      </c>
      <c r="T353">
        <v>17</v>
      </c>
      <c r="U353">
        <v>16487.22781</v>
      </c>
      <c r="V353">
        <v>684664.56661999994</v>
      </c>
      <c r="W353">
        <v>14944.36</v>
      </c>
      <c r="X353">
        <v>1542.8678099999997</v>
      </c>
      <c r="Y353" s="31">
        <v>9.3579577341935186E-2</v>
      </c>
      <c r="Z353">
        <v>202312</v>
      </c>
      <c r="AA353">
        <v>202301</v>
      </c>
      <c r="AB353" t="s">
        <v>1450</v>
      </c>
      <c r="AC353">
        <v>11</v>
      </c>
      <c r="AD353" t="s">
        <v>1484</v>
      </c>
      <c r="AE353">
        <v>0</v>
      </c>
      <c r="AF353">
        <v>0</v>
      </c>
    </row>
    <row r="354" spans="1:32" x14ac:dyDescent="0.25">
      <c r="A354" t="s">
        <v>358</v>
      </c>
      <c r="B354" s="4">
        <v>45121</v>
      </c>
      <c r="C354" t="s">
        <v>1468</v>
      </c>
      <c r="D354" t="s">
        <v>1481</v>
      </c>
      <c r="E354" s="4">
        <v>45121</v>
      </c>
      <c r="F354">
        <v>0</v>
      </c>
      <c r="G354" t="s">
        <v>638</v>
      </c>
      <c r="H354" t="s">
        <v>643</v>
      </c>
      <c r="I354" t="s">
        <v>657</v>
      </c>
      <c r="J354" t="s">
        <v>1494</v>
      </c>
      <c r="K354" t="s">
        <v>694</v>
      </c>
      <c r="L354" t="s">
        <v>699</v>
      </c>
      <c r="M354" t="s">
        <v>706</v>
      </c>
      <c r="N354" t="s">
        <v>725</v>
      </c>
      <c r="O354" t="s">
        <v>1077</v>
      </c>
      <c r="P354">
        <v>956.38</v>
      </c>
      <c r="Q354">
        <v>1454.22</v>
      </c>
      <c r="R354" t="s">
        <v>1496</v>
      </c>
      <c r="S354" s="31">
        <v>3.9E-2</v>
      </c>
      <c r="T354">
        <v>19</v>
      </c>
      <c r="U354">
        <v>26552.60298</v>
      </c>
      <c r="V354">
        <v>684664.56661999994</v>
      </c>
      <c r="W354">
        <v>18171.22</v>
      </c>
      <c r="X354">
        <v>8381.3829799999985</v>
      </c>
      <c r="Y354" s="31">
        <v>0.31565202802576603</v>
      </c>
      <c r="Z354">
        <v>202307</v>
      </c>
      <c r="AA354">
        <v>202301</v>
      </c>
      <c r="AB354" t="s">
        <v>1468</v>
      </c>
      <c r="AC354">
        <v>6</v>
      </c>
      <c r="AD354" t="s">
        <v>1483</v>
      </c>
      <c r="AE354">
        <v>1</v>
      </c>
      <c r="AF354">
        <v>0</v>
      </c>
    </row>
    <row r="355" spans="1:32" x14ac:dyDescent="0.25">
      <c r="A355" t="s">
        <v>359</v>
      </c>
      <c r="B355" s="4">
        <v>45512</v>
      </c>
      <c r="C355" t="s">
        <v>1474</v>
      </c>
      <c r="D355" t="s">
        <v>1481</v>
      </c>
      <c r="E355" s="4">
        <v>45524</v>
      </c>
      <c r="F355">
        <v>12</v>
      </c>
      <c r="G355" t="s">
        <v>639</v>
      </c>
      <c r="H355" t="s">
        <v>644</v>
      </c>
      <c r="I355" t="s">
        <v>658</v>
      </c>
      <c r="J355" t="s">
        <v>1495</v>
      </c>
      <c r="K355" t="s">
        <v>697</v>
      </c>
      <c r="L355" t="s">
        <v>699</v>
      </c>
      <c r="M355" t="s">
        <v>714</v>
      </c>
      <c r="N355" t="s">
        <v>721</v>
      </c>
      <c r="O355" t="s">
        <v>1078</v>
      </c>
      <c r="P355">
        <v>1233.3599999999999</v>
      </c>
      <c r="Q355">
        <v>2120.4</v>
      </c>
      <c r="R355" t="s">
        <v>1492</v>
      </c>
      <c r="S355" s="31">
        <v>0.17899999999999999</v>
      </c>
      <c r="T355">
        <v>20</v>
      </c>
      <c r="U355">
        <v>34816.968000000001</v>
      </c>
      <c r="V355">
        <v>684664.56661999994</v>
      </c>
      <c r="W355">
        <v>24667.199999999997</v>
      </c>
      <c r="X355">
        <v>10149.768000000004</v>
      </c>
      <c r="Y355" s="31">
        <v>0.29151785991244278</v>
      </c>
      <c r="Z355">
        <v>202408</v>
      </c>
      <c r="AA355">
        <v>202303</v>
      </c>
      <c r="AB355" t="s">
        <v>1448</v>
      </c>
      <c r="AC355">
        <v>17</v>
      </c>
      <c r="AD355" t="s">
        <v>1484</v>
      </c>
      <c r="AE355">
        <v>0</v>
      </c>
      <c r="AF355">
        <v>0</v>
      </c>
    </row>
    <row r="356" spans="1:32" x14ac:dyDescent="0.25">
      <c r="A356" t="s">
        <v>360</v>
      </c>
      <c r="B356" s="4">
        <v>45603</v>
      </c>
      <c r="C356" t="s">
        <v>1472</v>
      </c>
      <c r="D356" t="s">
        <v>1482</v>
      </c>
      <c r="E356" s="4">
        <v>45622</v>
      </c>
      <c r="F356">
        <v>19</v>
      </c>
      <c r="G356" t="s">
        <v>640</v>
      </c>
      <c r="H356" t="s">
        <v>647</v>
      </c>
      <c r="I356" t="s">
        <v>684</v>
      </c>
      <c r="J356" t="s">
        <v>1522</v>
      </c>
      <c r="K356" t="s">
        <v>695</v>
      </c>
      <c r="L356" t="s">
        <v>702</v>
      </c>
      <c r="M356" t="s">
        <v>705</v>
      </c>
      <c r="N356" t="s">
        <v>720</v>
      </c>
      <c r="O356" t="s">
        <v>1079</v>
      </c>
      <c r="P356">
        <v>55.35</v>
      </c>
      <c r="Q356">
        <v>128.68</v>
      </c>
      <c r="R356" t="s">
        <v>1490</v>
      </c>
      <c r="S356" s="31">
        <v>0.128</v>
      </c>
      <c r="T356">
        <v>10</v>
      </c>
      <c r="U356">
        <v>1122.0896000000002</v>
      </c>
      <c r="V356">
        <v>684664.56661999994</v>
      </c>
      <c r="W356">
        <v>553.5</v>
      </c>
      <c r="X356">
        <v>568.58960000000025</v>
      </c>
      <c r="Y356" s="31">
        <v>0.50672388372550647</v>
      </c>
      <c r="Z356">
        <v>202411</v>
      </c>
      <c r="AA356">
        <v>202301</v>
      </c>
      <c r="AB356" t="s">
        <v>1475</v>
      </c>
      <c r="AC356">
        <v>22</v>
      </c>
      <c r="AD356" t="s">
        <v>1484</v>
      </c>
      <c r="AE356">
        <v>0</v>
      </c>
      <c r="AF356">
        <v>0</v>
      </c>
    </row>
    <row r="357" spans="1:32" x14ac:dyDescent="0.25">
      <c r="A357" t="s">
        <v>361</v>
      </c>
      <c r="B357" s="4">
        <v>45292</v>
      </c>
      <c r="C357" t="s">
        <v>1454</v>
      </c>
      <c r="D357" t="s">
        <v>1479</v>
      </c>
      <c r="E357" s="4">
        <v>45318</v>
      </c>
      <c r="F357">
        <v>26</v>
      </c>
      <c r="G357" t="s">
        <v>641</v>
      </c>
      <c r="H357" t="s">
        <v>650</v>
      </c>
      <c r="I357" t="s">
        <v>685</v>
      </c>
      <c r="J357" t="s">
        <v>1523</v>
      </c>
      <c r="K357" t="s">
        <v>694</v>
      </c>
      <c r="L357" t="s">
        <v>702</v>
      </c>
      <c r="M357" t="s">
        <v>718</v>
      </c>
      <c r="N357" t="s">
        <v>725</v>
      </c>
      <c r="O357" t="s">
        <v>1080</v>
      </c>
      <c r="P357">
        <v>657.45</v>
      </c>
      <c r="Q357">
        <v>1325.96</v>
      </c>
      <c r="R357" t="s">
        <v>1496</v>
      </c>
      <c r="S357" s="31">
        <v>0.16700000000000001</v>
      </c>
      <c r="T357">
        <v>21</v>
      </c>
      <c r="U357">
        <v>23195.01828</v>
      </c>
      <c r="V357">
        <v>684664.56661999994</v>
      </c>
      <c r="W357">
        <v>13806.45</v>
      </c>
      <c r="X357">
        <v>9388.5682799999995</v>
      </c>
      <c r="Y357" s="31">
        <v>0.40476658249048808</v>
      </c>
      <c r="Z357">
        <v>202401</v>
      </c>
      <c r="AA357">
        <v>202301</v>
      </c>
      <c r="AB357" t="s">
        <v>1477</v>
      </c>
      <c r="AC357">
        <v>12</v>
      </c>
      <c r="AD357" t="s">
        <v>1484</v>
      </c>
      <c r="AE357">
        <v>0</v>
      </c>
      <c r="AF357">
        <v>0</v>
      </c>
    </row>
    <row r="358" spans="1:32" x14ac:dyDescent="0.25">
      <c r="A358" t="s">
        <v>362</v>
      </c>
      <c r="B358" s="4">
        <v>45883</v>
      </c>
      <c r="C358" t="s">
        <v>1449</v>
      </c>
      <c r="D358" t="s">
        <v>1481</v>
      </c>
      <c r="E358" s="4">
        <v>45911</v>
      </c>
      <c r="F358">
        <v>28</v>
      </c>
      <c r="G358" t="s">
        <v>640</v>
      </c>
      <c r="H358" t="s">
        <v>647</v>
      </c>
      <c r="I358" t="s">
        <v>662</v>
      </c>
      <c r="J358" t="s">
        <v>1500</v>
      </c>
      <c r="K358" t="s">
        <v>695</v>
      </c>
      <c r="L358" t="s">
        <v>703</v>
      </c>
      <c r="M358" t="s">
        <v>713</v>
      </c>
      <c r="N358" t="s">
        <v>720</v>
      </c>
      <c r="O358" t="s">
        <v>1081</v>
      </c>
      <c r="P358">
        <v>1203.02</v>
      </c>
      <c r="Q358">
        <v>2439.33</v>
      </c>
      <c r="R358" t="s">
        <v>1492</v>
      </c>
      <c r="S358" s="31">
        <v>0</v>
      </c>
      <c r="T358">
        <v>18</v>
      </c>
      <c r="U358">
        <v>43907.94</v>
      </c>
      <c r="V358">
        <v>684664.56661999994</v>
      </c>
      <c r="W358">
        <v>21654.36</v>
      </c>
      <c r="X358">
        <v>22253.58</v>
      </c>
      <c r="Y358" s="31">
        <v>0.50682359500354612</v>
      </c>
      <c r="Z358">
        <v>202508</v>
      </c>
      <c r="AA358">
        <v>202301</v>
      </c>
      <c r="AB358" t="s">
        <v>1448</v>
      </c>
      <c r="AC358">
        <v>31</v>
      </c>
      <c r="AD358" t="s">
        <v>1484</v>
      </c>
      <c r="AE358">
        <v>0</v>
      </c>
      <c r="AF358">
        <v>0</v>
      </c>
    </row>
    <row r="359" spans="1:32" x14ac:dyDescent="0.25">
      <c r="A359" t="s">
        <v>363</v>
      </c>
      <c r="B359" s="4">
        <v>45385</v>
      </c>
      <c r="C359" t="s">
        <v>1447</v>
      </c>
      <c r="D359" t="s">
        <v>1480</v>
      </c>
      <c r="E359" s="4">
        <v>45403</v>
      </c>
      <c r="F359">
        <v>18</v>
      </c>
      <c r="G359" t="s">
        <v>640</v>
      </c>
      <c r="H359" t="s">
        <v>647</v>
      </c>
      <c r="I359" t="s">
        <v>664</v>
      </c>
      <c r="J359" t="s">
        <v>1502</v>
      </c>
      <c r="K359" t="s">
        <v>697</v>
      </c>
      <c r="L359" t="s">
        <v>702</v>
      </c>
      <c r="M359" t="s">
        <v>709</v>
      </c>
      <c r="N359" t="s">
        <v>721</v>
      </c>
      <c r="O359" t="s">
        <v>1082</v>
      </c>
      <c r="P359">
        <v>1176.69</v>
      </c>
      <c r="Q359">
        <v>2201.54</v>
      </c>
      <c r="R359" t="s">
        <v>1492</v>
      </c>
      <c r="S359" s="31">
        <v>0.17</v>
      </c>
      <c r="T359">
        <v>27</v>
      </c>
      <c r="U359">
        <v>49336.511399999996</v>
      </c>
      <c r="V359">
        <v>684664.56661999994</v>
      </c>
      <c r="W359">
        <v>31770.63</v>
      </c>
      <c r="X359">
        <v>17565.881399999995</v>
      </c>
      <c r="Y359" s="31">
        <v>0.35604222717701106</v>
      </c>
      <c r="Z359">
        <v>202404</v>
      </c>
      <c r="AA359">
        <v>202301</v>
      </c>
      <c r="AB359" t="s">
        <v>1446</v>
      </c>
      <c r="AC359">
        <v>15</v>
      </c>
      <c r="AD359" t="s">
        <v>1484</v>
      </c>
      <c r="AE359">
        <v>0</v>
      </c>
      <c r="AF359">
        <v>0</v>
      </c>
    </row>
    <row r="360" spans="1:32" x14ac:dyDescent="0.25">
      <c r="A360" t="s">
        <v>364</v>
      </c>
      <c r="B360" s="4">
        <v>45621</v>
      </c>
      <c r="C360" t="s">
        <v>1472</v>
      </c>
      <c r="D360" t="s">
        <v>1482</v>
      </c>
      <c r="E360" s="4">
        <v>45633</v>
      </c>
      <c r="F360">
        <v>12</v>
      </c>
      <c r="G360" t="s">
        <v>639</v>
      </c>
      <c r="H360" t="s">
        <v>651</v>
      </c>
      <c r="I360" t="s">
        <v>677</v>
      </c>
      <c r="J360" t="s">
        <v>1515</v>
      </c>
      <c r="K360" t="s">
        <v>693</v>
      </c>
      <c r="L360" t="s">
        <v>702</v>
      </c>
      <c r="M360" t="s">
        <v>712</v>
      </c>
      <c r="N360" t="s">
        <v>725</v>
      </c>
      <c r="O360" t="s">
        <v>1083</v>
      </c>
      <c r="P360">
        <v>769.9</v>
      </c>
      <c r="Q360">
        <v>814.36</v>
      </c>
      <c r="R360" t="s">
        <v>1496</v>
      </c>
      <c r="S360" s="31">
        <v>0</v>
      </c>
      <c r="T360">
        <v>5</v>
      </c>
      <c r="U360">
        <v>4071.8</v>
      </c>
      <c r="V360">
        <v>684664.56661999994</v>
      </c>
      <c r="W360">
        <v>3849.5</v>
      </c>
      <c r="X360">
        <v>222.30000000000018</v>
      </c>
      <c r="Y360" s="31">
        <v>5.4595019401738831E-2</v>
      </c>
      <c r="Z360">
        <v>202411</v>
      </c>
      <c r="AA360">
        <v>202301</v>
      </c>
      <c r="AB360" t="s">
        <v>1475</v>
      </c>
      <c r="AC360">
        <v>22</v>
      </c>
      <c r="AD360" t="s">
        <v>1484</v>
      </c>
      <c r="AE360">
        <v>0</v>
      </c>
      <c r="AF360">
        <v>0</v>
      </c>
    </row>
    <row r="361" spans="1:32" x14ac:dyDescent="0.25">
      <c r="A361" t="s">
        <v>365</v>
      </c>
      <c r="B361" s="4">
        <v>45309</v>
      </c>
      <c r="C361" t="s">
        <v>1454</v>
      </c>
      <c r="D361" t="s">
        <v>1479</v>
      </c>
      <c r="E361" s="4">
        <v>45325</v>
      </c>
      <c r="F361">
        <v>16</v>
      </c>
      <c r="G361" t="s">
        <v>638</v>
      </c>
      <c r="H361" t="s">
        <v>653</v>
      </c>
      <c r="I361" t="s">
        <v>687</v>
      </c>
      <c r="J361" t="s">
        <v>1525</v>
      </c>
      <c r="K361" t="s">
        <v>695</v>
      </c>
      <c r="L361" t="s">
        <v>702</v>
      </c>
      <c r="M361" t="s">
        <v>708</v>
      </c>
      <c r="N361" t="s">
        <v>720</v>
      </c>
      <c r="O361" t="s">
        <v>1084</v>
      </c>
      <c r="P361">
        <v>666.23</v>
      </c>
      <c r="Q361">
        <v>1382.91</v>
      </c>
      <c r="R361" t="s">
        <v>1496</v>
      </c>
      <c r="S361" s="31">
        <v>0.17599999999999999</v>
      </c>
      <c r="T361">
        <v>13</v>
      </c>
      <c r="U361">
        <v>14813.731920000002</v>
      </c>
      <c r="V361">
        <v>684664.56661999994</v>
      </c>
      <c r="W361">
        <v>8660.99</v>
      </c>
      <c r="X361">
        <v>6152.7419200000022</v>
      </c>
      <c r="Y361" s="31">
        <v>0.41534043907553048</v>
      </c>
      <c r="Z361">
        <v>202401</v>
      </c>
      <c r="AA361">
        <v>202301</v>
      </c>
      <c r="AB361" t="s">
        <v>1477</v>
      </c>
      <c r="AC361">
        <v>12</v>
      </c>
      <c r="AD361" t="s">
        <v>1484</v>
      </c>
      <c r="AE361">
        <v>0</v>
      </c>
      <c r="AF361">
        <v>0</v>
      </c>
    </row>
    <row r="362" spans="1:32" x14ac:dyDescent="0.25">
      <c r="A362" t="s">
        <v>366</v>
      </c>
      <c r="B362" s="4">
        <v>45466</v>
      </c>
      <c r="C362" t="s">
        <v>1459</v>
      </c>
      <c r="D362" t="s">
        <v>1480</v>
      </c>
      <c r="E362" s="4">
        <v>45468</v>
      </c>
      <c r="F362">
        <v>2</v>
      </c>
      <c r="G362" t="s">
        <v>641</v>
      </c>
      <c r="H362" t="s">
        <v>650</v>
      </c>
      <c r="I362" t="s">
        <v>666</v>
      </c>
      <c r="J362" t="s">
        <v>1504</v>
      </c>
      <c r="K362" t="s">
        <v>697</v>
      </c>
      <c r="L362" t="s">
        <v>701</v>
      </c>
      <c r="M362" t="s">
        <v>708</v>
      </c>
      <c r="N362" t="s">
        <v>725</v>
      </c>
      <c r="O362" t="s">
        <v>1085</v>
      </c>
      <c r="P362">
        <v>951.44</v>
      </c>
      <c r="Q362">
        <v>1646.43</v>
      </c>
      <c r="R362" t="s">
        <v>1496</v>
      </c>
      <c r="S362" s="31">
        <v>0.11</v>
      </c>
      <c r="T362">
        <v>24</v>
      </c>
      <c r="U362">
        <v>35167.7448</v>
      </c>
      <c r="V362">
        <v>684664.56661999994</v>
      </c>
      <c r="W362">
        <v>22834.560000000001</v>
      </c>
      <c r="X362">
        <v>12333.184799999999</v>
      </c>
      <c r="Y362" s="31">
        <v>0.35069592520473475</v>
      </c>
      <c r="Z362">
        <v>202406</v>
      </c>
      <c r="AA362">
        <v>202301</v>
      </c>
      <c r="AB362" t="s">
        <v>1458</v>
      </c>
      <c r="AC362">
        <v>17</v>
      </c>
      <c r="AD362" t="s">
        <v>1483</v>
      </c>
      <c r="AE362">
        <v>1</v>
      </c>
      <c r="AF362">
        <v>0</v>
      </c>
    </row>
    <row r="363" spans="1:32" x14ac:dyDescent="0.25">
      <c r="A363" t="s">
        <v>367</v>
      </c>
      <c r="B363" s="4">
        <v>45833</v>
      </c>
      <c r="C363" t="s">
        <v>1460</v>
      </c>
      <c r="D363" t="s">
        <v>1480</v>
      </c>
      <c r="E363" s="4">
        <v>45848</v>
      </c>
      <c r="F363">
        <v>15</v>
      </c>
      <c r="G363" t="s">
        <v>641</v>
      </c>
      <c r="H363" t="s">
        <v>650</v>
      </c>
      <c r="I363" t="s">
        <v>666</v>
      </c>
      <c r="J363" t="s">
        <v>1504</v>
      </c>
      <c r="K363" t="s">
        <v>695</v>
      </c>
      <c r="L363" t="s">
        <v>701</v>
      </c>
      <c r="M363" t="s">
        <v>718</v>
      </c>
      <c r="N363" t="s">
        <v>722</v>
      </c>
      <c r="O363" t="s">
        <v>1086</v>
      </c>
      <c r="P363">
        <v>546.83000000000004</v>
      </c>
      <c r="Q363">
        <v>400.84</v>
      </c>
      <c r="R363" t="s">
        <v>1496</v>
      </c>
      <c r="S363" s="31">
        <v>7.8E-2</v>
      </c>
      <c r="T363">
        <v>13</v>
      </c>
      <c r="U363">
        <v>4804.4682400000002</v>
      </c>
      <c r="V363">
        <v>684664.56661999994</v>
      </c>
      <c r="W363">
        <v>7108.7900000000009</v>
      </c>
      <c r="X363">
        <v>-2304.3217600000007</v>
      </c>
      <c r="Y363" s="31">
        <v>-0.47962056254533608</v>
      </c>
      <c r="Z363">
        <v>202506</v>
      </c>
      <c r="AA363">
        <v>202301</v>
      </c>
      <c r="AB363" t="s">
        <v>1458</v>
      </c>
      <c r="AC363">
        <v>29</v>
      </c>
      <c r="AD363" t="s">
        <v>1484</v>
      </c>
      <c r="AE363">
        <v>0</v>
      </c>
      <c r="AF363">
        <v>0</v>
      </c>
    </row>
    <row r="364" spans="1:32" x14ac:dyDescent="0.25">
      <c r="A364" t="s">
        <v>368</v>
      </c>
      <c r="B364" s="4">
        <v>45108</v>
      </c>
      <c r="C364" t="s">
        <v>1468</v>
      </c>
      <c r="D364" t="s">
        <v>1481</v>
      </c>
      <c r="E364" s="4">
        <v>45115</v>
      </c>
      <c r="F364">
        <v>7</v>
      </c>
      <c r="G364" t="s">
        <v>638</v>
      </c>
      <c r="H364" t="s">
        <v>643</v>
      </c>
      <c r="I364" t="s">
        <v>655</v>
      </c>
      <c r="J364" t="s">
        <v>1491</v>
      </c>
      <c r="K364" t="s">
        <v>693</v>
      </c>
      <c r="L364" t="s">
        <v>699</v>
      </c>
      <c r="M364" t="s">
        <v>712</v>
      </c>
      <c r="N364" t="s">
        <v>723</v>
      </c>
      <c r="O364" t="s">
        <v>1087</v>
      </c>
      <c r="P364">
        <v>834.26</v>
      </c>
      <c r="Q364">
        <v>1780.56</v>
      </c>
      <c r="R364" t="s">
        <v>1496</v>
      </c>
      <c r="S364" s="31">
        <v>1.4E-2</v>
      </c>
      <c r="T364">
        <v>47</v>
      </c>
      <c r="U364">
        <v>82514.711519999997</v>
      </c>
      <c r="V364">
        <v>684664.56661999994</v>
      </c>
      <c r="W364">
        <v>39210.22</v>
      </c>
      <c r="X364">
        <v>43304.491519999996</v>
      </c>
      <c r="Y364" s="31">
        <v>0.5248093427497933</v>
      </c>
      <c r="Z364">
        <v>202307</v>
      </c>
      <c r="AA364">
        <v>202301</v>
      </c>
      <c r="AB364" t="s">
        <v>1468</v>
      </c>
      <c r="AC364">
        <v>6</v>
      </c>
      <c r="AD364" t="s">
        <v>1483</v>
      </c>
      <c r="AE364">
        <v>1</v>
      </c>
      <c r="AF364">
        <v>0</v>
      </c>
    </row>
    <row r="365" spans="1:32" x14ac:dyDescent="0.25">
      <c r="A365" t="s">
        <v>369</v>
      </c>
      <c r="B365" s="4">
        <v>45360</v>
      </c>
      <c r="C365" t="s">
        <v>1470</v>
      </c>
      <c r="D365" t="s">
        <v>1479</v>
      </c>
      <c r="E365" s="4">
        <v>45377</v>
      </c>
      <c r="F365">
        <v>17</v>
      </c>
      <c r="G365" t="s">
        <v>639</v>
      </c>
      <c r="H365" t="s">
        <v>651</v>
      </c>
      <c r="I365" t="s">
        <v>668</v>
      </c>
      <c r="J365" t="s">
        <v>1506</v>
      </c>
      <c r="K365" t="s">
        <v>698</v>
      </c>
      <c r="L365" t="s">
        <v>700</v>
      </c>
      <c r="M365" t="s">
        <v>715</v>
      </c>
      <c r="N365" t="s">
        <v>724</v>
      </c>
      <c r="O365" t="s">
        <v>1088</v>
      </c>
      <c r="P365">
        <v>1029.67</v>
      </c>
      <c r="Q365">
        <v>1118.43</v>
      </c>
      <c r="R365" t="s">
        <v>1492</v>
      </c>
      <c r="S365" s="31">
        <v>0.27200000000000002</v>
      </c>
      <c r="T365">
        <v>9</v>
      </c>
      <c r="U365">
        <v>7327.9533600000004</v>
      </c>
      <c r="V365">
        <v>684664.56661999994</v>
      </c>
      <c r="W365">
        <v>9267.0300000000007</v>
      </c>
      <c r="X365">
        <v>-1939.0766400000002</v>
      </c>
      <c r="Y365" s="31">
        <v>-0.26461367106736061</v>
      </c>
      <c r="Z365">
        <v>202403</v>
      </c>
      <c r="AA365">
        <v>202301</v>
      </c>
      <c r="AB365" t="s">
        <v>1469</v>
      </c>
      <c r="AC365">
        <v>14</v>
      </c>
      <c r="AD365" t="s">
        <v>1484</v>
      </c>
      <c r="AE365">
        <v>0</v>
      </c>
      <c r="AF365">
        <v>1</v>
      </c>
    </row>
    <row r="366" spans="1:32" x14ac:dyDescent="0.25">
      <c r="A366" t="s">
        <v>370</v>
      </c>
      <c r="B366" s="4">
        <v>45082</v>
      </c>
      <c r="C366" t="s">
        <v>1458</v>
      </c>
      <c r="D366" t="s">
        <v>1480</v>
      </c>
      <c r="E366" s="4">
        <v>45105</v>
      </c>
      <c r="F366">
        <v>23</v>
      </c>
      <c r="G366" t="s">
        <v>641</v>
      </c>
      <c r="H366" t="s">
        <v>650</v>
      </c>
      <c r="I366" t="s">
        <v>666</v>
      </c>
      <c r="J366" t="s">
        <v>1504</v>
      </c>
      <c r="K366" t="s">
        <v>693</v>
      </c>
      <c r="L366" t="s">
        <v>703</v>
      </c>
      <c r="M366" t="s">
        <v>715</v>
      </c>
      <c r="N366" t="s">
        <v>720</v>
      </c>
      <c r="O366" t="s">
        <v>1089</v>
      </c>
      <c r="P366">
        <v>605.82000000000005</v>
      </c>
      <c r="Q366">
        <v>771.12</v>
      </c>
      <c r="R366" t="s">
        <v>1496</v>
      </c>
      <c r="S366" s="31">
        <v>0.13200000000000001</v>
      </c>
      <c r="T366">
        <v>19</v>
      </c>
      <c r="U366">
        <v>12717.311040000001</v>
      </c>
      <c r="V366">
        <v>684664.56661999994</v>
      </c>
      <c r="W366">
        <v>11510.580000000002</v>
      </c>
      <c r="X366">
        <v>1206.7310399999988</v>
      </c>
      <c r="Y366" s="31">
        <v>9.4888851597986767E-2</v>
      </c>
      <c r="Z366">
        <v>202306</v>
      </c>
      <c r="AA366">
        <v>202301</v>
      </c>
      <c r="AB366" t="s">
        <v>1458</v>
      </c>
      <c r="AC366">
        <v>5</v>
      </c>
      <c r="AD366" t="s">
        <v>1484</v>
      </c>
      <c r="AE366">
        <v>0</v>
      </c>
      <c r="AF366">
        <v>0</v>
      </c>
    </row>
    <row r="367" spans="1:32" x14ac:dyDescent="0.25">
      <c r="A367" t="s">
        <v>371</v>
      </c>
      <c r="B367" s="4">
        <v>45737</v>
      </c>
      <c r="C367" t="s">
        <v>1461</v>
      </c>
      <c r="D367" t="s">
        <v>1479</v>
      </c>
      <c r="E367" s="4">
        <v>45756</v>
      </c>
      <c r="F367">
        <v>19</v>
      </c>
      <c r="G367" t="s">
        <v>639</v>
      </c>
      <c r="H367" t="s">
        <v>644</v>
      </c>
      <c r="I367" t="s">
        <v>681</v>
      </c>
      <c r="J367" t="s">
        <v>1519</v>
      </c>
      <c r="K367" t="s">
        <v>697</v>
      </c>
      <c r="L367" t="s">
        <v>702</v>
      </c>
      <c r="M367" t="s">
        <v>710</v>
      </c>
      <c r="N367" t="s">
        <v>719</v>
      </c>
      <c r="O367" t="s">
        <v>1090</v>
      </c>
      <c r="P367">
        <v>1055.45</v>
      </c>
      <c r="Q367">
        <v>1210.04</v>
      </c>
      <c r="R367" t="s">
        <v>1492</v>
      </c>
      <c r="S367" s="31">
        <v>8.9999999999999993E-3</v>
      </c>
      <c r="T367">
        <v>18</v>
      </c>
      <c r="U367">
        <v>21584.693520000001</v>
      </c>
      <c r="V367">
        <v>684664.56661999994</v>
      </c>
      <c r="W367">
        <v>18998.100000000002</v>
      </c>
      <c r="X367">
        <v>2586.5935199999985</v>
      </c>
      <c r="Y367" s="31">
        <v>0.1198346188053727</v>
      </c>
      <c r="Z367">
        <v>202503</v>
      </c>
      <c r="AA367">
        <v>202303</v>
      </c>
      <c r="AB367" t="s">
        <v>1469</v>
      </c>
      <c r="AC367">
        <v>24</v>
      </c>
      <c r="AD367" t="s">
        <v>1484</v>
      </c>
      <c r="AE367">
        <v>0</v>
      </c>
      <c r="AF367">
        <v>0</v>
      </c>
    </row>
    <row r="368" spans="1:32" x14ac:dyDescent="0.25">
      <c r="A368" t="s">
        <v>372</v>
      </c>
      <c r="B368" s="4">
        <v>45445</v>
      </c>
      <c r="C368" t="s">
        <v>1459</v>
      </c>
      <c r="D368" t="s">
        <v>1480</v>
      </c>
      <c r="E368" s="4">
        <v>45458</v>
      </c>
      <c r="F368">
        <v>13</v>
      </c>
      <c r="G368" t="s">
        <v>638</v>
      </c>
      <c r="H368" t="s">
        <v>642</v>
      </c>
      <c r="I368" t="s">
        <v>667</v>
      </c>
      <c r="J368" t="s">
        <v>1505</v>
      </c>
      <c r="K368" t="s">
        <v>694</v>
      </c>
      <c r="L368" t="s">
        <v>700</v>
      </c>
      <c r="M368" t="s">
        <v>711</v>
      </c>
      <c r="N368" t="s">
        <v>722</v>
      </c>
      <c r="O368" t="s">
        <v>1091</v>
      </c>
      <c r="P368">
        <v>1295.18</v>
      </c>
      <c r="Q368">
        <v>3024.03</v>
      </c>
      <c r="R368" t="s">
        <v>1492</v>
      </c>
      <c r="S368" s="31">
        <v>0.192</v>
      </c>
      <c r="T368">
        <v>8</v>
      </c>
      <c r="U368">
        <v>19547.329920000004</v>
      </c>
      <c r="V368">
        <v>663079.87309999997</v>
      </c>
      <c r="W368">
        <v>10361.44</v>
      </c>
      <c r="X368">
        <v>9185.8899200000033</v>
      </c>
      <c r="Y368" s="31">
        <v>0.46993067378483178</v>
      </c>
      <c r="Z368">
        <v>202406</v>
      </c>
      <c r="AA368">
        <v>202301</v>
      </c>
      <c r="AB368" t="s">
        <v>1458</v>
      </c>
      <c r="AC368">
        <v>17</v>
      </c>
      <c r="AD368" t="s">
        <v>1484</v>
      </c>
      <c r="AE368">
        <v>0</v>
      </c>
      <c r="AF368">
        <v>0</v>
      </c>
    </row>
    <row r="369" spans="1:32" x14ac:dyDescent="0.25">
      <c r="A369" t="s">
        <v>373</v>
      </c>
      <c r="B369" s="4">
        <v>45731</v>
      </c>
      <c r="C369" t="s">
        <v>1461</v>
      </c>
      <c r="D369" t="s">
        <v>1479</v>
      </c>
      <c r="E369" s="4">
        <v>45745</v>
      </c>
      <c r="F369">
        <v>14</v>
      </c>
      <c r="G369" t="s">
        <v>639</v>
      </c>
      <c r="H369" t="s">
        <v>646</v>
      </c>
      <c r="I369" t="s">
        <v>683</v>
      </c>
      <c r="J369" t="s">
        <v>1521</v>
      </c>
      <c r="K369" t="s">
        <v>698</v>
      </c>
      <c r="L369" t="s">
        <v>703</v>
      </c>
      <c r="M369" t="s">
        <v>704</v>
      </c>
      <c r="N369" t="s">
        <v>719</v>
      </c>
      <c r="O369" t="s">
        <v>1092</v>
      </c>
      <c r="P369">
        <v>935.83</v>
      </c>
      <c r="Q369">
        <v>2303.46</v>
      </c>
      <c r="R369" t="s">
        <v>1496</v>
      </c>
      <c r="S369" s="31">
        <v>0.105</v>
      </c>
      <c r="T369">
        <v>9</v>
      </c>
      <c r="U369">
        <v>18554.370299999999</v>
      </c>
      <c r="V369">
        <v>663079.87309999997</v>
      </c>
      <c r="W369">
        <v>8422.4700000000012</v>
      </c>
      <c r="X369">
        <v>10131.900299999998</v>
      </c>
      <c r="Y369" s="31">
        <v>0.54606543559174292</v>
      </c>
      <c r="Z369">
        <v>202503</v>
      </c>
      <c r="AA369">
        <v>202301</v>
      </c>
      <c r="AB369" t="s">
        <v>1469</v>
      </c>
      <c r="AC369">
        <v>26</v>
      </c>
      <c r="AD369" t="s">
        <v>1484</v>
      </c>
      <c r="AE369">
        <v>0</v>
      </c>
      <c r="AF369">
        <v>0</v>
      </c>
    </row>
    <row r="370" spans="1:32" x14ac:dyDescent="0.25">
      <c r="A370" t="s">
        <v>374</v>
      </c>
      <c r="B370" s="4">
        <v>45194</v>
      </c>
      <c r="C370" t="s">
        <v>1465</v>
      </c>
      <c r="D370" t="s">
        <v>1481</v>
      </c>
      <c r="E370" s="4">
        <v>45208</v>
      </c>
      <c r="F370">
        <v>14</v>
      </c>
      <c r="G370" t="s">
        <v>640</v>
      </c>
      <c r="H370" t="s">
        <v>652</v>
      </c>
      <c r="I370" t="s">
        <v>692</v>
      </c>
      <c r="J370" t="s">
        <v>1532</v>
      </c>
      <c r="K370" t="s">
        <v>697</v>
      </c>
      <c r="L370" t="s">
        <v>701</v>
      </c>
      <c r="M370" t="s">
        <v>705</v>
      </c>
      <c r="N370" t="s">
        <v>723</v>
      </c>
      <c r="O370" t="s">
        <v>1093</v>
      </c>
      <c r="P370">
        <v>1279.56</v>
      </c>
      <c r="Q370">
        <v>3083.8</v>
      </c>
      <c r="R370" t="s">
        <v>1492</v>
      </c>
      <c r="S370" s="31">
        <v>0.106</v>
      </c>
      <c r="T370">
        <v>5</v>
      </c>
      <c r="U370">
        <v>13784.586000000001</v>
      </c>
      <c r="V370">
        <v>644525.50280000002</v>
      </c>
      <c r="W370">
        <v>6397.7999999999993</v>
      </c>
      <c r="X370">
        <v>7386.7860000000019</v>
      </c>
      <c r="Y370" s="31">
        <v>0.53587289455047848</v>
      </c>
      <c r="Z370">
        <v>202309</v>
      </c>
      <c r="AA370">
        <v>202301</v>
      </c>
      <c r="AB370" t="s">
        <v>1465</v>
      </c>
      <c r="AC370">
        <v>8</v>
      </c>
      <c r="AD370" t="s">
        <v>1484</v>
      </c>
      <c r="AE370">
        <v>0</v>
      </c>
      <c r="AF370">
        <v>0</v>
      </c>
    </row>
    <row r="371" spans="1:32" x14ac:dyDescent="0.25">
      <c r="A371" t="s">
        <v>375</v>
      </c>
      <c r="B371" s="4">
        <v>45832</v>
      </c>
      <c r="C371" t="s">
        <v>1460</v>
      </c>
      <c r="D371" t="s">
        <v>1480</v>
      </c>
      <c r="E371" s="4">
        <v>45861</v>
      </c>
      <c r="F371">
        <v>29</v>
      </c>
      <c r="G371" t="s">
        <v>640</v>
      </c>
      <c r="H371" t="s">
        <v>645</v>
      </c>
      <c r="I371" t="s">
        <v>680</v>
      </c>
      <c r="J371" t="s">
        <v>1518</v>
      </c>
      <c r="K371" t="s">
        <v>695</v>
      </c>
      <c r="L371" t="s">
        <v>701</v>
      </c>
      <c r="M371" t="s">
        <v>706</v>
      </c>
      <c r="N371" t="s">
        <v>720</v>
      </c>
      <c r="O371" t="s">
        <v>1094</v>
      </c>
      <c r="P371">
        <v>255.4</v>
      </c>
      <c r="Q371">
        <v>322.70999999999998</v>
      </c>
      <c r="R371" t="s">
        <v>1490</v>
      </c>
      <c r="S371" s="31">
        <v>0.115</v>
      </c>
      <c r="T371">
        <v>16</v>
      </c>
      <c r="U371">
        <v>4569.5735999999997</v>
      </c>
      <c r="V371">
        <v>644525.50280000002</v>
      </c>
      <c r="W371">
        <v>4086.4</v>
      </c>
      <c r="X371">
        <v>483.17359999999962</v>
      </c>
      <c r="Y371" s="31">
        <v>0.10573713048412212</v>
      </c>
      <c r="Z371">
        <v>202506</v>
      </c>
      <c r="AA371">
        <v>202301</v>
      </c>
      <c r="AB371" t="s">
        <v>1458</v>
      </c>
      <c r="AC371">
        <v>29</v>
      </c>
      <c r="AD371" t="s">
        <v>1484</v>
      </c>
      <c r="AE371">
        <v>0</v>
      </c>
      <c r="AF371">
        <v>0</v>
      </c>
    </row>
    <row r="372" spans="1:32" x14ac:dyDescent="0.25">
      <c r="A372" t="s">
        <v>376</v>
      </c>
      <c r="B372" s="4">
        <v>45286</v>
      </c>
      <c r="C372" t="s">
        <v>1450</v>
      </c>
      <c r="D372" t="s">
        <v>1482</v>
      </c>
      <c r="E372" s="4">
        <v>45294</v>
      </c>
      <c r="F372">
        <v>8</v>
      </c>
      <c r="G372" t="s">
        <v>641</v>
      </c>
      <c r="H372" t="s">
        <v>649</v>
      </c>
      <c r="I372" t="s">
        <v>671</v>
      </c>
      <c r="J372" t="s">
        <v>1509</v>
      </c>
      <c r="K372" t="s">
        <v>697</v>
      </c>
      <c r="L372" t="s">
        <v>699</v>
      </c>
      <c r="M372" t="s">
        <v>716</v>
      </c>
      <c r="N372" t="s">
        <v>723</v>
      </c>
      <c r="O372" t="s">
        <v>1095</v>
      </c>
      <c r="P372">
        <v>492.75</v>
      </c>
      <c r="Q372">
        <v>731.29</v>
      </c>
      <c r="R372" t="s">
        <v>1490</v>
      </c>
      <c r="S372" s="31">
        <v>5.8000000000000003E-2</v>
      </c>
      <c r="T372">
        <v>6</v>
      </c>
      <c r="U372">
        <v>4133.25108</v>
      </c>
      <c r="V372">
        <v>644525.50280000002</v>
      </c>
      <c r="W372">
        <v>2956.5</v>
      </c>
      <c r="X372">
        <v>1176.75108</v>
      </c>
      <c r="Y372" s="31">
        <v>0.28470350753528384</v>
      </c>
      <c r="Z372">
        <v>202312</v>
      </c>
      <c r="AA372">
        <v>202301</v>
      </c>
      <c r="AB372" t="s">
        <v>1450</v>
      </c>
      <c r="AC372">
        <v>11</v>
      </c>
      <c r="AD372" t="s">
        <v>1484</v>
      </c>
      <c r="AE372">
        <v>0</v>
      </c>
      <c r="AF372">
        <v>0</v>
      </c>
    </row>
    <row r="373" spans="1:32" x14ac:dyDescent="0.25">
      <c r="A373" t="s">
        <v>377</v>
      </c>
      <c r="B373" s="4">
        <v>44962</v>
      </c>
      <c r="C373" t="s">
        <v>1451</v>
      </c>
      <c r="D373" t="s">
        <v>1479</v>
      </c>
      <c r="E373" s="4">
        <v>44985</v>
      </c>
      <c r="F373">
        <v>23</v>
      </c>
      <c r="G373" t="s">
        <v>640</v>
      </c>
      <c r="H373" t="s">
        <v>652</v>
      </c>
      <c r="I373" t="s">
        <v>689</v>
      </c>
      <c r="J373" t="s">
        <v>1528</v>
      </c>
      <c r="K373" t="s">
        <v>695</v>
      </c>
      <c r="L373" t="s">
        <v>702</v>
      </c>
      <c r="M373" t="s">
        <v>708</v>
      </c>
      <c r="N373" t="s">
        <v>722</v>
      </c>
      <c r="O373" t="s">
        <v>1096</v>
      </c>
      <c r="P373">
        <v>1214.49</v>
      </c>
      <c r="Q373">
        <v>1533.95</v>
      </c>
      <c r="R373" t="s">
        <v>1492</v>
      </c>
      <c r="S373" s="31">
        <v>0</v>
      </c>
      <c r="T373">
        <v>11</v>
      </c>
      <c r="U373">
        <v>16873.45</v>
      </c>
      <c r="V373">
        <v>644525.50280000002</v>
      </c>
      <c r="W373">
        <v>13359.39</v>
      </c>
      <c r="X373">
        <v>3514.0600000000013</v>
      </c>
      <c r="Y373" s="31">
        <v>0.20825972163369086</v>
      </c>
      <c r="Z373">
        <v>202302</v>
      </c>
      <c r="AA373">
        <v>202301</v>
      </c>
      <c r="AB373" t="s">
        <v>1451</v>
      </c>
      <c r="AC373">
        <v>1</v>
      </c>
      <c r="AD373" t="s">
        <v>1484</v>
      </c>
      <c r="AE373">
        <v>0</v>
      </c>
      <c r="AF373">
        <v>0</v>
      </c>
    </row>
    <row r="374" spans="1:32" x14ac:dyDescent="0.25">
      <c r="A374" t="s">
        <v>378</v>
      </c>
      <c r="B374" s="4">
        <v>45022</v>
      </c>
      <c r="C374" t="s">
        <v>1446</v>
      </c>
      <c r="D374" t="s">
        <v>1480</v>
      </c>
      <c r="E374" s="4">
        <v>45024</v>
      </c>
      <c r="F374">
        <v>2</v>
      </c>
      <c r="G374" t="s">
        <v>638</v>
      </c>
      <c r="H374" t="s">
        <v>643</v>
      </c>
      <c r="I374" t="s">
        <v>661</v>
      </c>
      <c r="J374" t="s">
        <v>1499</v>
      </c>
      <c r="K374" t="s">
        <v>697</v>
      </c>
      <c r="L374" t="s">
        <v>701</v>
      </c>
      <c r="M374" t="s">
        <v>715</v>
      </c>
      <c r="N374" t="s">
        <v>724</v>
      </c>
      <c r="O374" t="s">
        <v>1097</v>
      </c>
      <c r="P374">
        <v>720.35</v>
      </c>
      <c r="Q374">
        <v>1571.66</v>
      </c>
      <c r="R374" t="s">
        <v>1496</v>
      </c>
      <c r="S374" s="31">
        <v>0.107</v>
      </c>
      <c r="T374">
        <v>23</v>
      </c>
      <c r="U374">
        <v>32280.32474</v>
      </c>
      <c r="V374">
        <v>644525.50280000002</v>
      </c>
      <c r="W374">
        <v>16568.05</v>
      </c>
      <c r="X374">
        <v>15712.274740000001</v>
      </c>
      <c r="Y374" s="31">
        <v>0.4867446305622265</v>
      </c>
      <c r="Z374">
        <v>202304</v>
      </c>
      <c r="AA374">
        <v>202301</v>
      </c>
      <c r="AB374" t="s">
        <v>1446</v>
      </c>
      <c r="AC374">
        <v>3</v>
      </c>
      <c r="AD374" t="s">
        <v>1483</v>
      </c>
      <c r="AE374">
        <v>1</v>
      </c>
      <c r="AF374">
        <v>0</v>
      </c>
    </row>
    <row r="375" spans="1:32" x14ac:dyDescent="0.25">
      <c r="A375" t="s">
        <v>379</v>
      </c>
      <c r="B375" s="4">
        <v>45751</v>
      </c>
      <c r="C375" t="s">
        <v>1473</v>
      </c>
      <c r="D375" t="s">
        <v>1480</v>
      </c>
      <c r="E375" s="4">
        <v>45757</v>
      </c>
      <c r="F375">
        <v>6</v>
      </c>
      <c r="G375" t="s">
        <v>641</v>
      </c>
      <c r="H375" t="s">
        <v>650</v>
      </c>
      <c r="I375" t="s">
        <v>666</v>
      </c>
      <c r="J375" t="s">
        <v>1504</v>
      </c>
      <c r="K375" t="s">
        <v>695</v>
      </c>
      <c r="L375" t="s">
        <v>703</v>
      </c>
      <c r="M375" t="s">
        <v>717</v>
      </c>
      <c r="N375" t="s">
        <v>720</v>
      </c>
      <c r="O375" t="s">
        <v>1098</v>
      </c>
      <c r="P375">
        <v>290.14</v>
      </c>
      <c r="Q375">
        <v>250.73</v>
      </c>
      <c r="R375" t="s">
        <v>1490</v>
      </c>
      <c r="S375" s="31">
        <v>3.4000000000000002E-2</v>
      </c>
      <c r="T375">
        <v>17</v>
      </c>
      <c r="U375">
        <v>4117.4880599999997</v>
      </c>
      <c r="V375">
        <v>644525.50280000002</v>
      </c>
      <c r="W375">
        <v>4932.38</v>
      </c>
      <c r="X375">
        <v>-814.89194000000043</v>
      </c>
      <c r="Y375" s="31">
        <v>-0.19790997038131072</v>
      </c>
      <c r="Z375">
        <v>202504</v>
      </c>
      <c r="AA375">
        <v>202301</v>
      </c>
      <c r="AB375" t="s">
        <v>1446</v>
      </c>
      <c r="AC375">
        <v>27</v>
      </c>
      <c r="AD375" t="s">
        <v>1483</v>
      </c>
      <c r="AE375">
        <v>1</v>
      </c>
      <c r="AF375">
        <v>0</v>
      </c>
    </row>
    <row r="376" spans="1:32" x14ac:dyDescent="0.25">
      <c r="A376" t="s">
        <v>380</v>
      </c>
      <c r="B376" s="4">
        <v>45429</v>
      </c>
      <c r="C376" t="s">
        <v>1463</v>
      </c>
      <c r="D376" t="s">
        <v>1480</v>
      </c>
      <c r="E376" s="4">
        <v>45439</v>
      </c>
      <c r="F376">
        <v>10</v>
      </c>
      <c r="G376" t="s">
        <v>640</v>
      </c>
      <c r="H376" t="s">
        <v>652</v>
      </c>
      <c r="I376" t="s">
        <v>689</v>
      </c>
      <c r="J376" t="s">
        <v>1528</v>
      </c>
      <c r="K376" t="s">
        <v>695</v>
      </c>
      <c r="L376" t="s">
        <v>700</v>
      </c>
      <c r="M376" t="s">
        <v>704</v>
      </c>
      <c r="N376" t="s">
        <v>722</v>
      </c>
      <c r="O376" t="s">
        <v>1099</v>
      </c>
      <c r="P376">
        <v>1484.23</v>
      </c>
      <c r="Q376">
        <v>3472.81</v>
      </c>
      <c r="R376" t="s">
        <v>1492</v>
      </c>
      <c r="S376" s="31">
        <v>0.25600000000000001</v>
      </c>
      <c r="T376">
        <v>12</v>
      </c>
      <c r="U376">
        <v>31005.24768</v>
      </c>
      <c r="V376">
        <v>644525.50280000002</v>
      </c>
      <c r="W376">
        <v>17810.760000000002</v>
      </c>
      <c r="X376">
        <v>13194.487679999998</v>
      </c>
      <c r="Y376" s="31">
        <v>0.42555659661803413</v>
      </c>
      <c r="Z376">
        <v>202405</v>
      </c>
      <c r="AA376">
        <v>202301</v>
      </c>
      <c r="AB376" t="s">
        <v>1462</v>
      </c>
      <c r="AC376">
        <v>16</v>
      </c>
      <c r="AD376" t="s">
        <v>1484</v>
      </c>
      <c r="AE376">
        <v>0</v>
      </c>
      <c r="AF376">
        <v>1</v>
      </c>
    </row>
    <row r="377" spans="1:32" x14ac:dyDescent="0.25">
      <c r="A377" t="s">
        <v>381</v>
      </c>
      <c r="B377" s="4">
        <v>45354</v>
      </c>
      <c r="C377" t="s">
        <v>1470</v>
      </c>
      <c r="D377" t="s">
        <v>1479</v>
      </c>
      <c r="E377" s="4">
        <v>45370</v>
      </c>
      <c r="F377">
        <v>16</v>
      </c>
      <c r="G377" t="s">
        <v>639</v>
      </c>
      <c r="H377" t="s">
        <v>651</v>
      </c>
      <c r="I377" t="s">
        <v>691</v>
      </c>
      <c r="J377" t="s">
        <v>1530</v>
      </c>
      <c r="K377" t="s">
        <v>696</v>
      </c>
      <c r="L377" t="s">
        <v>702</v>
      </c>
      <c r="M377" t="s">
        <v>707</v>
      </c>
      <c r="N377" t="s">
        <v>722</v>
      </c>
      <c r="O377" t="s">
        <v>1100</v>
      </c>
      <c r="P377">
        <v>988.83</v>
      </c>
      <c r="Q377">
        <v>1206.04</v>
      </c>
      <c r="R377" t="s">
        <v>1496</v>
      </c>
      <c r="S377" s="31">
        <v>6.3E-2</v>
      </c>
      <c r="T377">
        <v>34</v>
      </c>
      <c r="U377">
        <v>38422.022320000004</v>
      </c>
      <c r="V377">
        <v>644525.50280000002</v>
      </c>
      <c r="W377">
        <v>33620.22</v>
      </c>
      <c r="X377">
        <v>4801.8023200000025</v>
      </c>
      <c r="Y377" s="31">
        <v>0.12497526236406606</v>
      </c>
      <c r="Z377">
        <v>202403</v>
      </c>
      <c r="AA377">
        <v>202301</v>
      </c>
      <c r="AB377" t="s">
        <v>1469</v>
      </c>
      <c r="AC377">
        <v>14</v>
      </c>
      <c r="AD377" t="s">
        <v>1484</v>
      </c>
      <c r="AE377">
        <v>0</v>
      </c>
      <c r="AF377">
        <v>0</v>
      </c>
    </row>
    <row r="378" spans="1:32" x14ac:dyDescent="0.25">
      <c r="A378" t="s">
        <v>382</v>
      </c>
      <c r="B378" s="4">
        <v>45835</v>
      </c>
      <c r="C378" t="s">
        <v>1460</v>
      </c>
      <c r="D378" t="s">
        <v>1480</v>
      </c>
      <c r="E378" s="4">
        <v>45849</v>
      </c>
      <c r="F378">
        <v>14</v>
      </c>
      <c r="G378" t="s">
        <v>639</v>
      </c>
      <c r="H378" t="s">
        <v>651</v>
      </c>
      <c r="I378" t="s">
        <v>677</v>
      </c>
      <c r="J378" t="s">
        <v>1515</v>
      </c>
      <c r="K378" t="s">
        <v>697</v>
      </c>
      <c r="L378" t="s">
        <v>701</v>
      </c>
      <c r="M378" t="s">
        <v>708</v>
      </c>
      <c r="N378" t="s">
        <v>721</v>
      </c>
      <c r="O378" t="s">
        <v>1101</v>
      </c>
      <c r="P378">
        <v>1227.7</v>
      </c>
      <c r="Q378">
        <v>2197.23</v>
      </c>
      <c r="R378" t="s">
        <v>1492</v>
      </c>
      <c r="S378" s="31">
        <v>9.9000000000000005E-2</v>
      </c>
      <c r="T378">
        <v>22</v>
      </c>
      <c r="U378">
        <v>43553.493060000001</v>
      </c>
      <c r="V378">
        <v>644525.50280000002</v>
      </c>
      <c r="W378">
        <v>27009.4</v>
      </c>
      <c r="X378">
        <v>16544.093059999999</v>
      </c>
      <c r="Y378" s="31">
        <v>0.37985685871873898</v>
      </c>
      <c r="Z378">
        <v>202506</v>
      </c>
      <c r="AA378">
        <v>202301</v>
      </c>
      <c r="AB378" t="s">
        <v>1458</v>
      </c>
      <c r="AC378">
        <v>29</v>
      </c>
      <c r="AD378" t="s">
        <v>1484</v>
      </c>
      <c r="AE378">
        <v>0</v>
      </c>
      <c r="AF378">
        <v>0</v>
      </c>
    </row>
    <row r="379" spans="1:32" x14ac:dyDescent="0.25">
      <c r="A379" t="s">
        <v>383</v>
      </c>
      <c r="B379" s="4">
        <v>44998</v>
      </c>
      <c r="C379" t="s">
        <v>1469</v>
      </c>
      <c r="D379" t="s">
        <v>1479</v>
      </c>
      <c r="E379" s="4">
        <v>45020</v>
      </c>
      <c r="F379">
        <v>22</v>
      </c>
      <c r="G379" t="s">
        <v>638</v>
      </c>
      <c r="H379" t="s">
        <v>653</v>
      </c>
      <c r="I379" t="s">
        <v>679</v>
      </c>
      <c r="J379" t="s">
        <v>1517</v>
      </c>
      <c r="K379" t="s">
        <v>697</v>
      </c>
      <c r="L379" t="s">
        <v>699</v>
      </c>
      <c r="M379" t="s">
        <v>712</v>
      </c>
      <c r="N379" t="s">
        <v>719</v>
      </c>
      <c r="O379" t="s">
        <v>1102</v>
      </c>
      <c r="P379">
        <v>1113.7</v>
      </c>
      <c r="Q379">
        <v>1620.6</v>
      </c>
      <c r="R379" t="s">
        <v>1492</v>
      </c>
      <c r="S379" s="31">
        <v>0.13900000000000001</v>
      </c>
      <c r="T379">
        <v>11</v>
      </c>
      <c r="U379">
        <v>15348.702599999999</v>
      </c>
      <c r="V379">
        <v>644525.50280000002</v>
      </c>
      <c r="W379">
        <v>12250.7</v>
      </c>
      <c r="X379">
        <v>3098.002599999998</v>
      </c>
      <c r="Y379" s="31">
        <v>0.20184133348182787</v>
      </c>
      <c r="Z379">
        <v>202303</v>
      </c>
      <c r="AA379">
        <v>202301</v>
      </c>
      <c r="AB379" t="s">
        <v>1469</v>
      </c>
      <c r="AC379">
        <v>2</v>
      </c>
      <c r="AD379" t="s">
        <v>1484</v>
      </c>
      <c r="AE379">
        <v>0</v>
      </c>
      <c r="AF379">
        <v>0</v>
      </c>
    </row>
    <row r="380" spans="1:32" x14ac:dyDescent="0.25">
      <c r="A380" t="s">
        <v>384</v>
      </c>
      <c r="B380" s="4">
        <v>45664</v>
      </c>
      <c r="C380" t="s">
        <v>1455</v>
      </c>
      <c r="D380" t="s">
        <v>1479</v>
      </c>
      <c r="E380" s="4">
        <v>45677</v>
      </c>
      <c r="F380">
        <v>13</v>
      </c>
      <c r="G380" t="s">
        <v>638</v>
      </c>
      <c r="H380" t="s">
        <v>653</v>
      </c>
      <c r="I380" t="s">
        <v>687</v>
      </c>
      <c r="J380" t="s">
        <v>1525</v>
      </c>
      <c r="K380" t="s">
        <v>693</v>
      </c>
      <c r="L380" t="s">
        <v>703</v>
      </c>
      <c r="M380" t="s">
        <v>715</v>
      </c>
      <c r="N380" t="s">
        <v>721</v>
      </c>
      <c r="O380" t="s">
        <v>1103</v>
      </c>
      <c r="P380">
        <v>432.13</v>
      </c>
      <c r="Q380">
        <v>1034.6600000000001</v>
      </c>
      <c r="R380" t="s">
        <v>1490</v>
      </c>
      <c r="S380" s="31">
        <v>9.1999999999999998E-2</v>
      </c>
      <c r="T380">
        <v>7</v>
      </c>
      <c r="U380">
        <v>6576.298960000001</v>
      </c>
      <c r="V380">
        <v>629176.80019999994</v>
      </c>
      <c r="W380">
        <v>3024.91</v>
      </c>
      <c r="X380">
        <v>3551.3889600000011</v>
      </c>
      <c r="Y380" s="31">
        <v>0.54002851476204794</v>
      </c>
      <c r="Z380">
        <v>202501</v>
      </c>
      <c r="AA380">
        <v>202301</v>
      </c>
      <c r="AB380" t="s">
        <v>1477</v>
      </c>
      <c r="AC380">
        <v>24</v>
      </c>
      <c r="AD380" t="s">
        <v>1484</v>
      </c>
      <c r="AE380">
        <v>0</v>
      </c>
      <c r="AF380">
        <v>0</v>
      </c>
    </row>
    <row r="381" spans="1:32" x14ac:dyDescent="0.25">
      <c r="A381" t="s">
        <v>385</v>
      </c>
      <c r="B381" s="4">
        <v>45694</v>
      </c>
      <c r="C381" t="s">
        <v>1453</v>
      </c>
      <c r="D381" t="s">
        <v>1479</v>
      </c>
      <c r="E381" s="4">
        <v>45703</v>
      </c>
      <c r="F381">
        <v>9</v>
      </c>
      <c r="G381" t="s">
        <v>640</v>
      </c>
      <c r="H381" t="s">
        <v>647</v>
      </c>
      <c r="I381" t="s">
        <v>662</v>
      </c>
      <c r="J381" t="s">
        <v>1500</v>
      </c>
      <c r="K381" t="s">
        <v>695</v>
      </c>
      <c r="L381" t="s">
        <v>702</v>
      </c>
      <c r="M381" t="s">
        <v>713</v>
      </c>
      <c r="N381" t="s">
        <v>721</v>
      </c>
      <c r="O381" t="s">
        <v>1104</v>
      </c>
      <c r="P381">
        <v>837.39</v>
      </c>
      <c r="Q381">
        <v>1905.42</v>
      </c>
      <c r="R381" t="s">
        <v>1496</v>
      </c>
      <c r="S381" s="31">
        <v>3.2000000000000001E-2</v>
      </c>
      <c r="T381">
        <v>18</v>
      </c>
      <c r="U381">
        <v>33200.038079999998</v>
      </c>
      <c r="V381">
        <v>629176.80019999994</v>
      </c>
      <c r="W381">
        <v>15073.02</v>
      </c>
      <c r="X381">
        <v>18127.018079999998</v>
      </c>
      <c r="Y381" s="31">
        <v>0.54599389423350919</v>
      </c>
      <c r="Z381">
        <v>202502</v>
      </c>
      <c r="AA381">
        <v>202301</v>
      </c>
      <c r="AB381" t="s">
        <v>1451</v>
      </c>
      <c r="AC381">
        <v>25</v>
      </c>
      <c r="AD381" t="s">
        <v>1484</v>
      </c>
      <c r="AE381">
        <v>0</v>
      </c>
      <c r="AF381">
        <v>0</v>
      </c>
    </row>
    <row r="382" spans="1:32" x14ac:dyDescent="0.25">
      <c r="A382" t="s">
        <v>386</v>
      </c>
      <c r="B382" s="4">
        <v>45688</v>
      </c>
      <c r="C382" t="s">
        <v>1455</v>
      </c>
      <c r="D382" t="s">
        <v>1479</v>
      </c>
      <c r="E382" s="4">
        <v>45705</v>
      </c>
      <c r="F382">
        <v>17</v>
      </c>
      <c r="G382" t="s">
        <v>641</v>
      </c>
      <c r="H382" t="s">
        <v>650</v>
      </c>
      <c r="I382" t="s">
        <v>675</v>
      </c>
      <c r="J382" t="s">
        <v>1513</v>
      </c>
      <c r="K382" t="s">
        <v>698</v>
      </c>
      <c r="L382" t="s">
        <v>699</v>
      </c>
      <c r="M382" t="s">
        <v>714</v>
      </c>
      <c r="N382" t="s">
        <v>719</v>
      </c>
      <c r="O382" t="s">
        <v>803</v>
      </c>
      <c r="P382">
        <v>378.26</v>
      </c>
      <c r="Q382">
        <v>541.55999999999995</v>
      </c>
      <c r="R382" t="s">
        <v>1490</v>
      </c>
      <c r="S382" s="31">
        <v>0.16300000000000001</v>
      </c>
      <c r="T382">
        <v>25</v>
      </c>
      <c r="U382">
        <v>11332.142999999998</v>
      </c>
      <c r="V382">
        <v>629176.80019999994</v>
      </c>
      <c r="W382">
        <v>9456.5</v>
      </c>
      <c r="X382">
        <v>1875.6429999999982</v>
      </c>
      <c r="Y382" s="31">
        <v>0.16551529573885526</v>
      </c>
      <c r="Z382">
        <v>202501</v>
      </c>
      <c r="AA382">
        <v>202301</v>
      </c>
      <c r="AB382" t="s">
        <v>1477</v>
      </c>
      <c r="AC382">
        <v>24</v>
      </c>
      <c r="AD382" t="s">
        <v>1484</v>
      </c>
      <c r="AE382">
        <v>0</v>
      </c>
      <c r="AF382">
        <v>0</v>
      </c>
    </row>
    <row r="383" spans="1:32" x14ac:dyDescent="0.25">
      <c r="A383" t="s">
        <v>387</v>
      </c>
      <c r="B383" s="4">
        <v>45876</v>
      </c>
      <c r="C383" t="s">
        <v>1449</v>
      </c>
      <c r="D383" t="s">
        <v>1481</v>
      </c>
      <c r="E383" s="4">
        <v>45906</v>
      </c>
      <c r="F383">
        <v>30</v>
      </c>
      <c r="G383" t="s">
        <v>640</v>
      </c>
      <c r="H383" t="s">
        <v>645</v>
      </c>
      <c r="I383" t="s">
        <v>673</v>
      </c>
      <c r="J383" t="s">
        <v>1511</v>
      </c>
      <c r="K383" t="s">
        <v>694</v>
      </c>
      <c r="L383" t="s">
        <v>703</v>
      </c>
      <c r="M383" t="s">
        <v>716</v>
      </c>
      <c r="N383" t="s">
        <v>721</v>
      </c>
      <c r="O383" t="s">
        <v>1105</v>
      </c>
      <c r="P383">
        <v>833.73</v>
      </c>
      <c r="Q383">
        <v>1116.5999999999999</v>
      </c>
      <c r="R383" t="s">
        <v>1496</v>
      </c>
      <c r="S383" s="31">
        <v>0.17599999999999999</v>
      </c>
      <c r="T383">
        <v>14</v>
      </c>
      <c r="U383">
        <v>12881.097599999999</v>
      </c>
      <c r="V383">
        <v>617844.65720000002</v>
      </c>
      <c r="W383">
        <v>11672.220000000001</v>
      </c>
      <c r="X383">
        <v>1208.877599999998</v>
      </c>
      <c r="Y383" s="31">
        <v>9.3848958958279924E-2</v>
      </c>
      <c r="Z383">
        <v>202508</v>
      </c>
      <c r="AA383">
        <v>202301</v>
      </c>
      <c r="AB383" t="s">
        <v>1448</v>
      </c>
      <c r="AC383">
        <v>31</v>
      </c>
      <c r="AD383" t="s">
        <v>1484</v>
      </c>
      <c r="AE383">
        <v>0</v>
      </c>
      <c r="AF383">
        <v>0</v>
      </c>
    </row>
    <row r="384" spans="1:32" x14ac:dyDescent="0.25">
      <c r="A384" t="s">
        <v>388</v>
      </c>
      <c r="B384" s="4">
        <v>45861</v>
      </c>
      <c r="C384" t="s">
        <v>1457</v>
      </c>
      <c r="D384" t="s">
        <v>1481</v>
      </c>
      <c r="E384" s="4">
        <v>45886</v>
      </c>
      <c r="F384">
        <v>25</v>
      </c>
      <c r="G384" t="s">
        <v>641</v>
      </c>
      <c r="H384" t="s">
        <v>650</v>
      </c>
      <c r="I384" t="s">
        <v>666</v>
      </c>
      <c r="J384" t="s">
        <v>1504</v>
      </c>
      <c r="K384" t="s">
        <v>694</v>
      </c>
      <c r="L384" t="s">
        <v>700</v>
      </c>
      <c r="M384" t="s">
        <v>706</v>
      </c>
      <c r="N384" t="s">
        <v>720</v>
      </c>
      <c r="O384" t="s">
        <v>1106</v>
      </c>
      <c r="P384">
        <v>1142.06</v>
      </c>
      <c r="Q384">
        <v>1455</v>
      </c>
      <c r="R384" t="s">
        <v>1492</v>
      </c>
      <c r="S384" s="31">
        <v>7.8E-2</v>
      </c>
      <c r="T384">
        <v>28</v>
      </c>
      <c r="U384">
        <v>37562.28</v>
      </c>
      <c r="V384">
        <v>617844.65720000002</v>
      </c>
      <c r="W384">
        <v>31977.68</v>
      </c>
      <c r="X384">
        <v>5584.5999999999985</v>
      </c>
      <c r="Y384" s="31">
        <v>0.1486757459877302</v>
      </c>
      <c r="Z384">
        <v>202507</v>
      </c>
      <c r="AA384">
        <v>202301</v>
      </c>
      <c r="AB384" t="s">
        <v>1468</v>
      </c>
      <c r="AC384">
        <v>30</v>
      </c>
      <c r="AD384" t="s">
        <v>1484</v>
      </c>
      <c r="AE384">
        <v>0</v>
      </c>
      <c r="AF384">
        <v>0</v>
      </c>
    </row>
    <row r="385" spans="1:32" x14ac:dyDescent="0.25">
      <c r="A385" t="s">
        <v>389</v>
      </c>
      <c r="B385" s="4">
        <v>45097</v>
      </c>
      <c r="C385" t="s">
        <v>1458</v>
      </c>
      <c r="D385" t="s">
        <v>1480</v>
      </c>
      <c r="E385" s="4">
        <v>45115</v>
      </c>
      <c r="F385">
        <v>18</v>
      </c>
      <c r="G385" t="s">
        <v>640</v>
      </c>
      <c r="H385" t="s">
        <v>652</v>
      </c>
      <c r="I385" t="s">
        <v>692</v>
      </c>
      <c r="J385" t="s">
        <v>1532</v>
      </c>
      <c r="K385" t="s">
        <v>696</v>
      </c>
      <c r="L385" t="s">
        <v>701</v>
      </c>
      <c r="M385" t="s">
        <v>711</v>
      </c>
      <c r="N385" t="s">
        <v>721</v>
      </c>
      <c r="O385" t="s">
        <v>1107</v>
      </c>
      <c r="P385">
        <v>1145.53</v>
      </c>
      <c r="Q385">
        <v>1278.3</v>
      </c>
      <c r="R385" t="s">
        <v>1492</v>
      </c>
      <c r="S385" s="31">
        <v>0.09</v>
      </c>
      <c r="T385">
        <v>41</v>
      </c>
      <c r="U385">
        <v>47693.373</v>
      </c>
      <c r="V385">
        <v>617844.65720000002</v>
      </c>
      <c r="W385">
        <v>46966.729999999996</v>
      </c>
      <c r="X385">
        <v>726.64300000000367</v>
      </c>
      <c r="Y385" s="31">
        <v>1.5235722581416158E-2</v>
      </c>
      <c r="Z385">
        <v>202306</v>
      </c>
      <c r="AA385">
        <v>202301</v>
      </c>
      <c r="AB385" t="s">
        <v>1458</v>
      </c>
      <c r="AC385">
        <v>5</v>
      </c>
      <c r="AD385" t="s">
        <v>1484</v>
      </c>
      <c r="AE385">
        <v>0</v>
      </c>
      <c r="AF385">
        <v>0</v>
      </c>
    </row>
    <row r="386" spans="1:32" x14ac:dyDescent="0.25">
      <c r="A386" t="s">
        <v>390</v>
      </c>
      <c r="B386" s="4">
        <v>45491</v>
      </c>
      <c r="C386" t="s">
        <v>1456</v>
      </c>
      <c r="D386" t="s">
        <v>1481</v>
      </c>
      <c r="E386" s="4">
        <v>45511</v>
      </c>
      <c r="F386">
        <v>20</v>
      </c>
      <c r="G386" t="s">
        <v>641</v>
      </c>
      <c r="H386" t="s">
        <v>649</v>
      </c>
      <c r="I386" t="s">
        <v>665</v>
      </c>
      <c r="J386" t="s">
        <v>1503</v>
      </c>
      <c r="K386" t="s">
        <v>693</v>
      </c>
      <c r="L386" t="s">
        <v>699</v>
      </c>
      <c r="M386" t="s">
        <v>713</v>
      </c>
      <c r="N386" t="s">
        <v>724</v>
      </c>
      <c r="O386" t="s">
        <v>1108</v>
      </c>
      <c r="P386">
        <v>941.35</v>
      </c>
      <c r="Q386">
        <v>899.83</v>
      </c>
      <c r="R386" t="s">
        <v>1496</v>
      </c>
      <c r="S386" s="31">
        <v>5.8000000000000003E-2</v>
      </c>
      <c r="T386">
        <v>18</v>
      </c>
      <c r="U386">
        <v>15257.51748</v>
      </c>
      <c r="V386">
        <v>617844.65720000002</v>
      </c>
      <c r="W386">
        <v>16944.3</v>
      </c>
      <c r="X386">
        <v>-1686.7825199999988</v>
      </c>
      <c r="Y386" s="31">
        <v>-0.11055419220139073</v>
      </c>
      <c r="Z386">
        <v>202407</v>
      </c>
      <c r="AA386">
        <v>202301</v>
      </c>
      <c r="AB386" t="s">
        <v>1468</v>
      </c>
      <c r="AC386">
        <v>18</v>
      </c>
      <c r="AD386" t="s">
        <v>1484</v>
      </c>
      <c r="AE386">
        <v>0</v>
      </c>
      <c r="AF386">
        <v>0</v>
      </c>
    </row>
    <row r="387" spans="1:32" x14ac:dyDescent="0.25">
      <c r="A387" t="s">
        <v>391</v>
      </c>
      <c r="B387" s="4">
        <v>45066</v>
      </c>
      <c r="C387" t="s">
        <v>1462</v>
      </c>
      <c r="D387" t="s">
        <v>1480</v>
      </c>
      <c r="E387" s="4">
        <v>45096</v>
      </c>
      <c r="F387">
        <v>30</v>
      </c>
      <c r="G387" t="s">
        <v>639</v>
      </c>
      <c r="H387" t="s">
        <v>646</v>
      </c>
      <c r="I387" t="s">
        <v>672</v>
      </c>
      <c r="J387" t="s">
        <v>1510</v>
      </c>
      <c r="K387" t="s">
        <v>695</v>
      </c>
      <c r="L387" t="s">
        <v>701</v>
      </c>
      <c r="M387" t="s">
        <v>714</v>
      </c>
      <c r="N387" t="s">
        <v>723</v>
      </c>
      <c r="O387" t="s">
        <v>1109</v>
      </c>
      <c r="P387">
        <v>1161.2</v>
      </c>
      <c r="Q387">
        <v>878.73</v>
      </c>
      <c r="R387" t="s">
        <v>1492</v>
      </c>
      <c r="S387" s="31">
        <v>0.19</v>
      </c>
      <c r="T387">
        <v>31</v>
      </c>
      <c r="U387">
        <v>22064.910300000003</v>
      </c>
      <c r="V387">
        <v>617844.65720000002</v>
      </c>
      <c r="W387">
        <v>35997.200000000004</v>
      </c>
      <c r="X387">
        <v>-13932.289700000001</v>
      </c>
      <c r="Y387" s="31">
        <v>-0.63142290227212028</v>
      </c>
      <c r="Z387">
        <v>202305</v>
      </c>
      <c r="AA387">
        <v>202301</v>
      </c>
      <c r="AB387" t="s">
        <v>1462</v>
      </c>
      <c r="AC387">
        <v>4</v>
      </c>
      <c r="AD387" t="s">
        <v>1484</v>
      </c>
      <c r="AE387">
        <v>0</v>
      </c>
      <c r="AF387">
        <v>0</v>
      </c>
    </row>
    <row r="388" spans="1:32" x14ac:dyDescent="0.25">
      <c r="A388" t="s">
        <v>392</v>
      </c>
      <c r="B388" s="4">
        <v>45789</v>
      </c>
      <c r="C388" t="s">
        <v>1471</v>
      </c>
      <c r="D388" t="s">
        <v>1480</v>
      </c>
      <c r="E388" s="4">
        <v>45803</v>
      </c>
      <c r="F388">
        <v>14</v>
      </c>
      <c r="G388" t="s">
        <v>639</v>
      </c>
      <c r="H388" t="s">
        <v>646</v>
      </c>
      <c r="I388" t="s">
        <v>688</v>
      </c>
      <c r="J388" t="s">
        <v>1526</v>
      </c>
      <c r="K388" t="s">
        <v>693</v>
      </c>
      <c r="L388" t="s">
        <v>701</v>
      </c>
      <c r="M388" t="s">
        <v>707</v>
      </c>
      <c r="N388" t="s">
        <v>720</v>
      </c>
      <c r="O388" t="s">
        <v>1110</v>
      </c>
      <c r="P388">
        <v>320.12</v>
      </c>
      <c r="Q388">
        <v>594.41999999999996</v>
      </c>
      <c r="R388" t="s">
        <v>1490</v>
      </c>
      <c r="S388" s="31">
        <v>0.104</v>
      </c>
      <c r="T388">
        <v>18</v>
      </c>
      <c r="U388">
        <v>9586.8057599999993</v>
      </c>
      <c r="V388">
        <v>617844.65720000002</v>
      </c>
      <c r="W388">
        <v>5762.16</v>
      </c>
      <c r="X388">
        <v>3824.6457599999994</v>
      </c>
      <c r="Y388" s="31">
        <v>0.39894891538931104</v>
      </c>
      <c r="Z388">
        <v>202505</v>
      </c>
      <c r="AA388">
        <v>202301</v>
      </c>
      <c r="AB388" t="s">
        <v>1462</v>
      </c>
      <c r="AC388">
        <v>28</v>
      </c>
      <c r="AD388" t="s">
        <v>1484</v>
      </c>
      <c r="AE388">
        <v>0</v>
      </c>
      <c r="AF388">
        <v>0</v>
      </c>
    </row>
    <row r="389" spans="1:32" x14ac:dyDescent="0.25">
      <c r="A389" t="s">
        <v>393</v>
      </c>
      <c r="B389" s="4">
        <v>45419</v>
      </c>
      <c r="C389" t="s">
        <v>1463</v>
      </c>
      <c r="D389" t="s">
        <v>1480</v>
      </c>
      <c r="E389" s="4">
        <v>45424</v>
      </c>
      <c r="F389">
        <v>5</v>
      </c>
      <c r="G389" t="s">
        <v>638</v>
      </c>
      <c r="H389" t="s">
        <v>643</v>
      </c>
      <c r="I389" t="s">
        <v>661</v>
      </c>
      <c r="J389" t="s">
        <v>1499</v>
      </c>
      <c r="K389" t="s">
        <v>695</v>
      </c>
      <c r="L389" t="s">
        <v>702</v>
      </c>
      <c r="M389" t="s">
        <v>708</v>
      </c>
      <c r="N389" t="s">
        <v>723</v>
      </c>
      <c r="O389" t="s">
        <v>1111</v>
      </c>
      <c r="P389">
        <v>1163.99</v>
      </c>
      <c r="Q389">
        <v>1617.85</v>
      </c>
      <c r="R389" t="s">
        <v>1492</v>
      </c>
      <c r="S389" s="31">
        <v>0.127</v>
      </c>
      <c r="T389">
        <v>14</v>
      </c>
      <c r="U389">
        <v>19773.362699999998</v>
      </c>
      <c r="V389">
        <v>617844.65720000002</v>
      </c>
      <c r="W389">
        <v>16295.86</v>
      </c>
      <c r="X389">
        <v>3477.5026999999973</v>
      </c>
      <c r="Y389" s="31">
        <v>0.17586804797749436</v>
      </c>
      <c r="Z389">
        <v>202405</v>
      </c>
      <c r="AA389">
        <v>202301</v>
      </c>
      <c r="AB389" t="s">
        <v>1462</v>
      </c>
      <c r="AC389">
        <v>16</v>
      </c>
      <c r="AD389" t="s">
        <v>1483</v>
      </c>
      <c r="AE389">
        <v>1</v>
      </c>
      <c r="AF389">
        <v>0</v>
      </c>
    </row>
    <row r="390" spans="1:32" x14ac:dyDescent="0.25">
      <c r="A390" t="s">
        <v>394</v>
      </c>
      <c r="B390" s="4">
        <v>45199</v>
      </c>
      <c r="C390" t="s">
        <v>1465</v>
      </c>
      <c r="D390" t="s">
        <v>1481</v>
      </c>
      <c r="E390" s="4">
        <v>45202</v>
      </c>
      <c r="F390">
        <v>3</v>
      </c>
      <c r="G390" t="s">
        <v>639</v>
      </c>
      <c r="H390" t="s">
        <v>651</v>
      </c>
      <c r="I390" t="s">
        <v>691</v>
      </c>
      <c r="J390" t="s">
        <v>1530</v>
      </c>
      <c r="K390" t="s">
        <v>695</v>
      </c>
      <c r="L390" t="s">
        <v>699</v>
      </c>
      <c r="M390" t="s">
        <v>705</v>
      </c>
      <c r="N390" t="s">
        <v>723</v>
      </c>
      <c r="O390" t="s">
        <v>1112</v>
      </c>
      <c r="P390">
        <v>1019.36</v>
      </c>
      <c r="Q390">
        <v>972.91</v>
      </c>
      <c r="R390" t="s">
        <v>1492</v>
      </c>
      <c r="S390" s="31">
        <v>0.14699999999999999</v>
      </c>
      <c r="T390">
        <v>17</v>
      </c>
      <c r="U390">
        <v>14108.16791</v>
      </c>
      <c r="V390">
        <v>617844.65720000002</v>
      </c>
      <c r="W390">
        <v>17329.12</v>
      </c>
      <c r="X390">
        <v>-3220.9520899999989</v>
      </c>
      <c r="Y390" s="31">
        <v>-0.22830406545678819</v>
      </c>
      <c r="Z390">
        <v>202309</v>
      </c>
      <c r="AA390">
        <v>202301</v>
      </c>
      <c r="AB390" t="s">
        <v>1465</v>
      </c>
      <c r="AC390">
        <v>8</v>
      </c>
      <c r="AD390" t="s">
        <v>1483</v>
      </c>
      <c r="AE390">
        <v>1</v>
      </c>
      <c r="AF390">
        <v>0</v>
      </c>
    </row>
    <row r="391" spans="1:32" x14ac:dyDescent="0.25">
      <c r="A391" t="s">
        <v>395</v>
      </c>
      <c r="B391" s="4">
        <v>45225</v>
      </c>
      <c r="C391" t="s">
        <v>1476</v>
      </c>
      <c r="D391" t="s">
        <v>1482</v>
      </c>
      <c r="E391" s="4">
        <v>45235</v>
      </c>
      <c r="F391">
        <v>10</v>
      </c>
      <c r="G391" t="s">
        <v>638</v>
      </c>
      <c r="H391" t="s">
        <v>653</v>
      </c>
      <c r="I391" t="s">
        <v>687</v>
      </c>
      <c r="J391" t="s">
        <v>1525</v>
      </c>
      <c r="K391" t="s">
        <v>695</v>
      </c>
      <c r="L391" t="s">
        <v>700</v>
      </c>
      <c r="M391" t="s">
        <v>706</v>
      </c>
      <c r="N391" t="s">
        <v>723</v>
      </c>
      <c r="O391" t="s">
        <v>1113</v>
      </c>
      <c r="P391">
        <v>20.38</v>
      </c>
      <c r="Q391">
        <v>42.56</v>
      </c>
      <c r="R391" t="s">
        <v>1490</v>
      </c>
      <c r="S391" s="31">
        <v>7.1999999999999995E-2</v>
      </c>
      <c r="T391">
        <v>11</v>
      </c>
      <c r="U391">
        <v>434.45248000000004</v>
      </c>
      <c r="V391">
        <v>617844.65720000002</v>
      </c>
      <c r="W391">
        <v>224.17999999999998</v>
      </c>
      <c r="X391">
        <v>210.27248000000006</v>
      </c>
      <c r="Y391" s="31">
        <v>0.48399419885921713</v>
      </c>
      <c r="Z391">
        <v>202310</v>
      </c>
      <c r="AA391">
        <v>202301</v>
      </c>
      <c r="AB391" t="s">
        <v>1476</v>
      </c>
      <c r="AC391">
        <v>9</v>
      </c>
      <c r="AD391" t="s">
        <v>1484</v>
      </c>
      <c r="AE391">
        <v>0</v>
      </c>
      <c r="AF391">
        <v>0</v>
      </c>
    </row>
    <row r="392" spans="1:32" x14ac:dyDescent="0.25">
      <c r="A392" t="s">
        <v>396</v>
      </c>
      <c r="B392" s="4">
        <v>45823</v>
      </c>
      <c r="C392" t="s">
        <v>1460</v>
      </c>
      <c r="D392" t="s">
        <v>1480</v>
      </c>
      <c r="E392" s="4">
        <v>45838</v>
      </c>
      <c r="F392">
        <v>15</v>
      </c>
      <c r="G392" t="s">
        <v>638</v>
      </c>
      <c r="H392" t="s">
        <v>653</v>
      </c>
      <c r="I392" t="s">
        <v>674</v>
      </c>
      <c r="J392" t="s">
        <v>1512</v>
      </c>
      <c r="K392" t="s">
        <v>697</v>
      </c>
      <c r="L392" t="s">
        <v>703</v>
      </c>
      <c r="M392" t="s">
        <v>704</v>
      </c>
      <c r="N392" t="s">
        <v>724</v>
      </c>
      <c r="O392" t="s">
        <v>1114</v>
      </c>
      <c r="P392">
        <v>1487.59</v>
      </c>
      <c r="Q392">
        <v>1480.83</v>
      </c>
      <c r="R392" t="s">
        <v>1492</v>
      </c>
      <c r="S392" s="31">
        <v>8.9999999999999993E-3</v>
      </c>
      <c r="T392">
        <v>11</v>
      </c>
      <c r="U392">
        <v>16142.527829999999</v>
      </c>
      <c r="V392">
        <v>617844.65720000002</v>
      </c>
      <c r="W392">
        <v>16363.49</v>
      </c>
      <c r="X392">
        <v>-220.9621700000007</v>
      </c>
      <c r="Y392" s="31">
        <v>-1.3688201273492908E-2</v>
      </c>
      <c r="Z392">
        <v>202506</v>
      </c>
      <c r="AA392">
        <v>202301</v>
      </c>
      <c r="AB392" t="s">
        <v>1458</v>
      </c>
      <c r="AC392">
        <v>29</v>
      </c>
      <c r="AD392" t="s">
        <v>1484</v>
      </c>
      <c r="AE392">
        <v>0</v>
      </c>
      <c r="AF392">
        <v>0</v>
      </c>
    </row>
    <row r="393" spans="1:32" x14ac:dyDescent="0.25">
      <c r="A393" t="s">
        <v>397</v>
      </c>
      <c r="B393" s="4">
        <v>45514</v>
      </c>
      <c r="C393" t="s">
        <v>1474</v>
      </c>
      <c r="D393" t="s">
        <v>1481</v>
      </c>
      <c r="E393" s="4">
        <v>45542</v>
      </c>
      <c r="F393">
        <v>28</v>
      </c>
      <c r="G393" t="s">
        <v>641</v>
      </c>
      <c r="H393" t="s">
        <v>649</v>
      </c>
      <c r="I393" t="s">
        <v>665</v>
      </c>
      <c r="J393" t="s">
        <v>1503</v>
      </c>
      <c r="K393" t="s">
        <v>695</v>
      </c>
      <c r="L393" t="s">
        <v>703</v>
      </c>
      <c r="M393" t="s">
        <v>713</v>
      </c>
      <c r="N393" t="s">
        <v>720</v>
      </c>
      <c r="O393" t="s">
        <v>1115</v>
      </c>
      <c r="P393">
        <v>229.96</v>
      </c>
      <c r="Q393">
        <v>564.26</v>
      </c>
      <c r="R393" t="s">
        <v>1490</v>
      </c>
      <c r="S393" s="31">
        <v>0.105</v>
      </c>
      <c r="T393">
        <v>5</v>
      </c>
      <c r="U393">
        <v>2525.0635000000002</v>
      </c>
      <c r="V393">
        <v>617844.65720000002</v>
      </c>
      <c r="W393">
        <v>1149.8</v>
      </c>
      <c r="X393">
        <v>1375.2635000000002</v>
      </c>
      <c r="Y393" s="31">
        <v>0.54464511486542821</v>
      </c>
      <c r="Z393">
        <v>202408</v>
      </c>
      <c r="AA393">
        <v>202301</v>
      </c>
      <c r="AB393" t="s">
        <v>1448</v>
      </c>
      <c r="AC393">
        <v>19</v>
      </c>
      <c r="AD393" t="s">
        <v>1484</v>
      </c>
      <c r="AE393">
        <v>0</v>
      </c>
      <c r="AF393">
        <v>0</v>
      </c>
    </row>
    <row r="394" spans="1:32" x14ac:dyDescent="0.25">
      <c r="A394" t="s">
        <v>398</v>
      </c>
      <c r="B394" s="4">
        <v>45208</v>
      </c>
      <c r="C394" t="s">
        <v>1476</v>
      </c>
      <c r="D394" t="s">
        <v>1482</v>
      </c>
      <c r="E394" s="4">
        <v>45225</v>
      </c>
      <c r="F394">
        <v>17</v>
      </c>
      <c r="G394" t="s">
        <v>639</v>
      </c>
      <c r="H394" t="s">
        <v>651</v>
      </c>
      <c r="I394" t="s">
        <v>677</v>
      </c>
      <c r="J394" t="s">
        <v>1515</v>
      </c>
      <c r="K394" t="s">
        <v>696</v>
      </c>
      <c r="L394" t="s">
        <v>701</v>
      </c>
      <c r="M394" t="s">
        <v>704</v>
      </c>
      <c r="N394" t="s">
        <v>719</v>
      </c>
      <c r="O394" t="s">
        <v>1116</v>
      </c>
      <c r="P394">
        <v>1132.03</v>
      </c>
      <c r="Q394">
        <v>2137.21</v>
      </c>
      <c r="R394" t="s">
        <v>1492</v>
      </c>
      <c r="S394" s="31">
        <v>0.35699999999999998</v>
      </c>
      <c r="T394">
        <v>35</v>
      </c>
      <c r="U394">
        <v>48097.911050000002</v>
      </c>
      <c r="V394">
        <v>617844.65720000002</v>
      </c>
      <c r="W394">
        <v>39621.049999999996</v>
      </c>
      <c r="X394">
        <v>8476.8610500000068</v>
      </c>
      <c r="Y394" s="31">
        <v>0.17624177152284051</v>
      </c>
      <c r="Z394">
        <v>202310</v>
      </c>
      <c r="AA394">
        <v>202301</v>
      </c>
      <c r="AB394" t="s">
        <v>1476</v>
      </c>
      <c r="AC394">
        <v>9</v>
      </c>
      <c r="AD394" t="s">
        <v>1484</v>
      </c>
      <c r="AE394">
        <v>0</v>
      </c>
      <c r="AF394">
        <v>1</v>
      </c>
    </row>
    <row r="395" spans="1:32" x14ac:dyDescent="0.25">
      <c r="A395" t="s">
        <v>399</v>
      </c>
      <c r="B395" s="4">
        <v>45360</v>
      </c>
      <c r="C395" t="s">
        <v>1470</v>
      </c>
      <c r="D395" t="s">
        <v>1479</v>
      </c>
      <c r="E395" s="4">
        <v>45377</v>
      </c>
      <c r="F395">
        <v>17</v>
      </c>
      <c r="G395" t="s">
        <v>640</v>
      </c>
      <c r="H395" t="s">
        <v>652</v>
      </c>
      <c r="I395" t="s">
        <v>678</v>
      </c>
      <c r="J395" t="s">
        <v>1516</v>
      </c>
      <c r="K395" t="s">
        <v>694</v>
      </c>
      <c r="L395" t="s">
        <v>703</v>
      </c>
      <c r="M395" t="s">
        <v>706</v>
      </c>
      <c r="N395" t="s">
        <v>722</v>
      </c>
      <c r="O395" t="s">
        <v>1117</v>
      </c>
      <c r="P395">
        <v>1137.4100000000001</v>
      </c>
      <c r="Q395">
        <v>1680.93</v>
      </c>
      <c r="R395" t="s">
        <v>1492</v>
      </c>
      <c r="S395" s="31">
        <v>0.254</v>
      </c>
      <c r="T395">
        <v>9</v>
      </c>
      <c r="U395">
        <v>11285.764020000001</v>
      </c>
      <c r="V395">
        <v>569746.74615000014</v>
      </c>
      <c r="W395">
        <v>10236.69</v>
      </c>
      <c r="X395">
        <v>1049.07402</v>
      </c>
      <c r="Y395" s="31">
        <v>9.2955516183121464E-2</v>
      </c>
      <c r="Z395">
        <v>202403</v>
      </c>
      <c r="AA395">
        <v>202301</v>
      </c>
      <c r="AB395" t="s">
        <v>1469</v>
      </c>
      <c r="AC395">
        <v>14</v>
      </c>
      <c r="AD395" t="s">
        <v>1484</v>
      </c>
      <c r="AE395">
        <v>0</v>
      </c>
      <c r="AF395">
        <v>1</v>
      </c>
    </row>
    <row r="396" spans="1:32" x14ac:dyDescent="0.25">
      <c r="A396" t="s">
        <v>400</v>
      </c>
      <c r="B396" s="4">
        <v>45075</v>
      </c>
      <c r="C396" t="s">
        <v>1462</v>
      </c>
      <c r="D396" t="s">
        <v>1480</v>
      </c>
      <c r="E396" s="4">
        <v>45097</v>
      </c>
      <c r="F396">
        <v>22</v>
      </c>
      <c r="G396" t="s">
        <v>641</v>
      </c>
      <c r="H396" t="s">
        <v>650</v>
      </c>
      <c r="I396" t="s">
        <v>675</v>
      </c>
      <c r="J396" t="s">
        <v>1513</v>
      </c>
      <c r="K396" t="s">
        <v>697</v>
      </c>
      <c r="L396" t="s">
        <v>703</v>
      </c>
      <c r="M396" t="s">
        <v>715</v>
      </c>
      <c r="N396" t="s">
        <v>719</v>
      </c>
      <c r="O396" t="s">
        <v>1118</v>
      </c>
      <c r="P396">
        <v>1295.3900000000001</v>
      </c>
      <c r="Q396">
        <v>2905.06</v>
      </c>
      <c r="R396" t="s">
        <v>1492</v>
      </c>
      <c r="S396" s="31">
        <v>0.14799999999999999</v>
      </c>
      <c r="T396">
        <v>8</v>
      </c>
      <c r="U396">
        <v>19800.88896</v>
      </c>
      <c r="V396">
        <v>569746.74615000014</v>
      </c>
      <c r="W396">
        <v>10363.120000000001</v>
      </c>
      <c r="X396">
        <v>9437.7689599999994</v>
      </c>
      <c r="Y396" s="31">
        <v>0.47663359857556614</v>
      </c>
      <c r="Z396">
        <v>202305</v>
      </c>
      <c r="AA396">
        <v>202301</v>
      </c>
      <c r="AB396" t="s">
        <v>1462</v>
      </c>
      <c r="AC396">
        <v>4</v>
      </c>
      <c r="AD396" t="s">
        <v>1484</v>
      </c>
      <c r="AE396">
        <v>0</v>
      </c>
      <c r="AF396">
        <v>0</v>
      </c>
    </row>
    <row r="397" spans="1:32" x14ac:dyDescent="0.25">
      <c r="A397" t="s">
        <v>401</v>
      </c>
      <c r="B397" s="4">
        <v>45804</v>
      </c>
      <c r="C397" t="s">
        <v>1471</v>
      </c>
      <c r="D397" t="s">
        <v>1480</v>
      </c>
      <c r="E397" s="4">
        <v>45816</v>
      </c>
      <c r="F397">
        <v>12</v>
      </c>
      <c r="G397" t="s">
        <v>639</v>
      </c>
      <c r="H397" t="s">
        <v>644</v>
      </c>
      <c r="I397" t="s">
        <v>658</v>
      </c>
      <c r="J397" t="s">
        <v>1495</v>
      </c>
      <c r="K397" t="s">
        <v>693</v>
      </c>
      <c r="L397" t="s">
        <v>699</v>
      </c>
      <c r="M397" t="s">
        <v>714</v>
      </c>
      <c r="N397" t="s">
        <v>725</v>
      </c>
      <c r="O397" t="s">
        <v>1119</v>
      </c>
      <c r="P397">
        <v>653.6</v>
      </c>
      <c r="Q397">
        <v>842.09</v>
      </c>
      <c r="R397" t="s">
        <v>1496</v>
      </c>
      <c r="S397" s="31">
        <v>9.8000000000000004E-2</v>
      </c>
      <c r="T397">
        <v>19</v>
      </c>
      <c r="U397">
        <v>14431.738420000001</v>
      </c>
      <c r="V397">
        <v>549945.85719000013</v>
      </c>
      <c r="W397">
        <v>12418.4</v>
      </c>
      <c r="X397">
        <v>2013.3384200000019</v>
      </c>
      <c r="Y397" s="31">
        <v>0.13950768517324622</v>
      </c>
      <c r="Z397">
        <v>202505</v>
      </c>
      <c r="AA397">
        <v>202303</v>
      </c>
      <c r="AB397" t="s">
        <v>1462</v>
      </c>
      <c r="AC397">
        <v>26</v>
      </c>
      <c r="AD397" t="s">
        <v>1484</v>
      </c>
      <c r="AE397">
        <v>0</v>
      </c>
      <c r="AF397">
        <v>0</v>
      </c>
    </row>
    <row r="398" spans="1:32" x14ac:dyDescent="0.25">
      <c r="A398" t="s">
        <v>402</v>
      </c>
      <c r="B398" s="4">
        <v>45890</v>
      </c>
      <c r="C398" t="s">
        <v>1449</v>
      </c>
      <c r="D398" t="s">
        <v>1481</v>
      </c>
      <c r="E398" s="4">
        <v>45914</v>
      </c>
      <c r="F398">
        <v>24</v>
      </c>
      <c r="G398" t="s">
        <v>641</v>
      </c>
      <c r="H398" t="s">
        <v>648</v>
      </c>
      <c r="I398" t="s">
        <v>663</v>
      </c>
      <c r="J398" t="s">
        <v>1501</v>
      </c>
      <c r="K398" t="s">
        <v>695</v>
      </c>
      <c r="L398" t="s">
        <v>700</v>
      </c>
      <c r="M398" t="s">
        <v>712</v>
      </c>
      <c r="N398" t="s">
        <v>724</v>
      </c>
      <c r="O398" t="s">
        <v>1120</v>
      </c>
      <c r="P398">
        <v>1397.67</v>
      </c>
      <c r="Q398">
        <v>3131.37</v>
      </c>
      <c r="R398" t="s">
        <v>1492</v>
      </c>
      <c r="S398" s="31">
        <v>0.10299999999999999</v>
      </c>
      <c r="T398">
        <v>20</v>
      </c>
      <c r="U398">
        <v>56176.777799999996</v>
      </c>
      <c r="V398">
        <v>549945.85719000013</v>
      </c>
      <c r="W398">
        <v>27953.4</v>
      </c>
      <c r="X398">
        <v>28223.377799999995</v>
      </c>
      <c r="Y398" s="31">
        <v>0.50240293062874808</v>
      </c>
      <c r="Z398">
        <v>202508</v>
      </c>
      <c r="AA398">
        <v>202301</v>
      </c>
      <c r="AB398" t="s">
        <v>1448</v>
      </c>
      <c r="AC398">
        <v>31</v>
      </c>
      <c r="AD398" t="s">
        <v>1484</v>
      </c>
      <c r="AE398">
        <v>0</v>
      </c>
      <c r="AF398">
        <v>0</v>
      </c>
    </row>
    <row r="399" spans="1:32" x14ac:dyDescent="0.25">
      <c r="A399" t="s">
        <v>403</v>
      </c>
      <c r="B399" s="4">
        <v>45638</v>
      </c>
      <c r="C399" t="s">
        <v>1478</v>
      </c>
      <c r="D399" t="s">
        <v>1482</v>
      </c>
      <c r="E399" s="4">
        <v>45646</v>
      </c>
      <c r="F399">
        <v>8</v>
      </c>
      <c r="G399" t="s">
        <v>639</v>
      </c>
      <c r="H399" t="s">
        <v>644</v>
      </c>
      <c r="I399" t="s">
        <v>681</v>
      </c>
      <c r="J399" t="s">
        <v>1519</v>
      </c>
      <c r="K399" t="s">
        <v>693</v>
      </c>
      <c r="L399" t="s">
        <v>699</v>
      </c>
      <c r="M399" t="s">
        <v>709</v>
      </c>
      <c r="N399" t="s">
        <v>723</v>
      </c>
      <c r="O399" t="s">
        <v>1121</v>
      </c>
      <c r="P399">
        <v>1202.47</v>
      </c>
      <c r="Q399">
        <v>1444.72</v>
      </c>
      <c r="R399" t="s">
        <v>1492</v>
      </c>
      <c r="S399" s="31">
        <v>0.24099999999999999</v>
      </c>
      <c r="T399">
        <v>17</v>
      </c>
      <c r="U399">
        <v>18641.222160000001</v>
      </c>
      <c r="V399">
        <v>549945.85719000013</v>
      </c>
      <c r="W399">
        <v>20441.990000000002</v>
      </c>
      <c r="X399">
        <v>-1800.7678400000004</v>
      </c>
      <c r="Y399" s="31">
        <v>-9.6601382921343834E-2</v>
      </c>
      <c r="Z399">
        <v>202412</v>
      </c>
      <c r="AA399">
        <v>202303</v>
      </c>
      <c r="AB399" t="s">
        <v>1450</v>
      </c>
      <c r="AC399">
        <v>21</v>
      </c>
      <c r="AD399" t="s">
        <v>1484</v>
      </c>
      <c r="AE399">
        <v>0</v>
      </c>
      <c r="AF399">
        <v>1</v>
      </c>
    </row>
    <row r="400" spans="1:32" x14ac:dyDescent="0.25">
      <c r="A400" t="s">
        <v>404</v>
      </c>
      <c r="B400" s="4">
        <v>45914</v>
      </c>
      <c r="C400" t="s">
        <v>1467</v>
      </c>
      <c r="D400" t="s">
        <v>1481</v>
      </c>
      <c r="E400" s="4">
        <v>45923</v>
      </c>
      <c r="F400">
        <v>9</v>
      </c>
      <c r="G400" t="s">
        <v>638</v>
      </c>
      <c r="H400" t="s">
        <v>653</v>
      </c>
      <c r="I400" t="s">
        <v>679</v>
      </c>
      <c r="J400" t="s">
        <v>1517</v>
      </c>
      <c r="K400" t="s">
        <v>695</v>
      </c>
      <c r="L400" t="s">
        <v>700</v>
      </c>
      <c r="M400" t="s">
        <v>718</v>
      </c>
      <c r="N400" t="s">
        <v>719</v>
      </c>
      <c r="O400" t="s">
        <v>1122</v>
      </c>
      <c r="P400">
        <v>1310.3</v>
      </c>
      <c r="Q400">
        <v>2875.8</v>
      </c>
      <c r="R400" t="s">
        <v>1492</v>
      </c>
      <c r="S400" s="31">
        <v>8.3000000000000004E-2</v>
      </c>
      <c r="T400">
        <v>5</v>
      </c>
      <c r="U400">
        <v>13185.543</v>
      </c>
      <c r="V400">
        <v>549945.85719000013</v>
      </c>
      <c r="W400">
        <v>6551.5</v>
      </c>
      <c r="X400">
        <v>6634.0429999999997</v>
      </c>
      <c r="Y400" s="31">
        <v>0.50313005691157353</v>
      </c>
      <c r="Z400">
        <v>202509</v>
      </c>
      <c r="AA400">
        <v>202301</v>
      </c>
      <c r="AB400" t="s">
        <v>1465</v>
      </c>
      <c r="AC400">
        <v>32</v>
      </c>
      <c r="AD400" t="s">
        <v>1484</v>
      </c>
      <c r="AE400">
        <v>0</v>
      </c>
      <c r="AF400">
        <v>0</v>
      </c>
    </row>
    <row r="401" spans="1:32" x14ac:dyDescent="0.25">
      <c r="A401" t="s">
        <v>405</v>
      </c>
      <c r="B401" s="4">
        <v>45541</v>
      </c>
      <c r="C401" t="s">
        <v>1466</v>
      </c>
      <c r="D401" t="s">
        <v>1481</v>
      </c>
      <c r="E401" s="4">
        <v>45569</v>
      </c>
      <c r="F401">
        <v>28</v>
      </c>
      <c r="G401" t="s">
        <v>638</v>
      </c>
      <c r="H401" t="s">
        <v>653</v>
      </c>
      <c r="I401" t="s">
        <v>687</v>
      </c>
      <c r="J401" t="s">
        <v>1525</v>
      </c>
      <c r="K401" t="s">
        <v>693</v>
      </c>
      <c r="L401" t="s">
        <v>701</v>
      </c>
      <c r="M401" t="s">
        <v>718</v>
      </c>
      <c r="N401" t="s">
        <v>724</v>
      </c>
      <c r="O401" t="s">
        <v>1123</v>
      </c>
      <c r="P401">
        <v>1174.17</v>
      </c>
      <c r="Q401">
        <v>1641.61</v>
      </c>
      <c r="R401" t="s">
        <v>1492</v>
      </c>
      <c r="S401" s="31">
        <v>0.122</v>
      </c>
      <c r="T401">
        <v>9</v>
      </c>
      <c r="U401">
        <v>12972.00222</v>
      </c>
      <c r="V401">
        <v>536760.31419000006</v>
      </c>
      <c r="W401">
        <v>10567.53</v>
      </c>
      <c r="X401">
        <v>2404.4722199999997</v>
      </c>
      <c r="Y401" s="31">
        <v>0.18535860380079394</v>
      </c>
      <c r="Z401">
        <v>202409</v>
      </c>
      <c r="AA401">
        <v>202301</v>
      </c>
      <c r="AB401" t="s">
        <v>1465</v>
      </c>
      <c r="AC401">
        <v>20</v>
      </c>
      <c r="AD401" t="s">
        <v>1484</v>
      </c>
      <c r="AE401">
        <v>0</v>
      </c>
      <c r="AF401">
        <v>0</v>
      </c>
    </row>
    <row r="402" spans="1:32" x14ac:dyDescent="0.25">
      <c r="A402" t="s">
        <v>406</v>
      </c>
      <c r="B402" s="4">
        <v>45759</v>
      </c>
      <c r="C402" t="s">
        <v>1473</v>
      </c>
      <c r="D402" t="s">
        <v>1480</v>
      </c>
      <c r="E402" s="4">
        <v>45777</v>
      </c>
      <c r="F402">
        <v>18</v>
      </c>
      <c r="G402" t="s">
        <v>638</v>
      </c>
      <c r="H402" t="s">
        <v>642</v>
      </c>
      <c r="I402" t="s">
        <v>654</v>
      </c>
      <c r="J402" t="s">
        <v>1489</v>
      </c>
      <c r="K402" t="s">
        <v>693</v>
      </c>
      <c r="L402" t="s">
        <v>701</v>
      </c>
      <c r="M402" t="s">
        <v>713</v>
      </c>
      <c r="N402" t="s">
        <v>721</v>
      </c>
      <c r="O402" t="s">
        <v>1124</v>
      </c>
      <c r="P402">
        <v>1119.04</v>
      </c>
      <c r="Q402">
        <v>1299.02</v>
      </c>
      <c r="R402" t="s">
        <v>1492</v>
      </c>
      <c r="S402" s="31">
        <v>2.5000000000000001E-2</v>
      </c>
      <c r="T402">
        <v>14</v>
      </c>
      <c r="U402">
        <v>17731.623</v>
      </c>
      <c r="V402">
        <v>536760.31419000006</v>
      </c>
      <c r="W402">
        <v>15666.56</v>
      </c>
      <c r="X402">
        <v>2065.0630000000001</v>
      </c>
      <c r="Y402" s="31">
        <v>0.11646215352085933</v>
      </c>
      <c r="Z402">
        <v>202504</v>
      </c>
      <c r="AA402">
        <v>202301</v>
      </c>
      <c r="AB402" t="s">
        <v>1446</v>
      </c>
      <c r="AC402">
        <v>27</v>
      </c>
      <c r="AD402" t="s">
        <v>1484</v>
      </c>
      <c r="AE402">
        <v>0</v>
      </c>
      <c r="AF402">
        <v>0</v>
      </c>
    </row>
    <row r="403" spans="1:32" x14ac:dyDescent="0.25">
      <c r="A403" t="s">
        <v>407</v>
      </c>
      <c r="B403" s="4">
        <v>45516</v>
      </c>
      <c r="C403" t="s">
        <v>1474</v>
      </c>
      <c r="D403" t="s">
        <v>1481</v>
      </c>
      <c r="E403" s="4">
        <v>45519</v>
      </c>
      <c r="F403">
        <v>3</v>
      </c>
      <c r="G403" t="s">
        <v>640</v>
      </c>
      <c r="H403" t="s">
        <v>652</v>
      </c>
      <c r="I403" t="s">
        <v>669</v>
      </c>
      <c r="J403" t="s">
        <v>1507</v>
      </c>
      <c r="K403" t="s">
        <v>693</v>
      </c>
      <c r="L403" t="s">
        <v>701</v>
      </c>
      <c r="M403" t="s">
        <v>718</v>
      </c>
      <c r="N403" t="s">
        <v>720</v>
      </c>
      <c r="O403" t="s">
        <v>1125</v>
      </c>
      <c r="P403">
        <v>850.7</v>
      </c>
      <c r="Q403">
        <v>1118.56</v>
      </c>
      <c r="R403" t="s">
        <v>1496</v>
      </c>
      <c r="S403" s="31">
        <v>0.18</v>
      </c>
      <c r="T403">
        <v>19</v>
      </c>
      <c r="U403">
        <v>17427.164800000002</v>
      </c>
      <c r="V403">
        <v>536760.31419000006</v>
      </c>
      <c r="W403">
        <v>16163.300000000001</v>
      </c>
      <c r="X403">
        <v>1263.8648000000012</v>
      </c>
      <c r="Y403" s="31">
        <v>7.2522685962090688E-2</v>
      </c>
      <c r="Z403">
        <v>202408</v>
      </c>
      <c r="AA403">
        <v>202301</v>
      </c>
      <c r="AB403" t="s">
        <v>1448</v>
      </c>
      <c r="AC403">
        <v>19</v>
      </c>
      <c r="AD403" t="s">
        <v>1483</v>
      </c>
      <c r="AE403">
        <v>1</v>
      </c>
      <c r="AF403">
        <v>0</v>
      </c>
    </row>
    <row r="404" spans="1:32" x14ac:dyDescent="0.25">
      <c r="A404" t="s">
        <v>408</v>
      </c>
      <c r="B404" s="4">
        <v>45601</v>
      </c>
      <c r="C404" t="s">
        <v>1472</v>
      </c>
      <c r="D404" t="s">
        <v>1482</v>
      </c>
      <c r="E404" s="4">
        <v>45604</v>
      </c>
      <c r="F404">
        <v>3</v>
      </c>
      <c r="G404" t="s">
        <v>640</v>
      </c>
      <c r="H404" t="s">
        <v>645</v>
      </c>
      <c r="I404" t="s">
        <v>659</v>
      </c>
      <c r="J404" t="s">
        <v>1497</v>
      </c>
      <c r="K404" t="s">
        <v>694</v>
      </c>
      <c r="L404" t="s">
        <v>701</v>
      </c>
      <c r="M404" t="s">
        <v>711</v>
      </c>
      <c r="N404" t="s">
        <v>719</v>
      </c>
      <c r="O404" t="s">
        <v>1126</v>
      </c>
      <c r="P404">
        <v>1020.4</v>
      </c>
      <c r="Q404">
        <v>1184.71</v>
      </c>
      <c r="R404" t="s">
        <v>1492</v>
      </c>
      <c r="S404" s="31">
        <v>0.106</v>
      </c>
      <c r="T404">
        <v>16</v>
      </c>
      <c r="U404">
        <v>16946.091840000001</v>
      </c>
      <c r="V404">
        <v>536760.31419000006</v>
      </c>
      <c r="W404">
        <v>16326.4</v>
      </c>
      <c r="X404">
        <v>619.69184000000132</v>
      </c>
      <c r="Y404" s="31">
        <v>3.6568422138328345E-2</v>
      </c>
      <c r="Z404">
        <v>202411</v>
      </c>
      <c r="AA404">
        <v>202301</v>
      </c>
      <c r="AB404" t="s">
        <v>1475</v>
      </c>
      <c r="AC404">
        <v>22</v>
      </c>
      <c r="AD404" t="s">
        <v>1483</v>
      </c>
      <c r="AE404">
        <v>1</v>
      </c>
      <c r="AF404">
        <v>0</v>
      </c>
    </row>
    <row r="405" spans="1:32" x14ac:dyDescent="0.25">
      <c r="A405" t="s">
        <v>409</v>
      </c>
      <c r="B405" s="4">
        <v>45497</v>
      </c>
      <c r="C405" t="s">
        <v>1456</v>
      </c>
      <c r="D405" t="s">
        <v>1481</v>
      </c>
      <c r="E405" s="4">
        <v>45512</v>
      </c>
      <c r="F405">
        <v>15</v>
      </c>
      <c r="G405" t="s">
        <v>641</v>
      </c>
      <c r="H405" t="s">
        <v>649</v>
      </c>
      <c r="I405" t="s">
        <v>665</v>
      </c>
      <c r="J405" t="s">
        <v>1503</v>
      </c>
      <c r="K405" t="s">
        <v>698</v>
      </c>
      <c r="L405" t="s">
        <v>701</v>
      </c>
      <c r="M405" t="s">
        <v>714</v>
      </c>
      <c r="N405" t="s">
        <v>723</v>
      </c>
      <c r="O405" t="s">
        <v>1127</v>
      </c>
      <c r="P405">
        <v>501.5</v>
      </c>
      <c r="Q405">
        <v>1201.47</v>
      </c>
      <c r="R405" t="s">
        <v>1496</v>
      </c>
      <c r="S405" s="31">
        <v>0.126</v>
      </c>
      <c r="T405">
        <v>5</v>
      </c>
      <c r="U405">
        <v>5250.4239000000007</v>
      </c>
      <c r="V405">
        <v>519814.22235000005</v>
      </c>
      <c r="W405">
        <v>2507.5</v>
      </c>
      <c r="X405">
        <v>2742.9239000000007</v>
      </c>
      <c r="Y405" s="31">
        <v>0.52241951359394057</v>
      </c>
      <c r="Z405">
        <v>202407</v>
      </c>
      <c r="AA405">
        <v>202301</v>
      </c>
      <c r="AB405" t="s">
        <v>1468</v>
      </c>
      <c r="AC405">
        <v>18</v>
      </c>
      <c r="AD405" t="s">
        <v>1484</v>
      </c>
      <c r="AE405">
        <v>0</v>
      </c>
      <c r="AF405">
        <v>0</v>
      </c>
    </row>
    <row r="406" spans="1:32" x14ac:dyDescent="0.25">
      <c r="A406" t="s">
        <v>410</v>
      </c>
      <c r="B406" s="4">
        <v>45677</v>
      </c>
      <c r="C406" t="s">
        <v>1455</v>
      </c>
      <c r="D406" t="s">
        <v>1479</v>
      </c>
      <c r="E406" s="4">
        <v>45691</v>
      </c>
      <c r="F406">
        <v>14</v>
      </c>
      <c r="G406" t="s">
        <v>640</v>
      </c>
      <c r="H406" t="s">
        <v>647</v>
      </c>
      <c r="I406" t="s">
        <v>664</v>
      </c>
      <c r="J406" t="s">
        <v>1502</v>
      </c>
      <c r="K406" t="s">
        <v>698</v>
      </c>
      <c r="L406" t="s">
        <v>701</v>
      </c>
      <c r="M406" t="s">
        <v>713</v>
      </c>
      <c r="N406" t="s">
        <v>719</v>
      </c>
      <c r="O406" t="s">
        <v>1128</v>
      </c>
      <c r="P406">
        <v>974.11</v>
      </c>
      <c r="Q406">
        <v>880.99</v>
      </c>
      <c r="R406" t="s">
        <v>1496</v>
      </c>
      <c r="S406" s="31">
        <v>0.111</v>
      </c>
      <c r="T406">
        <v>10</v>
      </c>
      <c r="U406">
        <v>7832.0010999999995</v>
      </c>
      <c r="V406">
        <v>519814.22235000005</v>
      </c>
      <c r="W406">
        <v>9741.1</v>
      </c>
      <c r="X406">
        <v>-1909.0989000000009</v>
      </c>
      <c r="Y406" s="31">
        <v>-0.2437562093805121</v>
      </c>
      <c r="Z406">
        <v>202501</v>
      </c>
      <c r="AA406">
        <v>202301</v>
      </c>
      <c r="AB406" t="s">
        <v>1477</v>
      </c>
      <c r="AC406">
        <v>24</v>
      </c>
      <c r="AD406" t="s">
        <v>1484</v>
      </c>
      <c r="AE406">
        <v>0</v>
      </c>
      <c r="AF406">
        <v>0</v>
      </c>
    </row>
    <row r="407" spans="1:32" x14ac:dyDescent="0.25">
      <c r="A407" t="s">
        <v>411</v>
      </c>
      <c r="B407" s="4">
        <v>44991</v>
      </c>
      <c r="C407" t="s">
        <v>1469</v>
      </c>
      <c r="D407" t="s">
        <v>1479</v>
      </c>
      <c r="E407" s="4">
        <v>45020</v>
      </c>
      <c r="F407">
        <v>29</v>
      </c>
      <c r="G407" t="s">
        <v>639</v>
      </c>
      <c r="H407" t="s">
        <v>651</v>
      </c>
      <c r="I407" t="s">
        <v>691</v>
      </c>
      <c r="J407" t="s">
        <v>1530</v>
      </c>
      <c r="K407" t="s">
        <v>697</v>
      </c>
      <c r="L407" t="s">
        <v>703</v>
      </c>
      <c r="M407" t="s">
        <v>704</v>
      </c>
      <c r="N407" t="s">
        <v>724</v>
      </c>
      <c r="O407" t="s">
        <v>1129</v>
      </c>
      <c r="P407">
        <v>1126.29</v>
      </c>
      <c r="Q407">
        <v>2050.87</v>
      </c>
      <c r="R407" t="s">
        <v>1492</v>
      </c>
      <c r="S407" s="31">
        <v>6.4000000000000001E-2</v>
      </c>
      <c r="T407">
        <v>7</v>
      </c>
      <c r="U407">
        <v>13437.300239999999</v>
      </c>
      <c r="V407">
        <v>511982.22125000006</v>
      </c>
      <c r="W407">
        <v>7884.03</v>
      </c>
      <c r="X407">
        <v>5553.2702399999989</v>
      </c>
      <c r="Y407" s="31">
        <v>0.41327276616690373</v>
      </c>
      <c r="Z407">
        <v>202303</v>
      </c>
      <c r="AA407">
        <v>202301</v>
      </c>
      <c r="AB407" t="s">
        <v>1469</v>
      </c>
      <c r="AC407">
        <v>2</v>
      </c>
      <c r="AD407" t="s">
        <v>1484</v>
      </c>
      <c r="AE407">
        <v>0</v>
      </c>
      <c r="AF407">
        <v>0</v>
      </c>
    </row>
    <row r="408" spans="1:32" x14ac:dyDescent="0.25">
      <c r="A408" t="s">
        <v>412</v>
      </c>
      <c r="B408" s="4">
        <v>45646</v>
      </c>
      <c r="C408" t="s">
        <v>1478</v>
      </c>
      <c r="D408" t="s">
        <v>1482</v>
      </c>
      <c r="E408" s="4">
        <v>45671</v>
      </c>
      <c r="F408">
        <v>25</v>
      </c>
      <c r="G408" t="s">
        <v>639</v>
      </c>
      <c r="H408" t="s">
        <v>646</v>
      </c>
      <c r="I408" t="s">
        <v>672</v>
      </c>
      <c r="J408" t="s">
        <v>1510</v>
      </c>
      <c r="K408" t="s">
        <v>697</v>
      </c>
      <c r="L408" t="s">
        <v>699</v>
      </c>
      <c r="M408" t="s">
        <v>716</v>
      </c>
      <c r="N408" t="s">
        <v>720</v>
      </c>
      <c r="O408" t="s">
        <v>1130</v>
      </c>
      <c r="P408">
        <v>1361.34</v>
      </c>
      <c r="Q408">
        <v>1737.9</v>
      </c>
      <c r="R408" t="s">
        <v>1492</v>
      </c>
      <c r="S408" s="31">
        <v>7.6999999999999999E-2</v>
      </c>
      <c r="T408">
        <v>14</v>
      </c>
      <c r="U408">
        <v>22457.143800000002</v>
      </c>
      <c r="V408">
        <v>511982.22125000006</v>
      </c>
      <c r="W408">
        <v>19058.759999999998</v>
      </c>
      <c r="X408">
        <v>3398.3838000000032</v>
      </c>
      <c r="Y408" s="31">
        <v>0.15132751654731813</v>
      </c>
      <c r="Z408">
        <v>202412</v>
      </c>
      <c r="AA408">
        <v>202301</v>
      </c>
      <c r="AB408" t="s">
        <v>1450</v>
      </c>
      <c r="AC408">
        <v>23</v>
      </c>
      <c r="AD408" t="s">
        <v>1484</v>
      </c>
      <c r="AE408">
        <v>0</v>
      </c>
      <c r="AF408">
        <v>0</v>
      </c>
    </row>
    <row r="409" spans="1:32" x14ac:dyDescent="0.25">
      <c r="A409" t="s">
        <v>413</v>
      </c>
      <c r="B409" s="4">
        <v>45709</v>
      </c>
      <c r="C409" t="s">
        <v>1453</v>
      </c>
      <c r="D409" t="s">
        <v>1479</v>
      </c>
      <c r="E409" s="4">
        <v>45737</v>
      </c>
      <c r="F409">
        <v>28</v>
      </c>
      <c r="G409" t="s">
        <v>638</v>
      </c>
      <c r="H409" t="s">
        <v>643</v>
      </c>
      <c r="I409" t="s">
        <v>661</v>
      </c>
      <c r="J409" t="s">
        <v>1499</v>
      </c>
      <c r="K409" t="s">
        <v>698</v>
      </c>
      <c r="L409" t="s">
        <v>701</v>
      </c>
      <c r="M409" t="s">
        <v>706</v>
      </c>
      <c r="N409" t="s">
        <v>722</v>
      </c>
      <c r="O409" t="s">
        <v>1131</v>
      </c>
      <c r="P409">
        <v>1437.39</v>
      </c>
      <c r="Q409">
        <v>1388.31</v>
      </c>
      <c r="R409" t="s">
        <v>1492</v>
      </c>
      <c r="S409" s="31">
        <v>0.13800000000000001</v>
      </c>
      <c r="T409">
        <v>18</v>
      </c>
      <c r="U409">
        <v>21541.017959999997</v>
      </c>
      <c r="V409">
        <v>511982.22125000006</v>
      </c>
      <c r="W409">
        <v>25873.02</v>
      </c>
      <c r="X409">
        <v>-4332.002040000003</v>
      </c>
      <c r="Y409" s="31">
        <v>-0.20110479681341872</v>
      </c>
      <c r="Z409">
        <v>202502</v>
      </c>
      <c r="AA409">
        <v>202301</v>
      </c>
      <c r="AB409" t="s">
        <v>1451</v>
      </c>
      <c r="AC409">
        <v>25</v>
      </c>
      <c r="AD409" t="s">
        <v>1484</v>
      </c>
      <c r="AE409">
        <v>0</v>
      </c>
      <c r="AF409">
        <v>0</v>
      </c>
    </row>
    <row r="410" spans="1:32" x14ac:dyDescent="0.25">
      <c r="A410" t="s">
        <v>414</v>
      </c>
      <c r="B410" s="4">
        <v>45724</v>
      </c>
      <c r="C410" t="s">
        <v>1461</v>
      </c>
      <c r="D410" t="s">
        <v>1479</v>
      </c>
      <c r="E410" s="4">
        <v>45731</v>
      </c>
      <c r="F410">
        <v>7</v>
      </c>
      <c r="G410" t="s">
        <v>639</v>
      </c>
      <c r="H410" t="s">
        <v>646</v>
      </c>
      <c r="I410" t="s">
        <v>660</v>
      </c>
      <c r="J410" t="s">
        <v>1498</v>
      </c>
      <c r="K410" t="s">
        <v>693</v>
      </c>
      <c r="L410" t="s">
        <v>702</v>
      </c>
      <c r="M410" t="s">
        <v>715</v>
      </c>
      <c r="N410" t="s">
        <v>723</v>
      </c>
      <c r="O410" t="s">
        <v>1132</v>
      </c>
      <c r="P410">
        <v>475.66</v>
      </c>
      <c r="Q410">
        <v>529.14</v>
      </c>
      <c r="R410" t="s">
        <v>1490</v>
      </c>
      <c r="S410" s="31">
        <v>0.19600000000000001</v>
      </c>
      <c r="T410">
        <v>11</v>
      </c>
      <c r="U410">
        <v>4679.7141600000004</v>
      </c>
      <c r="V410">
        <v>511982.22125000006</v>
      </c>
      <c r="W410">
        <v>5232.26</v>
      </c>
      <c r="X410">
        <v>-552.54583999999977</v>
      </c>
      <c r="Y410" s="31">
        <v>-0.11807256193613323</v>
      </c>
      <c r="Z410">
        <v>202503</v>
      </c>
      <c r="AA410">
        <v>202301</v>
      </c>
      <c r="AB410" t="s">
        <v>1469</v>
      </c>
      <c r="AC410">
        <v>26</v>
      </c>
      <c r="AD410" t="s">
        <v>1483</v>
      </c>
      <c r="AE410">
        <v>1</v>
      </c>
      <c r="AF410">
        <v>0</v>
      </c>
    </row>
    <row r="411" spans="1:32" x14ac:dyDescent="0.25">
      <c r="A411" t="s">
        <v>415</v>
      </c>
      <c r="B411" s="4">
        <v>45276</v>
      </c>
      <c r="C411" t="s">
        <v>1450</v>
      </c>
      <c r="D411" t="s">
        <v>1482</v>
      </c>
      <c r="E411" s="4">
        <v>45279</v>
      </c>
      <c r="F411">
        <v>3</v>
      </c>
      <c r="G411" t="s">
        <v>639</v>
      </c>
      <c r="H411" t="s">
        <v>651</v>
      </c>
      <c r="I411" t="s">
        <v>691</v>
      </c>
      <c r="J411" t="s">
        <v>1530</v>
      </c>
      <c r="K411" t="s">
        <v>694</v>
      </c>
      <c r="L411" t="s">
        <v>699</v>
      </c>
      <c r="M411" t="s">
        <v>712</v>
      </c>
      <c r="N411" t="s">
        <v>725</v>
      </c>
      <c r="O411" t="s">
        <v>1133</v>
      </c>
      <c r="P411">
        <v>1415.05</v>
      </c>
      <c r="Q411">
        <v>1972.38</v>
      </c>
      <c r="R411" t="s">
        <v>1492</v>
      </c>
      <c r="S411" s="31">
        <v>0</v>
      </c>
      <c r="T411">
        <v>12</v>
      </c>
      <c r="U411">
        <v>23668.560000000001</v>
      </c>
      <c r="V411">
        <v>511982.22125000006</v>
      </c>
      <c r="W411">
        <v>16980.599999999999</v>
      </c>
      <c r="X411">
        <v>6687.9600000000028</v>
      </c>
      <c r="Y411" s="31">
        <v>0.28256725377462771</v>
      </c>
      <c r="Z411">
        <v>202312</v>
      </c>
      <c r="AA411">
        <v>202301</v>
      </c>
      <c r="AB411" t="s">
        <v>1450</v>
      </c>
      <c r="AC411">
        <v>11</v>
      </c>
      <c r="AD411" t="s">
        <v>1483</v>
      </c>
      <c r="AE411">
        <v>1</v>
      </c>
      <c r="AF411">
        <v>0</v>
      </c>
    </row>
    <row r="412" spans="1:32" x14ac:dyDescent="0.25">
      <c r="A412" t="s">
        <v>416</v>
      </c>
      <c r="B412" s="4">
        <v>45534</v>
      </c>
      <c r="C412" t="s">
        <v>1474</v>
      </c>
      <c r="D412" t="s">
        <v>1481</v>
      </c>
      <c r="E412" s="4">
        <v>45540</v>
      </c>
      <c r="F412">
        <v>6</v>
      </c>
      <c r="G412" t="s">
        <v>639</v>
      </c>
      <c r="H412" t="s">
        <v>644</v>
      </c>
      <c r="I412" t="s">
        <v>686</v>
      </c>
      <c r="J412" t="s">
        <v>1524</v>
      </c>
      <c r="K412" t="s">
        <v>694</v>
      </c>
      <c r="L412" t="s">
        <v>700</v>
      </c>
      <c r="M412" t="s">
        <v>717</v>
      </c>
      <c r="N412" t="s">
        <v>723</v>
      </c>
      <c r="O412" t="s">
        <v>1134</v>
      </c>
      <c r="P412">
        <v>466.16</v>
      </c>
      <c r="Q412">
        <v>876.81</v>
      </c>
      <c r="R412" t="s">
        <v>1490</v>
      </c>
      <c r="S412" s="31">
        <v>0.24099999999999999</v>
      </c>
      <c r="T412">
        <v>8</v>
      </c>
      <c r="U412">
        <v>5323.9903199999999</v>
      </c>
      <c r="V412">
        <v>511982.22125000006</v>
      </c>
      <c r="W412">
        <v>3729.28</v>
      </c>
      <c r="X412">
        <v>1594.7103199999997</v>
      </c>
      <c r="Y412" s="31">
        <v>0.29953291124691594</v>
      </c>
      <c r="Z412">
        <v>202408</v>
      </c>
      <c r="AA412">
        <v>202303</v>
      </c>
      <c r="AB412" t="s">
        <v>1448</v>
      </c>
      <c r="AC412">
        <v>17</v>
      </c>
      <c r="AD412" t="s">
        <v>1483</v>
      </c>
      <c r="AE412">
        <v>1</v>
      </c>
      <c r="AF412">
        <v>1</v>
      </c>
    </row>
    <row r="413" spans="1:32" x14ac:dyDescent="0.25">
      <c r="A413" t="s">
        <v>417</v>
      </c>
      <c r="B413" s="4">
        <v>45430</v>
      </c>
      <c r="C413" t="s">
        <v>1463</v>
      </c>
      <c r="D413" t="s">
        <v>1480</v>
      </c>
      <c r="E413" s="4">
        <v>45433</v>
      </c>
      <c r="F413">
        <v>3</v>
      </c>
      <c r="G413" t="s">
        <v>641</v>
      </c>
      <c r="H413" t="s">
        <v>649</v>
      </c>
      <c r="I413" t="s">
        <v>665</v>
      </c>
      <c r="J413" t="s">
        <v>1503</v>
      </c>
      <c r="K413" t="s">
        <v>695</v>
      </c>
      <c r="L413" t="s">
        <v>701</v>
      </c>
      <c r="M413" t="s">
        <v>718</v>
      </c>
      <c r="N413" t="s">
        <v>720</v>
      </c>
      <c r="O413" t="s">
        <v>1135</v>
      </c>
      <c r="P413">
        <v>663.66</v>
      </c>
      <c r="Q413">
        <v>824.26</v>
      </c>
      <c r="R413" t="s">
        <v>1496</v>
      </c>
      <c r="S413" s="31">
        <v>0.23899999999999999</v>
      </c>
      <c r="T413">
        <v>11</v>
      </c>
      <c r="U413">
        <v>6899.8804600000003</v>
      </c>
      <c r="V413">
        <v>511982.22125000006</v>
      </c>
      <c r="W413">
        <v>7300.2599999999993</v>
      </c>
      <c r="X413">
        <v>-400.379539999999</v>
      </c>
      <c r="Y413" s="31">
        <v>-5.8027025587048933E-2</v>
      </c>
      <c r="Z413">
        <v>202405</v>
      </c>
      <c r="AA413">
        <v>202301</v>
      </c>
      <c r="AB413" t="s">
        <v>1462</v>
      </c>
      <c r="AC413">
        <v>16</v>
      </c>
      <c r="AD413" t="s">
        <v>1483</v>
      </c>
      <c r="AE413">
        <v>1</v>
      </c>
      <c r="AF413">
        <v>1</v>
      </c>
    </row>
    <row r="414" spans="1:32" x14ac:dyDescent="0.25">
      <c r="A414" t="s">
        <v>418</v>
      </c>
      <c r="B414" s="4">
        <v>45002</v>
      </c>
      <c r="C414" t="s">
        <v>1469</v>
      </c>
      <c r="D414" t="s">
        <v>1479</v>
      </c>
      <c r="E414" s="4">
        <v>45022</v>
      </c>
      <c r="F414">
        <v>20</v>
      </c>
      <c r="G414" t="s">
        <v>641</v>
      </c>
      <c r="H414" t="s">
        <v>648</v>
      </c>
      <c r="I414" t="s">
        <v>676</v>
      </c>
      <c r="J414" t="s">
        <v>1514</v>
      </c>
      <c r="K414" t="s">
        <v>696</v>
      </c>
      <c r="L414" t="s">
        <v>699</v>
      </c>
      <c r="M414" t="s">
        <v>711</v>
      </c>
      <c r="N414" t="s">
        <v>722</v>
      </c>
      <c r="O414" t="s">
        <v>1136</v>
      </c>
      <c r="P414">
        <v>692.18</v>
      </c>
      <c r="Q414">
        <v>1159.3499999999999</v>
      </c>
      <c r="R414" t="s">
        <v>1496</v>
      </c>
      <c r="S414" s="31">
        <v>0.112</v>
      </c>
      <c r="T414">
        <v>2</v>
      </c>
      <c r="U414">
        <v>2059.0056</v>
      </c>
      <c r="V414">
        <v>511982.22125000006</v>
      </c>
      <c r="W414">
        <v>1384.36</v>
      </c>
      <c r="X414">
        <v>674.64560000000006</v>
      </c>
      <c r="Y414" s="31">
        <v>0.32765602968734037</v>
      </c>
      <c r="Z414">
        <v>202303</v>
      </c>
      <c r="AA414">
        <v>202301</v>
      </c>
      <c r="AB414" t="s">
        <v>1469</v>
      </c>
      <c r="AC414">
        <v>2</v>
      </c>
      <c r="AD414" t="s">
        <v>1484</v>
      </c>
      <c r="AE414">
        <v>0</v>
      </c>
      <c r="AF414">
        <v>0</v>
      </c>
    </row>
    <row r="415" spans="1:32" x14ac:dyDescent="0.25">
      <c r="A415" t="s">
        <v>419</v>
      </c>
      <c r="B415" s="4">
        <v>45163</v>
      </c>
      <c r="C415" t="s">
        <v>1448</v>
      </c>
      <c r="D415" t="s">
        <v>1481</v>
      </c>
      <c r="E415" s="4">
        <v>45185</v>
      </c>
      <c r="F415">
        <v>22</v>
      </c>
      <c r="G415" t="s">
        <v>638</v>
      </c>
      <c r="H415" t="s">
        <v>643</v>
      </c>
      <c r="I415" t="s">
        <v>661</v>
      </c>
      <c r="J415" t="s">
        <v>1499</v>
      </c>
      <c r="K415" t="s">
        <v>693</v>
      </c>
      <c r="L415" t="s">
        <v>701</v>
      </c>
      <c r="M415" t="s">
        <v>708</v>
      </c>
      <c r="N415" t="s">
        <v>722</v>
      </c>
      <c r="O415" t="s">
        <v>1137</v>
      </c>
      <c r="P415">
        <v>1196.83</v>
      </c>
      <c r="Q415">
        <v>2513.5100000000002</v>
      </c>
      <c r="R415" t="s">
        <v>1492</v>
      </c>
      <c r="S415" s="31">
        <v>8.3000000000000004E-2</v>
      </c>
      <c r="T415">
        <v>7</v>
      </c>
      <c r="U415">
        <v>16134.22069</v>
      </c>
      <c r="V415">
        <v>511982.22125000006</v>
      </c>
      <c r="W415">
        <v>8377.81</v>
      </c>
      <c r="X415">
        <v>7756.4106900000006</v>
      </c>
      <c r="Y415" s="31">
        <v>0.48074281609445374</v>
      </c>
      <c r="Z415">
        <v>202308</v>
      </c>
      <c r="AA415">
        <v>202301</v>
      </c>
      <c r="AB415" t="s">
        <v>1448</v>
      </c>
      <c r="AC415">
        <v>7</v>
      </c>
      <c r="AD415" t="s">
        <v>1484</v>
      </c>
      <c r="AE415">
        <v>0</v>
      </c>
      <c r="AF415">
        <v>0</v>
      </c>
    </row>
    <row r="416" spans="1:32" x14ac:dyDescent="0.25">
      <c r="A416" t="s">
        <v>420</v>
      </c>
      <c r="B416" s="4">
        <v>45449</v>
      </c>
      <c r="C416" t="s">
        <v>1459</v>
      </c>
      <c r="D416" t="s">
        <v>1480</v>
      </c>
      <c r="E416" s="4">
        <v>45467</v>
      </c>
      <c r="F416">
        <v>18</v>
      </c>
      <c r="G416" t="s">
        <v>639</v>
      </c>
      <c r="H416" t="s">
        <v>646</v>
      </c>
      <c r="I416" t="s">
        <v>660</v>
      </c>
      <c r="J416" t="s">
        <v>1498</v>
      </c>
      <c r="K416" t="s">
        <v>697</v>
      </c>
      <c r="L416" t="s">
        <v>703</v>
      </c>
      <c r="M416" t="s">
        <v>714</v>
      </c>
      <c r="N416" t="s">
        <v>721</v>
      </c>
      <c r="O416" t="s">
        <v>1138</v>
      </c>
      <c r="P416">
        <v>1253.25</v>
      </c>
      <c r="Q416">
        <v>3087.13</v>
      </c>
      <c r="R416" t="s">
        <v>1492</v>
      </c>
      <c r="S416" s="31">
        <v>7.1999999999999995E-2</v>
      </c>
      <c r="T416">
        <v>11</v>
      </c>
      <c r="U416">
        <v>31513.423040000001</v>
      </c>
      <c r="V416">
        <v>511982.22125000006</v>
      </c>
      <c r="W416">
        <v>13785.75</v>
      </c>
      <c r="X416">
        <v>17727.673040000001</v>
      </c>
      <c r="Y416" s="31">
        <v>0.562543555408064</v>
      </c>
      <c r="Z416">
        <v>202406</v>
      </c>
      <c r="AA416">
        <v>202301</v>
      </c>
      <c r="AB416" t="s">
        <v>1458</v>
      </c>
      <c r="AC416">
        <v>17</v>
      </c>
      <c r="AD416" t="s">
        <v>1484</v>
      </c>
      <c r="AE416">
        <v>0</v>
      </c>
      <c r="AF416">
        <v>0</v>
      </c>
    </row>
    <row r="417" spans="1:32" x14ac:dyDescent="0.25">
      <c r="A417" t="s">
        <v>421</v>
      </c>
      <c r="B417" s="4">
        <v>45167</v>
      </c>
      <c r="C417" t="s">
        <v>1448</v>
      </c>
      <c r="D417" t="s">
        <v>1481</v>
      </c>
      <c r="E417" s="4">
        <v>45182</v>
      </c>
      <c r="F417">
        <v>15</v>
      </c>
      <c r="G417" t="s">
        <v>640</v>
      </c>
      <c r="H417" t="s">
        <v>645</v>
      </c>
      <c r="I417" t="s">
        <v>680</v>
      </c>
      <c r="J417" t="s">
        <v>1518</v>
      </c>
      <c r="K417" t="s">
        <v>697</v>
      </c>
      <c r="L417" t="s">
        <v>701</v>
      </c>
      <c r="M417" t="s">
        <v>711</v>
      </c>
      <c r="N417" t="s">
        <v>720</v>
      </c>
      <c r="O417" t="s">
        <v>1139</v>
      </c>
      <c r="P417">
        <v>1287.6400000000001</v>
      </c>
      <c r="Q417">
        <v>2717.15</v>
      </c>
      <c r="R417" t="s">
        <v>1492</v>
      </c>
      <c r="S417" s="31">
        <v>3.2000000000000001E-2</v>
      </c>
      <c r="T417">
        <v>7</v>
      </c>
      <c r="U417">
        <v>18411.4084</v>
      </c>
      <c r="V417">
        <v>511982.22125000006</v>
      </c>
      <c r="W417">
        <v>9013.4800000000014</v>
      </c>
      <c r="X417">
        <v>9397.9283999999989</v>
      </c>
      <c r="Y417" s="31">
        <v>0.51044049405802105</v>
      </c>
      <c r="Z417">
        <v>202308</v>
      </c>
      <c r="AA417">
        <v>202301</v>
      </c>
      <c r="AB417" t="s">
        <v>1448</v>
      </c>
      <c r="AC417">
        <v>7</v>
      </c>
      <c r="AD417" t="s">
        <v>1484</v>
      </c>
      <c r="AE417">
        <v>0</v>
      </c>
      <c r="AF417">
        <v>0</v>
      </c>
    </row>
    <row r="418" spans="1:32" x14ac:dyDescent="0.25">
      <c r="A418" t="s">
        <v>422</v>
      </c>
      <c r="B418" s="4">
        <v>45626</v>
      </c>
      <c r="C418" t="s">
        <v>1472</v>
      </c>
      <c r="D418" t="s">
        <v>1482</v>
      </c>
      <c r="E418" s="4">
        <v>45636</v>
      </c>
      <c r="F418">
        <v>10</v>
      </c>
      <c r="G418" t="s">
        <v>639</v>
      </c>
      <c r="H418" t="s">
        <v>646</v>
      </c>
      <c r="I418" t="s">
        <v>688</v>
      </c>
      <c r="J418" t="s">
        <v>1526</v>
      </c>
      <c r="K418" t="s">
        <v>697</v>
      </c>
      <c r="L418" t="s">
        <v>699</v>
      </c>
      <c r="M418" t="s">
        <v>713</v>
      </c>
      <c r="N418" t="s">
        <v>725</v>
      </c>
      <c r="O418" t="s">
        <v>1140</v>
      </c>
      <c r="P418">
        <v>851.49</v>
      </c>
      <c r="Q418">
        <v>901.79</v>
      </c>
      <c r="R418" t="s">
        <v>1496</v>
      </c>
      <c r="S418" s="31">
        <v>0.245</v>
      </c>
      <c r="T418">
        <v>16</v>
      </c>
      <c r="U418">
        <v>10893.6232</v>
      </c>
      <c r="V418">
        <v>511982.22125000006</v>
      </c>
      <c r="W418">
        <v>13623.84</v>
      </c>
      <c r="X418">
        <v>-2730.2168000000001</v>
      </c>
      <c r="Y418" s="31">
        <v>-0.25062522816100341</v>
      </c>
      <c r="Z418">
        <v>202411</v>
      </c>
      <c r="AA418">
        <v>202301</v>
      </c>
      <c r="AB418" t="s">
        <v>1475</v>
      </c>
      <c r="AC418">
        <v>22</v>
      </c>
      <c r="AD418" t="s">
        <v>1484</v>
      </c>
      <c r="AE418">
        <v>0</v>
      </c>
      <c r="AF418">
        <v>1</v>
      </c>
    </row>
    <row r="419" spans="1:32" x14ac:dyDescent="0.25">
      <c r="A419" t="s">
        <v>423</v>
      </c>
      <c r="B419" s="4">
        <v>45813</v>
      </c>
      <c r="C419" t="s">
        <v>1460</v>
      </c>
      <c r="D419" t="s">
        <v>1480</v>
      </c>
      <c r="E419" s="4">
        <v>45822</v>
      </c>
      <c r="F419">
        <v>9</v>
      </c>
      <c r="G419" t="s">
        <v>639</v>
      </c>
      <c r="H419" t="s">
        <v>646</v>
      </c>
      <c r="I419" t="s">
        <v>672</v>
      </c>
      <c r="J419" t="s">
        <v>1510</v>
      </c>
      <c r="K419" t="s">
        <v>695</v>
      </c>
      <c r="L419" t="s">
        <v>699</v>
      </c>
      <c r="M419" t="s">
        <v>712</v>
      </c>
      <c r="N419" t="s">
        <v>725</v>
      </c>
      <c r="O419" t="s">
        <v>1141</v>
      </c>
      <c r="P419">
        <v>618.69000000000005</v>
      </c>
      <c r="Q419">
        <v>796.15</v>
      </c>
      <c r="R419" t="s">
        <v>1496</v>
      </c>
      <c r="S419" s="31">
        <v>0.09</v>
      </c>
      <c r="T419">
        <v>11</v>
      </c>
      <c r="U419">
        <v>7969.4615000000003</v>
      </c>
      <c r="V419">
        <v>511982.22125000006</v>
      </c>
      <c r="W419">
        <v>6805.59</v>
      </c>
      <c r="X419">
        <v>1163.8715000000002</v>
      </c>
      <c r="Y419" s="31">
        <v>0.14604142325049191</v>
      </c>
      <c r="Z419">
        <v>202506</v>
      </c>
      <c r="AA419">
        <v>202301</v>
      </c>
      <c r="AB419" t="s">
        <v>1458</v>
      </c>
      <c r="AC419">
        <v>29</v>
      </c>
      <c r="AD419" t="s">
        <v>1484</v>
      </c>
      <c r="AE419">
        <v>0</v>
      </c>
      <c r="AF419">
        <v>0</v>
      </c>
    </row>
    <row r="420" spans="1:32" x14ac:dyDescent="0.25">
      <c r="A420" t="s">
        <v>424</v>
      </c>
      <c r="B420" s="4">
        <v>45730</v>
      </c>
      <c r="C420" t="s">
        <v>1461</v>
      </c>
      <c r="D420" t="s">
        <v>1479</v>
      </c>
      <c r="E420" s="4">
        <v>45755</v>
      </c>
      <c r="F420">
        <v>25</v>
      </c>
      <c r="G420" t="s">
        <v>639</v>
      </c>
      <c r="H420" t="s">
        <v>651</v>
      </c>
      <c r="I420" t="s">
        <v>1413</v>
      </c>
      <c r="J420" t="s">
        <v>1535</v>
      </c>
      <c r="K420" t="s">
        <v>693</v>
      </c>
      <c r="L420" t="s">
        <v>702</v>
      </c>
      <c r="M420" t="s">
        <v>718</v>
      </c>
      <c r="N420" t="s">
        <v>720</v>
      </c>
      <c r="O420" t="s">
        <v>1142</v>
      </c>
      <c r="P420">
        <v>80.59</v>
      </c>
      <c r="Q420">
        <v>157.82</v>
      </c>
      <c r="R420" t="s">
        <v>1490</v>
      </c>
      <c r="S420" s="31">
        <v>0.217</v>
      </c>
      <c r="T420">
        <v>6</v>
      </c>
      <c r="U420">
        <v>741.43835999999999</v>
      </c>
      <c r="V420">
        <v>511982.22125000006</v>
      </c>
      <c r="W420">
        <v>483.54</v>
      </c>
      <c r="X420">
        <v>257.89835999999997</v>
      </c>
      <c r="Y420" s="31">
        <v>0.34783519967863541</v>
      </c>
      <c r="Z420">
        <v>202503</v>
      </c>
      <c r="AA420">
        <v>202301</v>
      </c>
      <c r="AB420" t="s">
        <v>1469</v>
      </c>
      <c r="AC420">
        <v>26</v>
      </c>
      <c r="AD420" t="s">
        <v>1484</v>
      </c>
      <c r="AE420">
        <v>0</v>
      </c>
      <c r="AF420">
        <v>1</v>
      </c>
    </row>
    <row r="421" spans="1:32" x14ac:dyDescent="0.25">
      <c r="A421" t="s">
        <v>425</v>
      </c>
      <c r="B421" s="4">
        <v>45307</v>
      </c>
      <c r="C421" t="s">
        <v>1454</v>
      </c>
      <c r="D421" t="s">
        <v>1479</v>
      </c>
      <c r="E421" s="4">
        <v>45333</v>
      </c>
      <c r="F421">
        <v>26</v>
      </c>
      <c r="G421" t="s">
        <v>641</v>
      </c>
      <c r="H421" t="s">
        <v>648</v>
      </c>
      <c r="I421" t="s">
        <v>690</v>
      </c>
      <c r="J421" t="s">
        <v>1529</v>
      </c>
      <c r="K421" t="s">
        <v>695</v>
      </c>
      <c r="L421" t="s">
        <v>702</v>
      </c>
      <c r="M421" t="s">
        <v>710</v>
      </c>
      <c r="N421" t="s">
        <v>724</v>
      </c>
      <c r="O421" t="s">
        <v>1143</v>
      </c>
      <c r="P421">
        <v>504.93</v>
      </c>
      <c r="Q421">
        <v>819.06</v>
      </c>
      <c r="R421" t="s">
        <v>1496</v>
      </c>
      <c r="S421" s="31">
        <v>0.22600000000000001</v>
      </c>
      <c r="T421">
        <v>15</v>
      </c>
      <c r="U421">
        <v>9509.2865999999995</v>
      </c>
      <c r="V421">
        <v>511982.22125000006</v>
      </c>
      <c r="W421">
        <v>7573.95</v>
      </c>
      <c r="X421">
        <v>1935.3365999999996</v>
      </c>
      <c r="Y421" s="31">
        <v>0.20352069312959814</v>
      </c>
      <c r="Z421">
        <v>202401</v>
      </c>
      <c r="AA421">
        <v>202301</v>
      </c>
      <c r="AB421" t="s">
        <v>1477</v>
      </c>
      <c r="AC421">
        <v>12</v>
      </c>
      <c r="AD421" t="s">
        <v>1484</v>
      </c>
      <c r="AE421">
        <v>0</v>
      </c>
      <c r="AF421">
        <v>1</v>
      </c>
    </row>
    <row r="422" spans="1:32" x14ac:dyDescent="0.25">
      <c r="A422" t="s">
        <v>426</v>
      </c>
      <c r="B422" s="4">
        <v>45211</v>
      </c>
      <c r="C422" t="s">
        <v>1476</v>
      </c>
      <c r="D422" t="s">
        <v>1482</v>
      </c>
      <c r="E422" s="4">
        <v>45228</v>
      </c>
      <c r="F422">
        <v>17</v>
      </c>
      <c r="G422" t="s">
        <v>639</v>
      </c>
      <c r="H422" t="s">
        <v>644</v>
      </c>
      <c r="I422" t="s">
        <v>686</v>
      </c>
      <c r="J422" t="s">
        <v>1524</v>
      </c>
      <c r="K422" t="s">
        <v>695</v>
      </c>
      <c r="L422" t="s">
        <v>703</v>
      </c>
      <c r="M422" t="s">
        <v>714</v>
      </c>
      <c r="N422" t="s">
        <v>722</v>
      </c>
      <c r="O422" t="s">
        <v>1144</v>
      </c>
      <c r="P422">
        <v>1102.19</v>
      </c>
      <c r="Q422">
        <v>1711.16</v>
      </c>
      <c r="R422" t="s">
        <v>1492</v>
      </c>
      <c r="S422" s="31">
        <v>0.151</v>
      </c>
      <c r="T422">
        <v>10</v>
      </c>
      <c r="U422">
        <v>14527.748400000002</v>
      </c>
      <c r="V422">
        <v>511982.22125000006</v>
      </c>
      <c r="W422">
        <v>11021.900000000001</v>
      </c>
      <c r="X422">
        <v>3505.8484000000008</v>
      </c>
      <c r="Y422" s="31">
        <v>0.24132083675127525</v>
      </c>
      <c r="Z422">
        <v>202310</v>
      </c>
      <c r="AA422">
        <v>202303</v>
      </c>
      <c r="AB422" t="s">
        <v>1476</v>
      </c>
      <c r="AC422">
        <v>7</v>
      </c>
      <c r="AD422" t="s">
        <v>1484</v>
      </c>
      <c r="AE422">
        <v>0</v>
      </c>
      <c r="AF422">
        <v>0</v>
      </c>
    </row>
    <row r="423" spans="1:32" x14ac:dyDescent="0.25">
      <c r="A423" t="s">
        <v>427</v>
      </c>
      <c r="B423" s="4">
        <v>45713</v>
      </c>
      <c r="C423" t="s">
        <v>1453</v>
      </c>
      <c r="D423" t="s">
        <v>1479</v>
      </c>
      <c r="E423" s="4">
        <v>45733</v>
      </c>
      <c r="F423">
        <v>20</v>
      </c>
      <c r="G423" t="s">
        <v>640</v>
      </c>
      <c r="H423" t="s">
        <v>652</v>
      </c>
      <c r="I423" t="s">
        <v>678</v>
      </c>
      <c r="J423" t="s">
        <v>1516</v>
      </c>
      <c r="K423" t="s">
        <v>695</v>
      </c>
      <c r="L423" t="s">
        <v>701</v>
      </c>
      <c r="M423" t="s">
        <v>714</v>
      </c>
      <c r="N423" t="s">
        <v>722</v>
      </c>
      <c r="O423" t="s">
        <v>1145</v>
      </c>
      <c r="P423">
        <v>1205.26</v>
      </c>
      <c r="Q423">
        <v>1696.35</v>
      </c>
      <c r="R423" t="s">
        <v>1492</v>
      </c>
      <c r="S423" s="31">
        <v>1.9E-2</v>
      </c>
      <c r="T423">
        <v>6</v>
      </c>
      <c r="U423">
        <v>9984.7160999999978</v>
      </c>
      <c r="V423">
        <v>511982.22125000006</v>
      </c>
      <c r="W423">
        <v>7231.5599999999995</v>
      </c>
      <c r="X423">
        <v>2753.1560999999983</v>
      </c>
      <c r="Y423" s="31">
        <v>0.27573704374028213</v>
      </c>
      <c r="Z423">
        <v>202502</v>
      </c>
      <c r="AA423">
        <v>202301</v>
      </c>
      <c r="AB423" t="s">
        <v>1451</v>
      </c>
      <c r="AC423">
        <v>25</v>
      </c>
      <c r="AD423" t="s">
        <v>1484</v>
      </c>
      <c r="AE423">
        <v>0</v>
      </c>
      <c r="AF423">
        <v>0</v>
      </c>
    </row>
    <row r="424" spans="1:32" x14ac:dyDescent="0.25">
      <c r="A424" t="s">
        <v>428</v>
      </c>
      <c r="B424" s="4">
        <v>45841</v>
      </c>
      <c r="C424" t="s">
        <v>1457</v>
      </c>
      <c r="D424" t="s">
        <v>1481</v>
      </c>
      <c r="E424" s="4">
        <v>45844</v>
      </c>
      <c r="F424">
        <v>3</v>
      </c>
      <c r="G424" t="s">
        <v>638</v>
      </c>
      <c r="H424" t="s">
        <v>643</v>
      </c>
      <c r="I424" t="s">
        <v>657</v>
      </c>
      <c r="J424" t="s">
        <v>1494</v>
      </c>
      <c r="K424" t="s">
        <v>696</v>
      </c>
      <c r="L424" t="s">
        <v>700</v>
      </c>
      <c r="M424" t="s">
        <v>1413</v>
      </c>
      <c r="N424" t="s">
        <v>723</v>
      </c>
      <c r="O424" t="s">
        <v>1146</v>
      </c>
      <c r="P424">
        <v>1313.3</v>
      </c>
      <c r="Q424">
        <v>2884.34</v>
      </c>
      <c r="R424" t="s">
        <v>1492</v>
      </c>
      <c r="S424" s="31">
        <v>0.157</v>
      </c>
      <c r="T424">
        <v>42</v>
      </c>
      <c r="U424">
        <v>102122.94203999999</v>
      </c>
      <c r="V424">
        <v>511982.22125000006</v>
      </c>
      <c r="W424">
        <v>55158.6</v>
      </c>
      <c r="X424">
        <v>46964.342039999996</v>
      </c>
      <c r="Y424" s="31">
        <v>0.45988042551305253</v>
      </c>
      <c r="Z424">
        <v>202507</v>
      </c>
      <c r="AA424">
        <v>202301</v>
      </c>
      <c r="AB424" t="s">
        <v>1468</v>
      </c>
      <c r="AC424">
        <v>30</v>
      </c>
      <c r="AD424" t="s">
        <v>1483</v>
      </c>
      <c r="AE424">
        <v>1</v>
      </c>
      <c r="AF424">
        <v>0</v>
      </c>
    </row>
    <row r="425" spans="1:32" x14ac:dyDescent="0.25">
      <c r="A425" t="s">
        <v>429</v>
      </c>
      <c r="B425" s="4">
        <v>45915</v>
      </c>
      <c r="C425" t="s">
        <v>1467</v>
      </c>
      <c r="D425" t="s">
        <v>1481</v>
      </c>
      <c r="E425" s="4">
        <v>45925</v>
      </c>
      <c r="F425">
        <v>10</v>
      </c>
      <c r="G425" t="s">
        <v>639</v>
      </c>
      <c r="H425" t="s">
        <v>646</v>
      </c>
      <c r="I425" t="s">
        <v>672</v>
      </c>
      <c r="J425" t="s">
        <v>1510</v>
      </c>
      <c r="K425" t="s">
        <v>696</v>
      </c>
      <c r="L425" t="s">
        <v>699</v>
      </c>
      <c r="M425" t="s">
        <v>712</v>
      </c>
      <c r="N425" t="s">
        <v>722</v>
      </c>
      <c r="O425" t="s">
        <v>1147</v>
      </c>
      <c r="P425">
        <v>1488.91</v>
      </c>
      <c r="Q425">
        <v>1483.74</v>
      </c>
      <c r="R425" t="s">
        <v>1492</v>
      </c>
      <c r="S425" s="31">
        <v>0.16800000000000001</v>
      </c>
      <c r="T425">
        <v>24</v>
      </c>
      <c r="U425">
        <v>29627.320319999999</v>
      </c>
      <c r="V425">
        <v>511982.22125000006</v>
      </c>
      <c r="W425">
        <v>35733.840000000004</v>
      </c>
      <c r="X425">
        <v>-6106.5196800000049</v>
      </c>
      <c r="Y425" s="31">
        <v>-0.20611110333450519</v>
      </c>
      <c r="Z425">
        <v>202509</v>
      </c>
      <c r="AA425">
        <v>202301</v>
      </c>
      <c r="AB425" t="s">
        <v>1465</v>
      </c>
      <c r="AC425">
        <v>32</v>
      </c>
      <c r="AD425" t="s">
        <v>1484</v>
      </c>
      <c r="AE425">
        <v>0</v>
      </c>
      <c r="AF425">
        <v>0</v>
      </c>
    </row>
    <row r="426" spans="1:32" x14ac:dyDescent="0.25">
      <c r="A426" t="s">
        <v>430</v>
      </c>
      <c r="B426" s="4">
        <v>45341</v>
      </c>
      <c r="C426" t="s">
        <v>1452</v>
      </c>
      <c r="D426" t="s">
        <v>1479</v>
      </c>
      <c r="E426" s="4">
        <v>45357</v>
      </c>
      <c r="F426">
        <v>16</v>
      </c>
      <c r="G426" t="s">
        <v>639</v>
      </c>
      <c r="H426" t="s">
        <v>651</v>
      </c>
      <c r="I426" t="s">
        <v>691</v>
      </c>
      <c r="J426" t="s">
        <v>1530</v>
      </c>
      <c r="K426" t="s">
        <v>694</v>
      </c>
      <c r="L426" t="s">
        <v>701</v>
      </c>
      <c r="M426" t="s">
        <v>711</v>
      </c>
      <c r="N426" t="s">
        <v>720</v>
      </c>
      <c r="O426" t="s">
        <v>1148</v>
      </c>
      <c r="P426">
        <v>1477.84</v>
      </c>
      <c r="Q426">
        <v>3197.47</v>
      </c>
      <c r="R426" t="s">
        <v>1492</v>
      </c>
      <c r="S426" s="31">
        <v>0.24299999999999999</v>
      </c>
      <c r="T426">
        <v>24</v>
      </c>
      <c r="U426">
        <v>58091.634960000003</v>
      </c>
      <c r="V426">
        <v>511982.22125000006</v>
      </c>
      <c r="W426">
        <v>35468.159999999996</v>
      </c>
      <c r="X426">
        <v>22623.474960000007</v>
      </c>
      <c r="Y426" s="31">
        <v>0.38944462443823091</v>
      </c>
      <c r="Z426">
        <v>202402</v>
      </c>
      <c r="AA426">
        <v>202301</v>
      </c>
      <c r="AB426" t="s">
        <v>1451</v>
      </c>
      <c r="AC426">
        <v>13</v>
      </c>
      <c r="AD426" t="s">
        <v>1484</v>
      </c>
      <c r="AE426">
        <v>0</v>
      </c>
      <c r="AF426">
        <v>1</v>
      </c>
    </row>
    <row r="427" spans="1:32" x14ac:dyDescent="0.25">
      <c r="A427" t="s">
        <v>431</v>
      </c>
      <c r="B427" s="4">
        <v>45349</v>
      </c>
      <c r="C427" t="s">
        <v>1452</v>
      </c>
      <c r="D427" t="s">
        <v>1479</v>
      </c>
      <c r="E427" s="4">
        <v>45377</v>
      </c>
      <c r="F427">
        <v>28</v>
      </c>
      <c r="G427" t="s">
        <v>639</v>
      </c>
      <c r="H427" t="s">
        <v>646</v>
      </c>
      <c r="I427" t="s">
        <v>683</v>
      </c>
      <c r="J427" t="s">
        <v>1521</v>
      </c>
      <c r="K427" t="s">
        <v>694</v>
      </c>
      <c r="L427" t="s">
        <v>701</v>
      </c>
      <c r="M427" t="s">
        <v>707</v>
      </c>
      <c r="N427" t="s">
        <v>723</v>
      </c>
      <c r="O427" t="s">
        <v>1149</v>
      </c>
      <c r="P427">
        <v>1035.19</v>
      </c>
      <c r="Q427">
        <v>2322.6999999999998</v>
      </c>
      <c r="R427" t="s">
        <v>1492</v>
      </c>
      <c r="S427" s="31">
        <v>0.17299999999999999</v>
      </c>
      <c r="T427">
        <v>8</v>
      </c>
      <c r="U427">
        <v>15366.983199999999</v>
      </c>
      <c r="V427">
        <v>511982.22125000006</v>
      </c>
      <c r="W427">
        <v>8281.52</v>
      </c>
      <c r="X427">
        <v>7085.4631999999983</v>
      </c>
      <c r="Y427" s="31">
        <v>0.46108355217047409</v>
      </c>
      <c r="Z427">
        <v>202402</v>
      </c>
      <c r="AA427">
        <v>202301</v>
      </c>
      <c r="AB427" t="s">
        <v>1451</v>
      </c>
      <c r="AC427">
        <v>13</v>
      </c>
      <c r="AD427" t="s">
        <v>1484</v>
      </c>
      <c r="AE427">
        <v>0</v>
      </c>
      <c r="AF427">
        <v>0</v>
      </c>
    </row>
    <row r="428" spans="1:32" x14ac:dyDescent="0.25">
      <c r="A428" t="s">
        <v>432</v>
      </c>
      <c r="B428" s="4">
        <v>45897</v>
      </c>
      <c r="C428" t="s">
        <v>1449</v>
      </c>
      <c r="D428" t="s">
        <v>1481</v>
      </c>
      <c r="E428" s="4">
        <v>45905</v>
      </c>
      <c r="F428">
        <v>8</v>
      </c>
      <c r="G428" t="s">
        <v>638</v>
      </c>
      <c r="H428" t="s">
        <v>643</v>
      </c>
      <c r="I428" t="s">
        <v>655</v>
      </c>
      <c r="J428" t="s">
        <v>1491</v>
      </c>
      <c r="K428" t="s">
        <v>697</v>
      </c>
      <c r="L428" t="s">
        <v>701</v>
      </c>
      <c r="M428" t="s">
        <v>710</v>
      </c>
      <c r="N428" t="s">
        <v>723</v>
      </c>
      <c r="O428" t="s">
        <v>1150</v>
      </c>
      <c r="P428">
        <v>1271.0999999999999</v>
      </c>
      <c r="Q428">
        <v>1932.42</v>
      </c>
      <c r="R428" t="s">
        <v>1492</v>
      </c>
      <c r="S428" s="31">
        <v>0.25</v>
      </c>
      <c r="T428">
        <v>21</v>
      </c>
      <c r="U428">
        <v>30435.614999999998</v>
      </c>
      <c r="V428">
        <v>511982.22125000006</v>
      </c>
      <c r="W428">
        <v>26693.1</v>
      </c>
      <c r="X428">
        <v>3742.5149999999994</v>
      </c>
      <c r="Y428" s="31">
        <v>0.12296498690760807</v>
      </c>
      <c r="Z428">
        <v>202508</v>
      </c>
      <c r="AA428">
        <v>202301</v>
      </c>
      <c r="AB428" t="s">
        <v>1448</v>
      </c>
      <c r="AC428">
        <v>31</v>
      </c>
      <c r="AD428" t="s">
        <v>1484</v>
      </c>
      <c r="AE428">
        <v>0</v>
      </c>
      <c r="AF428">
        <v>1</v>
      </c>
    </row>
    <row r="429" spans="1:32" x14ac:dyDescent="0.25">
      <c r="A429" t="s">
        <v>433</v>
      </c>
      <c r="B429" s="4">
        <v>45522</v>
      </c>
      <c r="C429" t="s">
        <v>1474</v>
      </c>
      <c r="D429" t="s">
        <v>1481</v>
      </c>
      <c r="E429" s="4">
        <v>45547</v>
      </c>
      <c r="F429">
        <v>25</v>
      </c>
      <c r="G429" t="s">
        <v>639</v>
      </c>
      <c r="H429" t="s">
        <v>646</v>
      </c>
      <c r="I429" t="s">
        <v>683</v>
      </c>
      <c r="J429" t="s">
        <v>1521</v>
      </c>
      <c r="K429" t="s">
        <v>696</v>
      </c>
      <c r="L429" t="s">
        <v>701</v>
      </c>
      <c r="M429" t="s">
        <v>704</v>
      </c>
      <c r="N429" t="s">
        <v>722</v>
      </c>
      <c r="O429" t="s">
        <v>1151</v>
      </c>
      <c r="P429">
        <v>1154.03</v>
      </c>
      <c r="Q429">
        <v>1590.36</v>
      </c>
      <c r="R429" t="s">
        <v>1492</v>
      </c>
      <c r="S429" s="31">
        <v>0.314</v>
      </c>
      <c r="T429">
        <v>18</v>
      </c>
      <c r="U429">
        <v>19637.76528</v>
      </c>
      <c r="V429">
        <v>511982.22125000006</v>
      </c>
      <c r="W429">
        <v>20772.54</v>
      </c>
      <c r="X429">
        <v>-1134.7747200000013</v>
      </c>
      <c r="Y429" s="31">
        <v>-5.7785328616576745E-2</v>
      </c>
      <c r="Z429">
        <v>202408</v>
      </c>
      <c r="AA429">
        <v>202301</v>
      </c>
      <c r="AB429" t="s">
        <v>1448</v>
      </c>
      <c r="AC429">
        <v>19</v>
      </c>
      <c r="AD429" t="s">
        <v>1484</v>
      </c>
      <c r="AE429">
        <v>0</v>
      </c>
      <c r="AF429">
        <v>1</v>
      </c>
    </row>
    <row r="430" spans="1:32" x14ac:dyDescent="0.25">
      <c r="A430" t="s">
        <v>434</v>
      </c>
      <c r="B430" s="4">
        <v>45347</v>
      </c>
      <c r="C430" t="s">
        <v>1452</v>
      </c>
      <c r="D430" t="s">
        <v>1479</v>
      </c>
      <c r="E430" s="4">
        <v>45360</v>
      </c>
      <c r="F430">
        <v>13</v>
      </c>
      <c r="G430" t="s">
        <v>641</v>
      </c>
      <c r="H430" t="s">
        <v>649</v>
      </c>
      <c r="I430" t="s">
        <v>665</v>
      </c>
      <c r="J430" t="s">
        <v>1503</v>
      </c>
      <c r="K430" t="s">
        <v>697</v>
      </c>
      <c r="L430" t="s">
        <v>702</v>
      </c>
      <c r="M430" t="s">
        <v>710</v>
      </c>
      <c r="N430" t="s">
        <v>724</v>
      </c>
      <c r="O430" t="s">
        <v>1152</v>
      </c>
      <c r="P430">
        <v>322.44</v>
      </c>
      <c r="Q430">
        <v>395.61</v>
      </c>
      <c r="R430" t="s">
        <v>1490</v>
      </c>
      <c r="S430" s="31">
        <v>0</v>
      </c>
      <c r="T430">
        <v>34</v>
      </c>
      <c r="U430">
        <v>13450.74</v>
      </c>
      <c r="V430">
        <v>511982.22125000006</v>
      </c>
      <c r="W430">
        <v>10962.96</v>
      </c>
      <c r="X430">
        <v>2487.7800000000007</v>
      </c>
      <c r="Y430" s="31">
        <v>0.18495487980586947</v>
      </c>
      <c r="Z430">
        <v>202402</v>
      </c>
      <c r="AA430">
        <v>202301</v>
      </c>
      <c r="AB430" t="s">
        <v>1451</v>
      </c>
      <c r="AC430">
        <v>13</v>
      </c>
      <c r="AD430" t="s">
        <v>1484</v>
      </c>
      <c r="AE430">
        <v>0</v>
      </c>
      <c r="AF430">
        <v>0</v>
      </c>
    </row>
    <row r="431" spans="1:32" x14ac:dyDescent="0.25">
      <c r="A431" t="s">
        <v>435</v>
      </c>
      <c r="B431" s="4">
        <v>45784</v>
      </c>
      <c r="C431" t="s">
        <v>1471</v>
      </c>
      <c r="D431" t="s">
        <v>1480</v>
      </c>
      <c r="E431" s="4">
        <v>45790</v>
      </c>
      <c r="F431">
        <v>6</v>
      </c>
      <c r="G431" t="s">
        <v>639</v>
      </c>
      <c r="H431" t="s">
        <v>646</v>
      </c>
      <c r="I431" t="s">
        <v>660</v>
      </c>
      <c r="J431" t="s">
        <v>1498</v>
      </c>
      <c r="K431" t="s">
        <v>698</v>
      </c>
      <c r="L431" t="s">
        <v>703</v>
      </c>
      <c r="M431" t="s">
        <v>705</v>
      </c>
      <c r="N431" t="s">
        <v>722</v>
      </c>
      <c r="O431" t="s">
        <v>1153</v>
      </c>
      <c r="P431">
        <v>935.98</v>
      </c>
      <c r="Q431">
        <v>2077.69</v>
      </c>
      <c r="R431" t="s">
        <v>1496</v>
      </c>
      <c r="S431" s="31">
        <v>0.17499999999999999</v>
      </c>
      <c r="T431">
        <v>24</v>
      </c>
      <c r="U431">
        <v>41138.261999999995</v>
      </c>
      <c r="V431">
        <v>511982.22125000006</v>
      </c>
      <c r="W431">
        <v>22463.52</v>
      </c>
      <c r="X431">
        <v>18674.741999999995</v>
      </c>
      <c r="Y431" s="31">
        <v>0.45395067978321491</v>
      </c>
      <c r="Z431">
        <v>202505</v>
      </c>
      <c r="AA431">
        <v>202301</v>
      </c>
      <c r="AB431" t="s">
        <v>1462</v>
      </c>
      <c r="AC431">
        <v>28</v>
      </c>
      <c r="AD431" t="s">
        <v>1483</v>
      </c>
      <c r="AE431">
        <v>1</v>
      </c>
      <c r="AF431">
        <v>0</v>
      </c>
    </row>
    <row r="432" spans="1:32" x14ac:dyDescent="0.25">
      <c r="A432" t="s">
        <v>436</v>
      </c>
      <c r="B432" s="4">
        <v>45597</v>
      </c>
      <c r="C432" t="s">
        <v>1472</v>
      </c>
      <c r="D432" t="s">
        <v>1482</v>
      </c>
      <c r="E432" s="4">
        <v>45608</v>
      </c>
      <c r="F432">
        <v>11</v>
      </c>
      <c r="G432" t="s">
        <v>641</v>
      </c>
      <c r="H432" t="s">
        <v>648</v>
      </c>
      <c r="I432" t="s">
        <v>690</v>
      </c>
      <c r="J432" t="s">
        <v>1529</v>
      </c>
      <c r="K432" t="s">
        <v>696</v>
      </c>
      <c r="L432" t="s">
        <v>700</v>
      </c>
      <c r="M432" t="s">
        <v>709</v>
      </c>
      <c r="N432" t="s">
        <v>720</v>
      </c>
      <c r="O432" t="s">
        <v>1154</v>
      </c>
      <c r="P432">
        <v>599.84</v>
      </c>
      <c r="Q432">
        <v>1330.85</v>
      </c>
      <c r="R432" t="s">
        <v>1496</v>
      </c>
      <c r="S432" s="31">
        <v>0.115</v>
      </c>
      <c r="T432">
        <v>11</v>
      </c>
      <c r="U432">
        <v>12955.824749999998</v>
      </c>
      <c r="V432">
        <v>511982.22125000006</v>
      </c>
      <c r="W432">
        <v>6598.2400000000007</v>
      </c>
      <c r="X432">
        <v>6357.5847499999973</v>
      </c>
      <c r="Y432" s="31">
        <v>0.49071246892252063</v>
      </c>
      <c r="Z432">
        <v>202411</v>
      </c>
      <c r="AA432">
        <v>202301</v>
      </c>
      <c r="AB432" t="s">
        <v>1475</v>
      </c>
      <c r="AC432">
        <v>22</v>
      </c>
      <c r="AD432" t="s">
        <v>1484</v>
      </c>
      <c r="AE432">
        <v>0</v>
      </c>
      <c r="AF432">
        <v>0</v>
      </c>
    </row>
    <row r="433" spans="1:32" x14ac:dyDescent="0.25">
      <c r="A433" t="s">
        <v>437</v>
      </c>
      <c r="B433" s="4">
        <v>45654</v>
      </c>
      <c r="C433" t="s">
        <v>1478</v>
      </c>
      <c r="D433" t="s">
        <v>1482</v>
      </c>
      <c r="E433" s="4">
        <v>45665</v>
      </c>
      <c r="F433">
        <v>11</v>
      </c>
      <c r="G433" t="s">
        <v>639</v>
      </c>
      <c r="H433" t="s">
        <v>651</v>
      </c>
      <c r="I433" t="s">
        <v>668</v>
      </c>
      <c r="J433" t="s">
        <v>1506</v>
      </c>
      <c r="K433" t="s">
        <v>698</v>
      </c>
      <c r="L433" t="s">
        <v>700</v>
      </c>
      <c r="M433" t="s">
        <v>715</v>
      </c>
      <c r="N433" t="s">
        <v>723</v>
      </c>
      <c r="O433" t="s">
        <v>1155</v>
      </c>
      <c r="P433">
        <v>1201.31</v>
      </c>
      <c r="Q433">
        <v>2764.65</v>
      </c>
      <c r="R433" t="s">
        <v>1492</v>
      </c>
      <c r="S433" s="31">
        <v>0</v>
      </c>
      <c r="T433">
        <v>21</v>
      </c>
      <c r="U433">
        <v>58057.65</v>
      </c>
      <c r="V433">
        <v>511982.22125000006</v>
      </c>
      <c r="W433">
        <v>25227.51</v>
      </c>
      <c r="X433">
        <v>32830.14</v>
      </c>
      <c r="Y433" s="31">
        <v>0.56547483406579491</v>
      </c>
      <c r="Z433">
        <v>202412</v>
      </c>
      <c r="AA433">
        <v>202301</v>
      </c>
      <c r="AB433" t="s">
        <v>1450</v>
      </c>
      <c r="AC433">
        <v>23</v>
      </c>
      <c r="AD433" t="s">
        <v>1484</v>
      </c>
      <c r="AE433">
        <v>0</v>
      </c>
      <c r="AF433">
        <v>0</v>
      </c>
    </row>
    <row r="434" spans="1:32" x14ac:dyDescent="0.25">
      <c r="A434" t="s">
        <v>438</v>
      </c>
      <c r="B434" s="4">
        <v>45220</v>
      </c>
      <c r="C434" t="s">
        <v>1476</v>
      </c>
      <c r="D434" t="s">
        <v>1482</v>
      </c>
      <c r="E434" s="4">
        <v>45220</v>
      </c>
      <c r="F434">
        <v>0</v>
      </c>
      <c r="G434" t="s">
        <v>641</v>
      </c>
      <c r="H434" t="s">
        <v>650</v>
      </c>
      <c r="I434" t="s">
        <v>685</v>
      </c>
      <c r="J434" t="s">
        <v>1523</v>
      </c>
      <c r="K434" t="s">
        <v>698</v>
      </c>
      <c r="L434" t="s">
        <v>702</v>
      </c>
      <c r="M434" t="s">
        <v>705</v>
      </c>
      <c r="N434" t="s">
        <v>724</v>
      </c>
      <c r="O434" t="s">
        <v>1156</v>
      </c>
      <c r="P434">
        <v>384.19</v>
      </c>
      <c r="Q434">
        <v>278.35000000000002</v>
      </c>
      <c r="R434" t="s">
        <v>1490</v>
      </c>
      <c r="S434" s="31">
        <v>5.6000000000000001E-2</v>
      </c>
      <c r="T434">
        <v>10</v>
      </c>
      <c r="U434">
        <v>2627.6239999999998</v>
      </c>
      <c r="V434">
        <v>511982.22125000006</v>
      </c>
      <c r="W434">
        <v>3841.9</v>
      </c>
      <c r="X434">
        <v>-1214.2760000000003</v>
      </c>
      <c r="Y434" s="31">
        <v>-0.46211938998882657</v>
      </c>
      <c r="Z434">
        <v>202310</v>
      </c>
      <c r="AA434">
        <v>202301</v>
      </c>
      <c r="AB434" t="s">
        <v>1476</v>
      </c>
      <c r="AC434">
        <v>9</v>
      </c>
      <c r="AD434" t="s">
        <v>1483</v>
      </c>
      <c r="AE434">
        <v>1</v>
      </c>
      <c r="AF434">
        <v>0</v>
      </c>
    </row>
    <row r="435" spans="1:32" x14ac:dyDescent="0.25">
      <c r="A435" t="s">
        <v>439</v>
      </c>
      <c r="B435" s="4">
        <v>45636</v>
      </c>
      <c r="C435" t="s">
        <v>1478</v>
      </c>
      <c r="D435" t="s">
        <v>1482</v>
      </c>
      <c r="E435" s="4">
        <v>45645</v>
      </c>
      <c r="F435">
        <v>9</v>
      </c>
      <c r="G435" t="s">
        <v>638</v>
      </c>
      <c r="H435" t="s">
        <v>643</v>
      </c>
      <c r="I435" t="s">
        <v>657</v>
      </c>
      <c r="J435" t="s">
        <v>1494</v>
      </c>
      <c r="K435" t="s">
        <v>693</v>
      </c>
      <c r="L435" t="s">
        <v>699</v>
      </c>
      <c r="M435" t="s">
        <v>711</v>
      </c>
      <c r="N435" t="s">
        <v>724</v>
      </c>
      <c r="O435" t="s">
        <v>1157</v>
      </c>
      <c r="P435">
        <v>488.68</v>
      </c>
      <c r="Q435">
        <v>984.36</v>
      </c>
      <c r="R435" t="s">
        <v>1490</v>
      </c>
      <c r="S435" s="31">
        <v>5.8999999999999997E-2</v>
      </c>
      <c r="T435">
        <v>14</v>
      </c>
      <c r="U435">
        <v>12967.958640000001</v>
      </c>
      <c r="V435">
        <v>511982.22125000006</v>
      </c>
      <c r="W435">
        <v>6841.52</v>
      </c>
      <c r="X435">
        <v>6126.4386400000003</v>
      </c>
      <c r="Y435" s="31">
        <v>0.47242891576649876</v>
      </c>
      <c r="Z435">
        <v>202412</v>
      </c>
      <c r="AA435">
        <v>202301</v>
      </c>
      <c r="AB435" t="s">
        <v>1450</v>
      </c>
      <c r="AC435">
        <v>23</v>
      </c>
      <c r="AD435" t="s">
        <v>1484</v>
      </c>
      <c r="AE435">
        <v>0</v>
      </c>
      <c r="AF435">
        <v>0</v>
      </c>
    </row>
    <row r="436" spans="1:32" x14ac:dyDescent="0.25">
      <c r="A436" t="s">
        <v>440</v>
      </c>
      <c r="B436" s="4">
        <v>45542</v>
      </c>
      <c r="C436" t="s">
        <v>1466</v>
      </c>
      <c r="D436" t="s">
        <v>1481</v>
      </c>
      <c r="E436" s="4">
        <v>45553</v>
      </c>
      <c r="F436">
        <v>11</v>
      </c>
      <c r="G436" t="s">
        <v>639</v>
      </c>
      <c r="H436" t="s">
        <v>651</v>
      </c>
      <c r="I436" t="s">
        <v>691</v>
      </c>
      <c r="J436" t="s">
        <v>1530</v>
      </c>
      <c r="K436" t="s">
        <v>696</v>
      </c>
      <c r="L436" t="s">
        <v>702</v>
      </c>
      <c r="M436" t="s">
        <v>711</v>
      </c>
      <c r="N436" t="s">
        <v>721</v>
      </c>
      <c r="O436" t="s">
        <v>1158</v>
      </c>
      <c r="P436">
        <v>181.74</v>
      </c>
      <c r="Q436">
        <v>190.84</v>
      </c>
      <c r="R436" t="s">
        <v>1490</v>
      </c>
      <c r="S436" s="31">
        <v>0.214</v>
      </c>
      <c r="T436">
        <v>13</v>
      </c>
      <c r="U436">
        <v>1950.0031200000001</v>
      </c>
      <c r="V436">
        <v>511982.22125000006</v>
      </c>
      <c r="W436">
        <v>2362.62</v>
      </c>
      <c r="X436">
        <v>-412.61687999999981</v>
      </c>
      <c r="Y436" s="31">
        <v>-0.21159806144310159</v>
      </c>
      <c r="Z436">
        <v>202409</v>
      </c>
      <c r="AA436">
        <v>202301</v>
      </c>
      <c r="AB436" t="s">
        <v>1465</v>
      </c>
      <c r="AC436">
        <v>20</v>
      </c>
      <c r="AD436" t="s">
        <v>1484</v>
      </c>
      <c r="AE436">
        <v>0</v>
      </c>
      <c r="AF436">
        <v>1</v>
      </c>
    </row>
    <row r="437" spans="1:32" x14ac:dyDescent="0.25">
      <c r="A437" t="s">
        <v>441</v>
      </c>
      <c r="B437" s="4">
        <v>45217</v>
      </c>
      <c r="C437" t="s">
        <v>1476</v>
      </c>
      <c r="D437" t="s">
        <v>1482</v>
      </c>
      <c r="E437" s="4">
        <v>45219</v>
      </c>
      <c r="F437">
        <v>2</v>
      </c>
      <c r="G437" t="s">
        <v>638</v>
      </c>
      <c r="H437" t="s">
        <v>642</v>
      </c>
      <c r="I437" t="s">
        <v>654</v>
      </c>
      <c r="J437" t="s">
        <v>1489</v>
      </c>
      <c r="K437" t="s">
        <v>696</v>
      </c>
      <c r="L437" t="s">
        <v>699</v>
      </c>
      <c r="M437" t="s">
        <v>705</v>
      </c>
      <c r="N437" t="s">
        <v>722</v>
      </c>
      <c r="O437" t="s">
        <v>1159</v>
      </c>
      <c r="P437">
        <v>774.12</v>
      </c>
      <c r="Q437">
        <v>908.3</v>
      </c>
      <c r="R437" t="s">
        <v>1496</v>
      </c>
      <c r="S437" s="31">
        <v>0</v>
      </c>
      <c r="T437">
        <v>30</v>
      </c>
      <c r="U437">
        <v>27249</v>
      </c>
      <c r="V437">
        <v>511982.22125000006</v>
      </c>
      <c r="W437">
        <v>23223.599999999999</v>
      </c>
      <c r="X437">
        <v>4025.4000000000015</v>
      </c>
      <c r="Y437" s="31">
        <v>0.14772652207420461</v>
      </c>
      <c r="Z437">
        <v>202310</v>
      </c>
      <c r="AA437">
        <v>202301</v>
      </c>
      <c r="AB437" t="s">
        <v>1476</v>
      </c>
      <c r="AC437">
        <v>9</v>
      </c>
      <c r="AD437" t="s">
        <v>1483</v>
      </c>
      <c r="AE437">
        <v>1</v>
      </c>
      <c r="AF437">
        <v>0</v>
      </c>
    </row>
    <row r="438" spans="1:32" x14ac:dyDescent="0.25">
      <c r="A438" t="s">
        <v>442</v>
      </c>
      <c r="B438" s="4">
        <v>45650</v>
      </c>
      <c r="C438" t="s">
        <v>1478</v>
      </c>
      <c r="D438" t="s">
        <v>1482</v>
      </c>
      <c r="E438" s="4">
        <v>45670</v>
      </c>
      <c r="F438">
        <v>20</v>
      </c>
      <c r="G438" t="s">
        <v>639</v>
      </c>
      <c r="H438" t="s">
        <v>646</v>
      </c>
      <c r="I438" t="s">
        <v>660</v>
      </c>
      <c r="J438" t="s">
        <v>1498</v>
      </c>
      <c r="K438" t="s">
        <v>693</v>
      </c>
      <c r="L438" t="s">
        <v>701</v>
      </c>
      <c r="M438" t="s">
        <v>718</v>
      </c>
      <c r="N438" t="s">
        <v>721</v>
      </c>
      <c r="O438" t="s">
        <v>1160</v>
      </c>
      <c r="P438">
        <v>126.15</v>
      </c>
      <c r="Q438">
        <v>284.23</v>
      </c>
      <c r="R438" t="s">
        <v>1490</v>
      </c>
      <c r="S438" s="31">
        <v>0.113</v>
      </c>
      <c r="T438">
        <v>22</v>
      </c>
      <c r="U438">
        <v>5546.4642200000008</v>
      </c>
      <c r="V438">
        <v>511982.22125000006</v>
      </c>
      <c r="W438">
        <v>2775.3</v>
      </c>
      <c r="X438">
        <v>2771.1642200000006</v>
      </c>
      <c r="Y438" s="31">
        <v>0.49962716968541088</v>
      </c>
      <c r="Z438">
        <v>202412</v>
      </c>
      <c r="AA438">
        <v>202301</v>
      </c>
      <c r="AB438" t="s">
        <v>1450</v>
      </c>
      <c r="AC438">
        <v>23</v>
      </c>
      <c r="AD438" t="s">
        <v>1484</v>
      </c>
      <c r="AE438">
        <v>0</v>
      </c>
      <c r="AF438">
        <v>0</v>
      </c>
    </row>
    <row r="439" spans="1:32" x14ac:dyDescent="0.25">
      <c r="A439" t="s">
        <v>443</v>
      </c>
      <c r="B439" s="4">
        <v>45037</v>
      </c>
      <c r="C439" t="s">
        <v>1446</v>
      </c>
      <c r="D439" t="s">
        <v>1480</v>
      </c>
      <c r="E439" s="4">
        <v>45039</v>
      </c>
      <c r="F439">
        <v>2</v>
      </c>
      <c r="G439" t="s">
        <v>639</v>
      </c>
      <c r="H439" t="s">
        <v>644</v>
      </c>
      <c r="I439" t="s">
        <v>686</v>
      </c>
      <c r="J439" t="s">
        <v>1524</v>
      </c>
      <c r="K439" t="s">
        <v>697</v>
      </c>
      <c r="L439" t="s">
        <v>703</v>
      </c>
      <c r="M439" t="s">
        <v>716</v>
      </c>
      <c r="N439" t="s">
        <v>719</v>
      </c>
      <c r="O439" t="s">
        <v>1161</v>
      </c>
      <c r="P439">
        <v>607.04</v>
      </c>
      <c r="Q439">
        <v>1229.3399999999999</v>
      </c>
      <c r="R439" t="s">
        <v>1496</v>
      </c>
      <c r="S439" s="31">
        <v>0.14699999999999999</v>
      </c>
      <c r="T439">
        <v>7</v>
      </c>
      <c r="U439">
        <v>7340.3891399999993</v>
      </c>
      <c r="V439">
        <v>511982.22125000006</v>
      </c>
      <c r="W439">
        <v>4249.28</v>
      </c>
      <c r="X439">
        <v>3091.1091399999996</v>
      </c>
      <c r="Y439" s="31">
        <v>0.42110970972310058</v>
      </c>
      <c r="Z439">
        <v>202304</v>
      </c>
      <c r="AA439">
        <v>202303</v>
      </c>
      <c r="AB439" t="s">
        <v>1446</v>
      </c>
      <c r="AC439">
        <v>1</v>
      </c>
      <c r="AD439" t="s">
        <v>1483</v>
      </c>
      <c r="AE439">
        <v>1</v>
      </c>
      <c r="AF439">
        <v>0</v>
      </c>
    </row>
    <row r="440" spans="1:32" x14ac:dyDescent="0.25">
      <c r="A440" t="s">
        <v>444</v>
      </c>
      <c r="B440" s="4">
        <v>45290</v>
      </c>
      <c r="C440" t="s">
        <v>1450</v>
      </c>
      <c r="D440" t="s">
        <v>1482</v>
      </c>
      <c r="E440" s="4">
        <v>45299</v>
      </c>
      <c r="F440">
        <v>9</v>
      </c>
      <c r="G440" t="s">
        <v>641</v>
      </c>
      <c r="H440" t="s">
        <v>649</v>
      </c>
      <c r="I440" t="s">
        <v>665</v>
      </c>
      <c r="J440" t="s">
        <v>1503</v>
      </c>
      <c r="K440" t="s">
        <v>696</v>
      </c>
      <c r="L440" t="s">
        <v>701</v>
      </c>
      <c r="M440" t="s">
        <v>708</v>
      </c>
      <c r="N440" t="s">
        <v>725</v>
      </c>
      <c r="O440" t="s">
        <v>1162</v>
      </c>
      <c r="P440">
        <v>861.1</v>
      </c>
      <c r="Q440">
        <v>1224.72</v>
      </c>
      <c r="R440" t="s">
        <v>1496</v>
      </c>
      <c r="S440" s="31">
        <v>0.17399999999999999</v>
      </c>
      <c r="T440">
        <v>24</v>
      </c>
      <c r="U440">
        <v>24278.849280000002</v>
      </c>
      <c r="V440">
        <v>504641.83211000008</v>
      </c>
      <c r="W440">
        <v>20666.400000000001</v>
      </c>
      <c r="X440">
        <v>3612.4492800000007</v>
      </c>
      <c r="Y440" s="31">
        <v>0.14878997098827909</v>
      </c>
      <c r="Z440">
        <v>202312</v>
      </c>
      <c r="AA440">
        <v>202301</v>
      </c>
      <c r="AB440" t="s">
        <v>1450</v>
      </c>
      <c r="AC440">
        <v>11</v>
      </c>
      <c r="AD440" t="s">
        <v>1484</v>
      </c>
      <c r="AE440">
        <v>0</v>
      </c>
      <c r="AF440">
        <v>0</v>
      </c>
    </row>
    <row r="441" spans="1:32" x14ac:dyDescent="0.25">
      <c r="A441" t="s">
        <v>445</v>
      </c>
      <c r="B441" s="4">
        <v>44978</v>
      </c>
      <c r="C441" t="s">
        <v>1451</v>
      </c>
      <c r="D441" t="s">
        <v>1479</v>
      </c>
      <c r="E441" s="4">
        <v>44997</v>
      </c>
      <c r="F441">
        <v>19</v>
      </c>
      <c r="G441" t="s">
        <v>638</v>
      </c>
      <c r="H441" t="s">
        <v>642</v>
      </c>
      <c r="I441" t="s">
        <v>670</v>
      </c>
      <c r="J441" t="s">
        <v>1508</v>
      </c>
      <c r="K441" t="s">
        <v>693</v>
      </c>
      <c r="L441" t="s">
        <v>700</v>
      </c>
      <c r="M441" t="s">
        <v>713</v>
      </c>
      <c r="N441" t="s">
        <v>721</v>
      </c>
      <c r="O441" t="s">
        <v>1163</v>
      </c>
      <c r="P441">
        <v>352.65</v>
      </c>
      <c r="Q441">
        <v>485.86</v>
      </c>
      <c r="R441" t="s">
        <v>1490</v>
      </c>
      <c r="S441" s="31">
        <v>4.1000000000000002E-2</v>
      </c>
      <c r="T441">
        <v>6</v>
      </c>
      <c r="U441">
        <v>2795.6384399999997</v>
      </c>
      <c r="V441">
        <v>504641.83211000008</v>
      </c>
      <c r="W441">
        <v>2115.8999999999996</v>
      </c>
      <c r="X441">
        <v>679.73844000000008</v>
      </c>
      <c r="Y441" s="31">
        <v>0.24314247159943908</v>
      </c>
      <c r="Z441">
        <v>202302</v>
      </c>
      <c r="AA441">
        <v>202301</v>
      </c>
      <c r="AB441" t="s">
        <v>1451</v>
      </c>
      <c r="AC441">
        <v>1</v>
      </c>
      <c r="AD441" t="s">
        <v>1484</v>
      </c>
      <c r="AE441">
        <v>0</v>
      </c>
      <c r="AF441">
        <v>0</v>
      </c>
    </row>
    <row r="442" spans="1:32" x14ac:dyDescent="0.25">
      <c r="A442" t="s">
        <v>446</v>
      </c>
      <c r="B442" s="4">
        <v>45063</v>
      </c>
      <c r="C442" t="s">
        <v>1462</v>
      </c>
      <c r="D442" t="s">
        <v>1480</v>
      </c>
      <c r="E442" s="4">
        <v>45080</v>
      </c>
      <c r="F442">
        <v>17</v>
      </c>
      <c r="G442" t="s">
        <v>639</v>
      </c>
      <c r="H442" t="s">
        <v>651</v>
      </c>
      <c r="I442" t="s">
        <v>691</v>
      </c>
      <c r="J442" t="s">
        <v>1530</v>
      </c>
      <c r="K442" t="s">
        <v>695</v>
      </c>
      <c r="L442" t="s">
        <v>702</v>
      </c>
      <c r="M442" t="s">
        <v>716</v>
      </c>
      <c r="N442" t="s">
        <v>720</v>
      </c>
      <c r="O442" t="s">
        <v>1164</v>
      </c>
      <c r="P442">
        <v>979.59</v>
      </c>
      <c r="Q442">
        <v>2210.94</v>
      </c>
      <c r="R442" t="s">
        <v>1496</v>
      </c>
      <c r="S442" s="31">
        <v>0.15</v>
      </c>
      <c r="T442">
        <v>11</v>
      </c>
      <c r="U442">
        <v>20672.289000000001</v>
      </c>
      <c r="V442">
        <v>504641.83211000008</v>
      </c>
      <c r="W442">
        <v>10775.49</v>
      </c>
      <c r="X442">
        <v>9896.7990000000009</v>
      </c>
      <c r="Y442" s="31">
        <v>0.47874712858358359</v>
      </c>
      <c r="Z442">
        <v>202305</v>
      </c>
      <c r="AA442">
        <v>202301</v>
      </c>
      <c r="AB442" t="s">
        <v>1462</v>
      </c>
      <c r="AC442">
        <v>4</v>
      </c>
      <c r="AD442" t="s">
        <v>1484</v>
      </c>
      <c r="AE442">
        <v>0</v>
      </c>
      <c r="AF442">
        <v>0</v>
      </c>
    </row>
    <row r="443" spans="1:32" x14ac:dyDescent="0.25">
      <c r="A443" t="s">
        <v>447</v>
      </c>
      <c r="B443" s="4">
        <v>45374</v>
      </c>
      <c r="C443" t="s">
        <v>1470</v>
      </c>
      <c r="D443" t="s">
        <v>1479</v>
      </c>
      <c r="E443" s="4">
        <v>45377</v>
      </c>
      <c r="F443">
        <v>3</v>
      </c>
      <c r="G443" t="s">
        <v>639</v>
      </c>
      <c r="H443" t="s">
        <v>646</v>
      </c>
      <c r="I443" t="s">
        <v>660</v>
      </c>
      <c r="J443" t="s">
        <v>1498</v>
      </c>
      <c r="K443" t="s">
        <v>694</v>
      </c>
      <c r="L443" t="s">
        <v>703</v>
      </c>
      <c r="M443" t="s">
        <v>707</v>
      </c>
      <c r="N443" t="s">
        <v>722</v>
      </c>
      <c r="O443" t="s">
        <v>1165</v>
      </c>
      <c r="P443">
        <v>382.21</v>
      </c>
      <c r="Q443">
        <v>571.89</v>
      </c>
      <c r="R443" t="s">
        <v>1490</v>
      </c>
      <c r="S443" s="31">
        <v>0.14799999999999999</v>
      </c>
      <c r="T443">
        <v>26</v>
      </c>
      <c r="U443">
        <v>12668.50728</v>
      </c>
      <c r="V443">
        <v>504641.83211000008</v>
      </c>
      <c r="W443">
        <v>9937.4599999999991</v>
      </c>
      <c r="X443">
        <v>2731.0472800000007</v>
      </c>
      <c r="Y443" s="31">
        <v>0.2155776698578809</v>
      </c>
      <c r="Z443">
        <v>202403</v>
      </c>
      <c r="AA443">
        <v>202301</v>
      </c>
      <c r="AB443" t="s">
        <v>1469</v>
      </c>
      <c r="AC443">
        <v>14</v>
      </c>
      <c r="AD443" t="s">
        <v>1483</v>
      </c>
      <c r="AE443">
        <v>1</v>
      </c>
      <c r="AF443">
        <v>0</v>
      </c>
    </row>
    <row r="444" spans="1:32" x14ac:dyDescent="0.25">
      <c r="A444" t="s">
        <v>448</v>
      </c>
      <c r="B444" s="4">
        <v>45189</v>
      </c>
      <c r="C444" t="s">
        <v>1465</v>
      </c>
      <c r="D444" t="s">
        <v>1481</v>
      </c>
      <c r="E444" s="4">
        <v>45197</v>
      </c>
      <c r="F444">
        <v>8</v>
      </c>
      <c r="G444" t="s">
        <v>639</v>
      </c>
      <c r="H444" t="s">
        <v>646</v>
      </c>
      <c r="I444" t="s">
        <v>1413</v>
      </c>
      <c r="J444" t="s">
        <v>1527</v>
      </c>
      <c r="K444" t="s">
        <v>693</v>
      </c>
      <c r="L444" t="s">
        <v>1413</v>
      </c>
      <c r="M444" t="s">
        <v>709</v>
      </c>
      <c r="N444" t="s">
        <v>725</v>
      </c>
      <c r="O444" t="s">
        <v>1166</v>
      </c>
      <c r="P444">
        <v>1362.06</v>
      </c>
      <c r="Q444">
        <v>3398.37</v>
      </c>
      <c r="R444" t="s">
        <v>1492</v>
      </c>
      <c r="S444" s="31">
        <v>0.157</v>
      </c>
      <c r="T444">
        <v>11</v>
      </c>
      <c r="U444">
        <v>31513.085009999999</v>
      </c>
      <c r="V444">
        <v>504641.83211000008</v>
      </c>
      <c r="W444">
        <v>14982.66</v>
      </c>
      <c r="X444">
        <v>16530.425009999999</v>
      </c>
      <c r="Y444" s="31">
        <v>0.52455749745714919</v>
      </c>
      <c r="Z444">
        <v>202309</v>
      </c>
      <c r="AA444">
        <v>202301</v>
      </c>
      <c r="AB444" t="s">
        <v>1465</v>
      </c>
      <c r="AC444">
        <v>8</v>
      </c>
      <c r="AD444" t="s">
        <v>1484</v>
      </c>
      <c r="AE444">
        <v>0</v>
      </c>
      <c r="AF444">
        <v>0</v>
      </c>
    </row>
    <row r="445" spans="1:32" x14ac:dyDescent="0.25">
      <c r="A445" t="s">
        <v>449</v>
      </c>
      <c r="B445" s="4">
        <v>45526</v>
      </c>
      <c r="C445" t="s">
        <v>1474</v>
      </c>
      <c r="D445" t="s">
        <v>1481</v>
      </c>
      <c r="E445" s="4">
        <v>45539</v>
      </c>
      <c r="F445">
        <v>13</v>
      </c>
      <c r="G445" t="s">
        <v>641</v>
      </c>
      <c r="H445" t="s">
        <v>648</v>
      </c>
      <c r="I445" t="s">
        <v>690</v>
      </c>
      <c r="J445" t="s">
        <v>1529</v>
      </c>
      <c r="K445" t="s">
        <v>695</v>
      </c>
      <c r="L445" t="s">
        <v>699</v>
      </c>
      <c r="M445" t="s">
        <v>708</v>
      </c>
      <c r="N445" t="s">
        <v>720</v>
      </c>
      <c r="O445" t="s">
        <v>1167</v>
      </c>
      <c r="P445">
        <v>90.04</v>
      </c>
      <c r="Q445">
        <v>194.62</v>
      </c>
      <c r="R445" t="s">
        <v>1490</v>
      </c>
      <c r="S445" s="31">
        <v>4.2999999999999997E-2</v>
      </c>
      <c r="T445">
        <v>32</v>
      </c>
      <c r="U445">
        <v>5960.04288</v>
      </c>
      <c r="V445">
        <v>504641.83211000008</v>
      </c>
      <c r="W445">
        <v>2881.28</v>
      </c>
      <c r="X445">
        <v>3078.7628799999998</v>
      </c>
      <c r="Y445" s="31">
        <v>0.51656723650954672</v>
      </c>
      <c r="Z445">
        <v>202408</v>
      </c>
      <c r="AA445">
        <v>202301</v>
      </c>
      <c r="AB445" t="s">
        <v>1448</v>
      </c>
      <c r="AC445">
        <v>19</v>
      </c>
      <c r="AD445" t="s">
        <v>1484</v>
      </c>
      <c r="AE445">
        <v>0</v>
      </c>
      <c r="AF445">
        <v>0</v>
      </c>
    </row>
    <row r="446" spans="1:32" x14ac:dyDescent="0.25">
      <c r="A446" t="s">
        <v>450</v>
      </c>
      <c r="B446" s="4">
        <v>45560</v>
      </c>
      <c r="C446" t="s">
        <v>1466</v>
      </c>
      <c r="D446" t="s">
        <v>1481</v>
      </c>
      <c r="E446" s="4">
        <v>45568</v>
      </c>
      <c r="F446">
        <v>8</v>
      </c>
      <c r="G446" t="s">
        <v>640</v>
      </c>
      <c r="H446" t="s">
        <v>645</v>
      </c>
      <c r="I446" t="s">
        <v>659</v>
      </c>
      <c r="J446" t="s">
        <v>1497</v>
      </c>
      <c r="K446" t="s">
        <v>696</v>
      </c>
      <c r="L446" t="s">
        <v>700</v>
      </c>
      <c r="M446" t="s">
        <v>710</v>
      </c>
      <c r="N446" t="s">
        <v>720</v>
      </c>
      <c r="O446" t="s">
        <v>1168</v>
      </c>
      <c r="P446">
        <v>558.19000000000005</v>
      </c>
      <c r="Q446">
        <v>1031.6400000000001</v>
      </c>
      <c r="R446" t="s">
        <v>1496</v>
      </c>
      <c r="S446" s="31">
        <v>0</v>
      </c>
      <c r="T446">
        <v>21</v>
      </c>
      <c r="U446">
        <v>21664.440000000002</v>
      </c>
      <c r="V446">
        <v>504641.83211000008</v>
      </c>
      <c r="W446">
        <v>11721.990000000002</v>
      </c>
      <c r="X446">
        <v>9942.4500000000007</v>
      </c>
      <c r="Y446" s="31">
        <v>0.45892947152107322</v>
      </c>
      <c r="Z446">
        <v>202409</v>
      </c>
      <c r="AA446">
        <v>202301</v>
      </c>
      <c r="AB446" t="s">
        <v>1465</v>
      </c>
      <c r="AC446">
        <v>20</v>
      </c>
      <c r="AD446" t="s">
        <v>1484</v>
      </c>
      <c r="AE446">
        <v>0</v>
      </c>
      <c r="AF446">
        <v>0</v>
      </c>
    </row>
    <row r="447" spans="1:32" x14ac:dyDescent="0.25">
      <c r="A447" t="s">
        <v>451</v>
      </c>
      <c r="B447" s="4">
        <v>45090</v>
      </c>
      <c r="C447" t="s">
        <v>1458</v>
      </c>
      <c r="D447" t="s">
        <v>1480</v>
      </c>
      <c r="E447" s="4">
        <v>45101</v>
      </c>
      <c r="F447">
        <v>11</v>
      </c>
      <c r="G447" t="s">
        <v>640</v>
      </c>
      <c r="H447" t="s">
        <v>645</v>
      </c>
      <c r="I447" t="s">
        <v>659</v>
      </c>
      <c r="J447" t="s">
        <v>1497</v>
      </c>
      <c r="K447" t="s">
        <v>693</v>
      </c>
      <c r="L447" t="s">
        <v>700</v>
      </c>
      <c r="M447" t="s">
        <v>704</v>
      </c>
      <c r="N447" t="s">
        <v>720</v>
      </c>
      <c r="O447" t="s">
        <v>1169</v>
      </c>
      <c r="P447">
        <v>247.07</v>
      </c>
      <c r="Q447">
        <v>495.19</v>
      </c>
      <c r="R447" t="s">
        <v>1490</v>
      </c>
      <c r="S447" s="31">
        <v>2.8000000000000001E-2</v>
      </c>
      <c r="T447">
        <v>4</v>
      </c>
      <c r="U447">
        <v>1925.29872</v>
      </c>
      <c r="V447">
        <v>504641.83211000008</v>
      </c>
      <c r="W447">
        <v>988.28</v>
      </c>
      <c r="X447">
        <v>937.01872000000003</v>
      </c>
      <c r="Y447" s="31">
        <v>0.48668744764968214</v>
      </c>
      <c r="Z447">
        <v>202306</v>
      </c>
      <c r="AA447">
        <v>202301</v>
      </c>
      <c r="AB447" t="s">
        <v>1458</v>
      </c>
      <c r="AC447">
        <v>5</v>
      </c>
      <c r="AD447" t="s">
        <v>1484</v>
      </c>
      <c r="AE447">
        <v>0</v>
      </c>
      <c r="AF447">
        <v>0</v>
      </c>
    </row>
    <row r="448" spans="1:32" x14ac:dyDescent="0.25">
      <c r="A448" t="s">
        <v>452</v>
      </c>
      <c r="B448" s="4">
        <v>45284</v>
      </c>
      <c r="C448" t="s">
        <v>1450</v>
      </c>
      <c r="D448" t="s">
        <v>1482</v>
      </c>
      <c r="E448" s="4">
        <v>45304</v>
      </c>
      <c r="F448">
        <v>20</v>
      </c>
      <c r="G448" t="s">
        <v>639</v>
      </c>
      <c r="H448" t="s">
        <v>644</v>
      </c>
      <c r="I448" t="s">
        <v>686</v>
      </c>
      <c r="J448" t="s">
        <v>1524</v>
      </c>
      <c r="K448" t="s">
        <v>694</v>
      </c>
      <c r="L448" t="s">
        <v>703</v>
      </c>
      <c r="M448" t="s">
        <v>709</v>
      </c>
      <c r="N448" t="s">
        <v>723</v>
      </c>
      <c r="O448" t="s">
        <v>1170</v>
      </c>
      <c r="P448">
        <v>625.37</v>
      </c>
      <c r="Q448">
        <v>1319.04</v>
      </c>
      <c r="R448" t="s">
        <v>1496</v>
      </c>
      <c r="S448" s="31">
        <v>7.3999999999999996E-2</v>
      </c>
      <c r="T448">
        <v>8</v>
      </c>
      <c r="U448">
        <v>9771.4483199999995</v>
      </c>
      <c r="V448">
        <v>504641.83211000008</v>
      </c>
      <c r="W448">
        <v>5002.96</v>
      </c>
      <c r="X448">
        <v>4768.4883199999995</v>
      </c>
      <c r="Y448" s="31">
        <v>0.48800220436513547</v>
      </c>
      <c r="Z448">
        <v>202312</v>
      </c>
      <c r="AA448">
        <v>202303</v>
      </c>
      <c r="AB448" t="s">
        <v>1450</v>
      </c>
      <c r="AC448">
        <v>9</v>
      </c>
      <c r="AD448" t="s">
        <v>1484</v>
      </c>
      <c r="AE448">
        <v>0</v>
      </c>
      <c r="AF448">
        <v>0</v>
      </c>
    </row>
    <row r="449" spans="1:32" x14ac:dyDescent="0.25">
      <c r="A449" t="s">
        <v>453</v>
      </c>
      <c r="B449" s="4">
        <v>45746</v>
      </c>
      <c r="C449" t="s">
        <v>1461</v>
      </c>
      <c r="D449" t="s">
        <v>1479</v>
      </c>
      <c r="E449" s="4">
        <v>45776</v>
      </c>
      <c r="F449">
        <v>30</v>
      </c>
      <c r="G449" t="s">
        <v>638</v>
      </c>
      <c r="H449" t="s">
        <v>653</v>
      </c>
      <c r="I449" t="s">
        <v>679</v>
      </c>
      <c r="J449" t="s">
        <v>1517</v>
      </c>
      <c r="K449" t="s">
        <v>696</v>
      </c>
      <c r="L449" t="s">
        <v>701</v>
      </c>
      <c r="M449" t="s">
        <v>705</v>
      </c>
      <c r="N449" t="s">
        <v>724</v>
      </c>
      <c r="O449" t="s">
        <v>1171</v>
      </c>
      <c r="P449">
        <v>194.6</v>
      </c>
      <c r="Q449">
        <v>314.87</v>
      </c>
      <c r="R449" t="s">
        <v>1490</v>
      </c>
      <c r="S449" s="31">
        <v>0.29299999999999998</v>
      </c>
      <c r="T449">
        <v>25</v>
      </c>
      <c r="U449">
        <v>5565.3272500000003</v>
      </c>
      <c r="V449">
        <v>504641.83211000008</v>
      </c>
      <c r="W449">
        <v>4865</v>
      </c>
      <c r="X449">
        <v>700.32725000000028</v>
      </c>
      <c r="Y449" s="31">
        <v>0.1258375686712763</v>
      </c>
      <c r="Z449">
        <v>202503</v>
      </c>
      <c r="AA449">
        <v>202301</v>
      </c>
      <c r="AB449" t="s">
        <v>1469</v>
      </c>
      <c r="AC449">
        <v>26</v>
      </c>
      <c r="AD449" t="s">
        <v>1484</v>
      </c>
      <c r="AE449">
        <v>0</v>
      </c>
      <c r="AF449">
        <v>1</v>
      </c>
    </row>
    <row r="450" spans="1:32" x14ac:dyDescent="0.25">
      <c r="A450" t="s">
        <v>454</v>
      </c>
      <c r="B450" s="4">
        <v>45446</v>
      </c>
      <c r="C450" t="s">
        <v>1459</v>
      </c>
      <c r="D450" t="s">
        <v>1480</v>
      </c>
      <c r="E450" s="4">
        <v>45467</v>
      </c>
      <c r="F450">
        <v>21</v>
      </c>
      <c r="G450" t="s">
        <v>640</v>
      </c>
      <c r="H450" t="s">
        <v>645</v>
      </c>
      <c r="I450" t="s">
        <v>659</v>
      </c>
      <c r="J450" t="s">
        <v>1497</v>
      </c>
      <c r="K450" t="s">
        <v>697</v>
      </c>
      <c r="L450" t="s">
        <v>703</v>
      </c>
      <c r="M450" t="s">
        <v>707</v>
      </c>
      <c r="N450" t="s">
        <v>724</v>
      </c>
      <c r="O450" t="s">
        <v>1172</v>
      </c>
      <c r="P450">
        <v>1205.5</v>
      </c>
      <c r="Q450">
        <v>2210.17</v>
      </c>
      <c r="R450" t="s">
        <v>1492</v>
      </c>
      <c r="S450" s="31">
        <v>0.104</v>
      </c>
      <c r="T450">
        <v>23</v>
      </c>
      <c r="U450">
        <v>45547.183360000003</v>
      </c>
      <c r="V450">
        <v>504641.83211000008</v>
      </c>
      <c r="W450">
        <v>27726.5</v>
      </c>
      <c r="X450">
        <v>17820.683360000003</v>
      </c>
      <c r="Y450" s="31">
        <v>0.39125763758314652</v>
      </c>
      <c r="Z450">
        <v>202406</v>
      </c>
      <c r="AA450">
        <v>202301</v>
      </c>
      <c r="AB450" t="s">
        <v>1458</v>
      </c>
      <c r="AC450">
        <v>17</v>
      </c>
      <c r="AD450" t="s">
        <v>1484</v>
      </c>
      <c r="AE450">
        <v>0</v>
      </c>
      <c r="AF450">
        <v>0</v>
      </c>
    </row>
    <row r="451" spans="1:32" x14ac:dyDescent="0.25">
      <c r="A451" t="s">
        <v>455</v>
      </c>
      <c r="B451" s="4">
        <v>45454</v>
      </c>
      <c r="C451" t="s">
        <v>1459</v>
      </c>
      <c r="D451" t="s">
        <v>1480</v>
      </c>
      <c r="E451" s="4">
        <v>45482</v>
      </c>
      <c r="F451">
        <v>28</v>
      </c>
      <c r="G451" t="s">
        <v>638</v>
      </c>
      <c r="H451" t="s">
        <v>643</v>
      </c>
      <c r="I451" t="s">
        <v>655</v>
      </c>
      <c r="J451" t="s">
        <v>1491</v>
      </c>
      <c r="K451" t="s">
        <v>693</v>
      </c>
      <c r="L451" t="s">
        <v>701</v>
      </c>
      <c r="M451" t="s">
        <v>706</v>
      </c>
      <c r="N451" t="s">
        <v>722</v>
      </c>
      <c r="O451" t="s">
        <v>1173</v>
      </c>
      <c r="P451">
        <v>895.54</v>
      </c>
      <c r="Q451">
        <v>1045</v>
      </c>
      <c r="R451" t="s">
        <v>1496</v>
      </c>
      <c r="S451" s="31">
        <v>0.216</v>
      </c>
      <c r="T451">
        <v>15</v>
      </c>
      <c r="U451">
        <v>12289.2</v>
      </c>
      <c r="V451">
        <v>504641.83211000008</v>
      </c>
      <c r="W451">
        <v>13433.099999999999</v>
      </c>
      <c r="X451">
        <v>-1143.8999999999978</v>
      </c>
      <c r="Y451" s="31">
        <v>-9.3081730299775234E-2</v>
      </c>
      <c r="Z451">
        <v>202406</v>
      </c>
      <c r="AA451">
        <v>202301</v>
      </c>
      <c r="AB451" t="s">
        <v>1458</v>
      </c>
      <c r="AC451">
        <v>17</v>
      </c>
      <c r="AD451" t="s">
        <v>1484</v>
      </c>
      <c r="AE451">
        <v>0</v>
      </c>
      <c r="AF451">
        <v>1</v>
      </c>
    </row>
    <row r="452" spans="1:32" x14ac:dyDescent="0.25">
      <c r="A452" t="s">
        <v>456</v>
      </c>
      <c r="B452" s="4">
        <v>45129</v>
      </c>
      <c r="C452" t="s">
        <v>1468</v>
      </c>
      <c r="D452" t="s">
        <v>1481</v>
      </c>
      <c r="E452" s="4">
        <v>45130</v>
      </c>
      <c r="F452">
        <v>1</v>
      </c>
      <c r="G452" t="s">
        <v>639</v>
      </c>
      <c r="H452" t="s">
        <v>646</v>
      </c>
      <c r="I452" t="s">
        <v>672</v>
      </c>
      <c r="J452" t="s">
        <v>1510</v>
      </c>
      <c r="K452" t="s">
        <v>697</v>
      </c>
      <c r="L452" t="s">
        <v>702</v>
      </c>
      <c r="M452" t="s">
        <v>710</v>
      </c>
      <c r="N452" t="s">
        <v>720</v>
      </c>
      <c r="O452" t="s">
        <v>1174</v>
      </c>
      <c r="P452">
        <v>946.99</v>
      </c>
      <c r="Q452">
        <v>2132.19</v>
      </c>
      <c r="R452" t="s">
        <v>1496</v>
      </c>
      <c r="S452" s="31">
        <v>0.16500000000000001</v>
      </c>
      <c r="T452">
        <v>7</v>
      </c>
      <c r="U452">
        <v>12462.65055</v>
      </c>
      <c r="V452">
        <v>504641.83211000008</v>
      </c>
      <c r="W452">
        <v>6628.93</v>
      </c>
      <c r="X452">
        <v>5833.72055</v>
      </c>
      <c r="Y452" s="31">
        <v>0.46809629513362228</v>
      </c>
      <c r="Z452">
        <v>202307</v>
      </c>
      <c r="AA452">
        <v>202301</v>
      </c>
      <c r="AB452" t="s">
        <v>1468</v>
      </c>
      <c r="AC452">
        <v>6</v>
      </c>
      <c r="AD452" t="s">
        <v>1483</v>
      </c>
      <c r="AE452">
        <v>1</v>
      </c>
      <c r="AF452">
        <v>0</v>
      </c>
    </row>
    <row r="453" spans="1:32" x14ac:dyDescent="0.25">
      <c r="A453" t="s">
        <v>457</v>
      </c>
      <c r="B453" s="4">
        <v>44945</v>
      </c>
      <c r="C453" t="s">
        <v>1477</v>
      </c>
      <c r="D453" t="s">
        <v>1479</v>
      </c>
      <c r="E453" s="4">
        <v>44960</v>
      </c>
      <c r="F453">
        <v>15</v>
      </c>
      <c r="G453" t="s">
        <v>641</v>
      </c>
      <c r="H453" t="s">
        <v>650</v>
      </c>
      <c r="I453" t="s">
        <v>675</v>
      </c>
      <c r="J453" t="s">
        <v>1513</v>
      </c>
      <c r="K453" t="s">
        <v>698</v>
      </c>
      <c r="L453" t="s">
        <v>702</v>
      </c>
      <c r="M453" t="s">
        <v>707</v>
      </c>
      <c r="N453" t="s">
        <v>725</v>
      </c>
      <c r="O453" t="s">
        <v>1175</v>
      </c>
      <c r="P453">
        <v>873.06</v>
      </c>
      <c r="Q453">
        <v>2101.5500000000002</v>
      </c>
      <c r="R453" t="s">
        <v>1496</v>
      </c>
      <c r="S453" s="31">
        <v>6.6000000000000003E-2</v>
      </c>
      <c r="T453">
        <v>10</v>
      </c>
      <c r="U453">
        <v>19628.476999999999</v>
      </c>
      <c r="V453">
        <v>504641.83211000008</v>
      </c>
      <c r="W453">
        <v>8730.5999999999985</v>
      </c>
      <c r="X453">
        <v>10897.877</v>
      </c>
      <c r="Y453" s="31">
        <v>0.55520746719167269</v>
      </c>
      <c r="Z453">
        <v>202301</v>
      </c>
      <c r="AA453">
        <v>202301</v>
      </c>
      <c r="AB453" t="s">
        <v>1477</v>
      </c>
      <c r="AC453">
        <v>0</v>
      </c>
      <c r="AD453" t="s">
        <v>1484</v>
      </c>
      <c r="AE453">
        <v>0</v>
      </c>
      <c r="AF453">
        <v>0</v>
      </c>
    </row>
    <row r="454" spans="1:32" x14ac:dyDescent="0.25">
      <c r="A454" t="s">
        <v>458</v>
      </c>
      <c r="B454" s="4">
        <v>45413</v>
      </c>
      <c r="C454" t="s">
        <v>1463</v>
      </c>
      <c r="D454" t="s">
        <v>1480</v>
      </c>
      <c r="E454" s="4">
        <v>45428</v>
      </c>
      <c r="F454">
        <v>15</v>
      </c>
      <c r="G454" t="s">
        <v>639</v>
      </c>
      <c r="H454" t="s">
        <v>646</v>
      </c>
      <c r="I454" t="s">
        <v>660</v>
      </c>
      <c r="J454" t="s">
        <v>1498</v>
      </c>
      <c r="K454" t="s">
        <v>697</v>
      </c>
      <c r="L454" t="s">
        <v>699</v>
      </c>
      <c r="M454" t="s">
        <v>708</v>
      </c>
      <c r="N454" t="s">
        <v>719</v>
      </c>
      <c r="O454" t="s">
        <v>1176</v>
      </c>
      <c r="P454">
        <v>901.19</v>
      </c>
      <c r="Q454">
        <v>2125.44</v>
      </c>
      <c r="R454" t="s">
        <v>1496</v>
      </c>
      <c r="S454" s="31">
        <v>7.0999999999999994E-2</v>
      </c>
      <c r="T454">
        <v>12</v>
      </c>
      <c r="U454">
        <v>23694.405119999999</v>
      </c>
      <c r="V454">
        <v>504641.83211000008</v>
      </c>
      <c r="W454">
        <v>10814.28</v>
      </c>
      <c r="X454">
        <v>12880.125119999999</v>
      </c>
      <c r="Y454" s="31">
        <v>0.54359352154100415</v>
      </c>
      <c r="Z454">
        <v>202405</v>
      </c>
      <c r="AA454">
        <v>202301</v>
      </c>
      <c r="AB454" t="s">
        <v>1462</v>
      </c>
      <c r="AC454">
        <v>16</v>
      </c>
      <c r="AD454" t="s">
        <v>1484</v>
      </c>
      <c r="AE454">
        <v>0</v>
      </c>
      <c r="AF454">
        <v>0</v>
      </c>
    </row>
    <row r="455" spans="1:32" x14ac:dyDescent="0.25">
      <c r="A455" t="s">
        <v>459</v>
      </c>
      <c r="B455" s="4">
        <v>45817</v>
      </c>
      <c r="C455" t="s">
        <v>1460</v>
      </c>
      <c r="D455" t="s">
        <v>1480</v>
      </c>
      <c r="E455" s="4">
        <v>45832</v>
      </c>
      <c r="F455">
        <v>15</v>
      </c>
      <c r="G455" t="s">
        <v>639</v>
      </c>
      <c r="H455" t="s">
        <v>644</v>
      </c>
      <c r="I455" t="s">
        <v>686</v>
      </c>
      <c r="J455" t="s">
        <v>1524</v>
      </c>
      <c r="K455" t="s">
        <v>693</v>
      </c>
      <c r="L455" t="s">
        <v>703</v>
      </c>
      <c r="M455" t="s">
        <v>709</v>
      </c>
      <c r="N455" t="s">
        <v>722</v>
      </c>
      <c r="O455" t="s">
        <v>1177</v>
      </c>
      <c r="P455">
        <v>400.39</v>
      </c>
      <c r="Q455">
        <v>712.75</v>
      </c>
      <c r="R455" t="s">
        <v>1490</v>
      </c>
      <c r="S455" s="31">
        <v>0.115</v>
      </c>
      <c r="T455">
        <v>19</v>
      </c>
      <c r="U455">
        <v>11984.891250000001</v>
      </c>
      <c r="V455">
        <v>480947.42699000012</v>
      </c>
      <c r="W455">
        <v>7607.41</v>
      </c>
      <c r="X455">
        <v>4377.4812500000007</v>
      </c>
      <c r="Y455" s="31">
        <v>0.36524997671547504</v>
      </c>
      <c r="Z455">
        <v>202506</v>
      </c>
      <c r="AA455">
        <v>202303</v>
      </c>
      <c r="AB455" t="s">
        <v>1458</v>
      </c>
      <c r="AC455">
        <v>27</v>
      </c>
      <c r="AD455" t="s">
        <v>1484</v>
      </c>
      <c r="AE455">
        <v>0</v>
      </c>
      <c r="AF455">
        <v>0</v>
      </c>
    </row>
    <row r="456" spans="1:32" x14ac:dyDescent="0.25">
      <c r="A456" t="s">
        <v>460</v>
      </c>
      <c r="B456" s="4">
        <v>45070</v>
      </c>
      <c r="C456" t="s">
        <v>1462</v>
      </c>
      <c r="D456" t="s">
        <v>1480</v>
      </c>
      <c r="E456" s="4">
        <v>45098</v>
      </c>
      <c r="F456">
        <v>28</v>
      </c>
      <c r="G456" t="s">
        <v>640</v>
      </c>
      <c r="H456" t="s">
        <v>652</v>
      </c>
      <c r="I456" t="s">
        <v>689</v>
      </c>
      <c r="J456" t="s">
        <v>1528</v>
      </c>
      <c r="K456" t="s">
        <v>697</v>
      </c>
      <c r="L456" t="s">
        <v>701</v>
      </c>
      <c r="M456" t="s">
        <v>707</v>
      </c>
      <c r="N456" t="s">
        <v>724</v>
      </c>
      <c r="O456" t="s">
        <v>1178</v>
      </c>
      <c r="P456">
        <v>813.97</v>
      </c>
      <c r="Q456">
        <v>1568.83</v>
      </c>
      <c r="R456" t="s">
        <v>1496</v>
      </c>
      <c r="S456" s="31">
        <v>1.7000000000000001E-2</v>
      </c>
      <c r="T456">
        <v>15</v>
      </c>
      <c r="U456">
        <v>23132.398349999996</v>
      </c>
      <c r="V456">
        <v>480947.42699000012</v>
      </c>
      <c r="W456">
        <v>12209.550000000001</v>
      </c>
      <c r="X456">
        <v>10922.848349999995</v>
      </c>
      <c r="Y456" s="31">
        <v>0.4721883215364911</v>
      </c>
      <c r="Z456">
        <v>202305</v>
      </c>
      <c r="AA456">
        <v>202301</v>
      </c>
      <c r="AB456" t="s">
        <v>1462</v>
      </c>
      <c r="AC456">
        <v>4</v>
      </c>
      <c r="AD456" t="s">
        <v>1484</v>
      </c>
      <c r="AE456">
        <v>0</v>
      </c>
      <c r="AF456">
        <v>0</v>
      </c>
    </row>
    <row r="457" spans="1:32" x14ac:dyDescent="0.25">
      <c r="A457" t="s">
        <v>461</v>
      </c>
      <c r="B457" s="4">
        <v>45653</v>
      </c>
      <c r="C457" t="s">
        <v>1478</v>
      </c>
      <c r="D457" t="s">
        <v>1482</v>
      </c>
      <c r="E457" s="4">
        <v>45655</v>
      </c>
      <c r="F457">
        <v>2</v>
      </c>
      <c r="G457" t="s">
        <v>640</v>
      </c>
      <c r="H457" t="s">
        <v>645</v>
      </c>
      <c r="I457" t="s">
        <v>680</v>
      </c>
      <c r="J457" t="s">
        <v>1518</v>
      </c>
      <c r="K457" t="s">
        <v>698</v>
      </c>
      <c r="L457" t="s">
        <v>701</v>
      </c>
      <c r="M457" t="s">
        <v>704</v>
      </c>
      <c r="N457" t="s">
        <v>725</v>
      </c>
      <c r="O457" t="s">
        <v>1179</v>
      </c>
      <c r="P457">
        <v>1146.72</v>
      </c>
      <c r="Q457">
        <v>2074.34</v>
      </c>
      <c r="R457" t="s">
        <v>1492</v>
      </c>
      <c r="S457" s="31">
        <v>0.111</v>
      </c>
      <c r="T457">
        <v>8</v>
      </c>
      <c r="U457">
        <v>14752.706080000002</v>
      </c>
      <c r="V457">
        <v>480947.42699000012</v>
      </c>
      <c r="W457">
        <v>9173.76</v>
      </c>
      <c r="X457">
        <v>5578.9460800000015</v>
      </c>
      <c r="Y457" s="31">
        <v>0.37816425337472737</v>
      </c>
      <c r="Z457">
        <v>202412</v>
      </c>
      <c r="AA457">
        <v>202301</v>
      </c>
      <c r="AB457" t="s">
        <v>1450</v>
      </c>
      <c r="AC457">
        <v>23</v>
      </c>
      <c r="AD457" t="s">
        <v>1483</v>
      </c>
      <c r="AE457">
        <v>1</v>
      </c>
      <c r="AF457">
        <v>0</v>
      </c>
    </row>
    <row r="458" spans="1:32" x14ac:dyDescent="0.25">
      <c r="A458" t="s">
        <v>462</v>
      </c>
      <c r="B458" s="4">
        <v>45265</v>
      </c>
      <c r="C458" t="s">
        <v>1450</v>
      </c>
      <c r="D458" t="s">
        <v>1482</v>
      </c>
      <c r="E458" s="4">
        <v>45272</v>
      </c>
      <c r="F458">
        <v>7</v>
      </c>
      <c r="G458" t="s">
        <v>640</v>
      </c>
      <c r="H458" t="s">
        <v>647</v>
      </c>
      <c r="I458" t="s">
        <v>664</v>
      </c>
      <c r="J458" t="s">
        <v>1502</v>
      </c>
      <c r="K458" t="s">
        <v>693</v>
      </c>
      <c r="L458" t="s">
        <v>703</v>
      </c>
      <c r="M458" t="s">
        <v>713</v>
      </c>
      <c r="N458" t="s">
        <v>722</v>
      </c>
      <c r="O458" t="s">
        <v>1180</v>
      </c>
      <c r="P458">
        <v>307.43</v>
      </c>
      <c r="Q458">
        <v>495.19</v>
      </c>
      <c r="R458" t="s">
        <v>1490</v>
      </c>
      <c r="S458" s="31">
        <v>0</v>
      </c>
      <c r="T458">
        <v>42</v>
      </c>
      <c r="U458">
        <v>20797.98</v>
      </c>
      <c r="V458">
        <v>480947.42699000012</v>
      </c>
      <c r="W458">
        <v>12912.06</v>
      </c>
      <c r="X458">
        <v>7885.92</v>
      </c>
      <c r="Y458" s="31">
        <v>0.37916759223732305</v>
      </c>
      <c r="Z458">
        <v>202312</v>
      </c>
      <c r="AA458">
        <v>202301</v>
      </c>
      <c r="AB458" t="s">
        <v>1450</v>
      </c>
      <c r="AC458">
        <v>11</v>
      </c>
      <c r="AD458" t="s">
        <v>1483</v>
      </c>
      <c r="AE458">
        <v>1</v>
      </c>
      <c r="AF458">
        <v>0</v>
      </c>
    </row>
    <row r="459" spans="1:32" x14ac:dyDescent="0.25">
      <c r="A459" t="s">
        <v>463</v>
      </c>
      <c r="B459" s="4">
        <v>45048</v>
      </c>
      <c r="C459" t="s">
        <v>1462</v>
      </c>
      <c r="D459" t="s">
        <v>1480</v>
      </c>
      <c r="E459" s="4">
        <v>45065</v>
      </c>
      <c r="F459">
        <v>17</v>
      </c>
      <c r="G459" t="s">
        <v>639</v>
      </c>
      <c r="H459" t="s">
        <v>651</v>
      </c>
      <c r="I459" t="s">
        <v>677</v>
      </c>
      <c r="J459" t="s">
        <v>1515</v>
      </c>
      <c r="K459" t="s">
        <v>695</v>
      </c>
      <c r="L459" t="s">
        <v>703</v>
      </c>
      <c r="M459" t="s">
        <v>705</v>
      </c>
      <c r="N459" t="s">
        <v>724</v>
      </c>
      <c r="O459" t="s">
        <v>1181</v>
      </c>
      <c r="P459">
        <v>714.28</v>
      </c>
      <c r="Q459">
        <v>757.59</v>
      </c>
      <c r="R459" t="s">
        <v>1496</v>
      </c>
      <c r="S459" s="31">
        <v>0.13600000000000001</v>
      </c>
      <c r="T459">
        <v>12</v>
      </c>
      <c r="U459">
        <v>7854.6931199999999</v>
      </c>
      <c r="V459">
        <v>480947.42699000012</v>
      </c>
      <c r="W459">
        <v>8571.36</v>
      </c>
      <c r="X459">
        <v>-716.66688000000067</v>
      </c>
      <c r="Y459" s="31">
        <v>-9.1240595787910383E-2</v>
      </c>
      <c r="Z459">
        <v>202305</v>
      </c>
      <c r="AA459">
        <v>202301</v>
      </c>
      <c r="AB459" t="s">
        <v>1462</v>
      </c>
      <c r="AC459">
        <v>4</v>
      </c>
      <c r="AD459" t="s">
        <v>1484</v>
      </c>
      <c r="AE459">
        <v>0</v>
      </c>
      <c r="AF459">
        <v>0</v>
      </c>
    </row>
    <row r="460" spans="1:32" x14ac:dyDescent="0.25">
      <c r="A460" t="s">
        <v>464</v>
      </c>
      <c r="B460" s="4">
        <v>45260</v>
      </c>
      <c r="C460" t="s">
        <v>1475</v>
      </c>
      <c r="D460" t="s">
        <v>1482</v>
      </c>
      <c r="E460" s="4">
        <v>45270</v>
      </c>
      <c r="F460">
        <v>10</v>
      </c>
      <c r="G460" t="s">
        <v>641</v>
      </c>
      <c r="H460" t="s">
        <v>648</v>
      </c>
      <c r="I460" t="s">
        <v>676</v>
      </c>
      <c r="J460" t="s">
        <v>1514</v>
      </c>
      <c r="K460" t="s">
        <v>697</v>
      </c>
      <c r="L460" t="s">
        <v>703</v>
      </c>
      <c r="M460" t="s">
        <v>713</v>
      </c>
      <c r="N460" t="s">
        <v>723</v>
      </c>
      <c r="O460" t="s">
        <v>1182</v>
      </c>
      <c r="P460">
        <v>174.74</v>
      </c>
      <c r="Q460">
        <v>415.96</v>
      </c>
      <c r="R460" t="s">
        <v>1490</v>
      </c>
      <c r="S460" s="31">
        <v>0.125</v>
      </c>
      <c r="T460">
        <v>21</v>
      </c>
      <c r="U460">
        <v>7643.2649999999994</v>
      </c>
      <c r="V460">
        <v>480947.42699000012</v>
      </c>
      <c r="W460">
        <v>3669.54</v>
      </c>
      <c r="X460">
        <v>3973.7249999999995</v>
      </c>
      <c r="Y460" s="31">
        <v>0.51989889137691803</v>
      </c>
      <c r="Z460">
        <v>202311</v>
      </c>
      <c r="AA460">
        <v>202301</v>
      </c>
      <c r="AB460" t="s">
        <v>1475</v>
      </c>
      <c r="AC460">
        <v>10</v>
      </c>
      <c r="AD460" t="s">
        <v>1484</v>
      </c>
      <c r="AE460">
        <v>0</v>
      </c>
      <c r="AF460">
        <v>0</v>
      </c>
    </row>
    <row r="461" spans="1:32" x14ac:dyDescent="0.25">
      <c r="A461" t="s">
        <v>465</v>
      </c>
      <c r="B461" s="4">
        <v>45417</v>
      </c>
      <c r="C461" t="s">
        <v>1463</v>
      </c>
      <c r="D461" t="s">
        <v>1480</v>
      </c>
      <c r="E461" s="4">
        <v>45430</v>
      </c>
      <c r="F461">
        <v>13</v>
      </c>
      <c r="G461" t="s">
        <v>641</v>
      </c>
      <c r="H461" t="s">
        <v>649</v>
      </c>
      <c r="I461" t="s">
        <v>665</v>
      </c>
      <c r="J461" t="s">
        <v>1503</v>
      </c>
      <c r="K461" t="s">
        <v>693</v>
      </c>
      <c r="L461" t="s">
        <v>701</v>
      </c>
      <c r="M461" t="s">
        <v>712</v>
      </c>
      <c r="N461" t="s">
        <v>719</v>
      </c>
      <c r="O461" t="s">
        <v>1183</v>
      </c>
      <c r="P461">
        <v>1264.04</v>
      </c>
      <c r="Q461">
        <v>1870.89</v>
      </c>
      <c r="R461" t="s">
        <v>1492</v>
      </c>
      <c r="S461" s="31">
        <v>0</v>
      </c>
      <c r="T461">
        <v>13</v>
      </c>
      <c r="U461">
        <v>24321.57</v>
      </c>
      <c r="V461">
        <v>480947.42699000012</v>
      </c>
      <c r="W461">
        <v>16432.52</v>
      </c>
      <c r="X461">
        <v>7889.0499999999993</v>
      </c>
      <c r="Y461" s="31">
        <v>0.32436433996653996</v>
      </c>
      <c r="Z461">
        <v>202405</v>
      </c>
      <c r="AA461">
        <v>202301</v>
      </c>
      <c r="AB461" t="s">
        <v>1462</v>
      </c>
      <c r="AC461">
        <v>16</v>
      </c>
      <c r="AD461" t="s">
        <v>1484</v>
      </c>
      <c r="AE461">
        <v>0</v>
      </c>
      <c r="AF461">
        <v>0</v>
      </c>
    </row>
    <row r="462" spans="1:32" x14ac:dyDescent="0.25">
      <c r="A462" t="s">
        <v>466</v>
      </c>
      <c r="B462" s="4">
        <v>45116</v>
      </c>
      <c r="C462" t="s">
        <v>1468</v>
      </c>
      <c r="D462" t="s">
        <v>1481</v>
      </c>
      <c r="E462" s="4">
        <v>45126</v>
      </c>
      <c r="F462">
        <v>10</v>
      </c>
      <c r="G462" t="s">
        <v>639</v>
      </c>
      <c r="H462" t="s">
        <v>644</v>
      </c>
      <c r="I462" t="s">
        <v>681</v>
      </c>
      <c r="J462" t="s">
        <v>1519</v>
      </c>
      <c r="K462" t="s">
        <v>698</v>
      </c>
      <c r="L462" t="s">
        <v>702</v>
      </c>
      <c r="M462" t="s">
        <v>717</v>
      </c>
      <c r="N462" t="s">
        <v>719</v>
      </c>
      <c r="O462" t="s">
        <v>1184</v>
      </c>
      <c r="P462">
        <v>141.26</v>
      </c>
      <c r="Q462">
        <v>206.88</v>
      </c>
      <c r="R462" t="s">
        <v>1490</v>
      </c>
      <c r="S462" s="31">
        <v>0.107</v>
      </c>
      <c r="T462">
        <v>9</v>
      </c>
      <c r="U462">
        <v>1662.6945600000001</v>
      </c>
      <c r="V462">
        <v>456625.85699000012</v>
      </c>
      <c r="W462">
        <v>1271.3399999999999</v>
      </c>
      <c r="X462">
        <v>391.35456000000022</v>
      </c>
      <c r="Y462" s="31">
        <v>0.23537369365062469</v>
      </c>
      <c r="Z462">
        <v>202307</v>
      </c>
      <c r="AA462">
        <v>202303</v>
      </c>
      <c r="AB462" t="s">
        <v>1468</v>
      </c>
      <c r="AC462">
        <v>4</v>
      </c>
      <c r="AD462" t="s">
        <v>1484</v>
      </c>
      <c r="AE462">
        <v>0</v>
      </c>
      <c r="AF462">
        <v>0</v>
      </c>
    </row>
    <row r="463" spans="1:32" x14ac:dyDescent="0.25">
      <c r="A463" t="s">
        <v>467</v>
      </c>
      <c r="B463" s="4">
        <v>45063</v>
      </c>
      <c r="C463" t="s">
        <v>1462</v>
      </c>
      <c r="D463" t="s">
        <v>1480</v>
      </c>
      <c r="E463" s="4">
        <v>45092</v>
      </c>
      <c r="F463">
        <v>29</v>
      </c>
      <c r="G463" t="s">
        <v>638</v>
      </c>
      <c r="H463" t="s">
        <v>653</v>
      </c>
      <c r="I463" t="s">
        <v>679</v>
      </c>
      <c r="J463" t="s">
        <v>1517</v>
      </c>
      <c r="K463" t="s">
        <v>698</v>
      </c>
      <c r="L463" t="s">
        <v>699</v>
      </c>
      <c r="M463" t="s">
        <v>715</v>
      </c>
      <c r="N463" t="s">
        <v>725</v>
      </c>
      <c r="O463" t="s">
        <v>1185</v>
      </c>
      <c r="P463">
        <v>40.89</v>
      </c>
      <c r="Q463">
        <v>62.82</v>
      </c>
      <c r="R463" t="s">
        <v>1490</v>
      </c>
      <c r="S463" s="31">
        <v>0.129</v>
      </c>
      <c r="T463">
        <v>17</v>
      </c>
      <c r="U463">
        <v>930.17574000000002</v>
      </c>
      <c r="V463">
        <v>454963.16243000008</v>
      </c>
      <c r="W463">
        <v>695.13</v>
      </c>
      <c r="X463">
        <v>235.04574000000002</v>
      </c>
      <c r="Y463" s="31">
        <v>0.25268960465470752</v>
      </c>
      <c r="Z463">
        <v>202305</v>
      </c>
      <c r="AA463">
        <v>202301</v>
      </c>
      <c r="AB463" t="s">
        <v>1462</v>
      </c>
      <c r="AC463">
        <v>4</v>
      </c>
      <c r="AD463" t="s">
        <v>1484</v>
      </c>
      <c r="AE463">
        <v>0</v>
      </c>
      <c r="AF463">
        <v>0</v>
      </c>
    </row>
    <row r="464" spans="1:32" x14ac:dyDescent="0.25">
      <c r="A464" t="s">
        <v>468</v>
      </c>
      <c r="B464" s="4">
        <v>45358</v>
      </c>
      <c r="C464" t="s">
        <v>1470</v>
      </c>
      <c r="D464" t="s">
        <v>1479</v>
      </c>
      <c r="E464" s="4">
        <v>45385</v>
      </c>
      <c r="F464">
        <v>27</v>
      </c>
      <c r="G464" t="s">
        <v>641</v>
      </c>
      <c r="H464" t="s">
        <v>648</v>
      </c>
      <c r="I464" t="s">
        <v>690</v>
      </c>
      <c r="J464" t="s">
        <v>1529</v>
      </c>
      <c r="K464" t="s">
        <v>693</v>
      </c>
      <c r="L464" t="s">
        <v>703</v>
      </c>
      <c r="M464" t="s">
        <v>716</v>
      </c>
      <c r="N464" t="s">
        <v>720</v>
      </c>
      <c r="O464" t="s">
        <v>1186</v>
      </c>
      <c r="P464">
        <v>738.16</v>
      </c>
      <c r="Q464">
        <v>956.49</v>
      </c>
      <c r="R464" t="s">
        <v>1496</v>
      </c>
      <c r="S464" s="31">
        <v>0.152</v>
      </c>
      <c r="T464">
        <v>5</v>
      </c>
      <c r="U464">
        <v>4055.5175999999997</v>
      </c>
      <c r="V464">
        <v>454963.16243000008</v>
      </c>
      <c r="W464">
        <v>3690.7999999999997</v>
      </c>
      <c r="X464">
        <v>364.71759999999995</v>
      </c>
      <c r="Y464" s="31">
        <v>8.9931208780847108E-2</v>
      </c>
      <c r="Z464">
        <v>202403</v>
      </c>
      <c r="AA464">
        <v>202301</v>
      </c>
      <c r="AB464" t="s">
        <v>1469</v>
      </c>
      <c r="AC464">
        <v>14</v>
      </c>
      <c r="AD464" t="s">
        <v>1484</v>
      </c>
      <c r="AE464">
        <v>0</v>
      </c>
      <c r="AF464">
        <v>0</v>
      </c>
    </row>
    <row r="465" spans="1:32" x14ac:dyDescent="0.25">
      <c r="A465" t="s">
        <v>469</v>
      </c>
      <c r="B465" s="4">
        <v>45757</v>
      </c>
      <c r="C465" t="s">
        <v>1473</v>
      </c>
      <c r="D465" t="s">
        <v>1480</v>
      </c>
      <c r="E465" s="4">
        <v>45766</v>
      </c>
      <c r="F465">
        <v>9</v>
      </c>
      <c r="G465" t="s">
        <v>638</v>
      </c>
      <c r="H465" t="s">
        <v>653</v>
      </c>
      <c r="I465" t="s">
        <v>679</v>
      </c>
      <c r="J465" t="s">
        <v>1517</v>
      </c>
      <c r="K465" t="s">
        <v>698</v>
      </c>
      <c r="L465" t="s">
        <v>1413</v>
      </c>
      <c r="M465" t="s">
        <v>707</v>
      </c>
      <c r="N465" t="s">
        <v>721</v>
      </c>
      <c r="O465" t="s">
        <v>1187</v>
      </c>
      <c r="P465">
        <v>113.74</v>
      </c>
      <c r="Q465">
        <v>165.7</v>
      </c>
      <c r="R465" t="s">
        <v>1490</v>
      </c>
      <c r="S465" s="31">
        <v>0.124</v>
      </c>
      <c r="T465">
        <v>13</v>
      </c>
      <c r="U465">
        <v>1886.9915999999998</v>
      </c>
      <c r="V465">
        <v>454963.16243000008</v>
      </c>
      <c r="W465">
        <v>1478.62</v>
      </c>
      <c r="X465">
        <v>408.37159999999994</v>
      </c>
      <c r="Y465" s="31">
        <v>0.21641410592394794</v>
      </c>
      <c r="Z465">
        <v>202504</v>
      </c>
      <c r="AA465">
        <v>202301</v>
      </c>
      <c r="AB465" t="s">
        <v>1446</v>
      </c>
      <c r="AC465">
        <v>27</v>
      </c>
      <c r="AD465" t="s">
        <v>1484</v>
      </c>
      <c r="AE465">
        <v>0</v>
      </c>
      <c r="AF465">
        <v>0</v>
      </c>
    </row>
    <row r="466" spans="1:32" x14ac:dyDescent="0.25">
      <c r="A466" t="s">
        <v>470</v>
      </c>
      <c r="B466" s="4">
        <v>45865</v>
      </c>
      <c r="C466" t="s">
        <v>1457</v>
      </c>
      <c r="D466" t="s">
        <v>1481</v>
      </c>
      <c r="E466" s="4">
        <v>45884</v>
      </c>
      <c r="F466">
        <v>19</v>
      </c>
      <c r="G466" t="s">
        <v>639</v>
      </c>
      <c r="H466" t="s">
        <v>644</v>
      </c>
      <c r="I466" t="s">
        <v>681</v>
      </c>
      <c r="J466" t="s">
        <v>1519</v>
      </c>
      <c r="K466" t="s">
        <v>697</v>
      </c>
      <c r="L466" t="s">
        <v>701</v>
      </c>
      <c r="M466" t="s">
        <v>705</v>
      </c>
      <c r="N466" t="s">
        <v>719</v>
      </c>
      <c r="O466" t="s">
        <v>1188</v>
      </c>
      <c r="P466">
        <v>275.43</v>
      </c>
      <c r="Q466">
        <v>608.36</v>
      </c>
      <c r="R466" t="s">
        <v>1490</v>
      </c>
      <c r="S466" s="31">
        <v>0.25700000000000001</v>
      </c>
      <c r="T466">
        <v>4</v>
      </c>
      <c r="U466">
        <v>1808.04592</v>
      </c>
      <c r="V466">
        <v>454963.16243000008</v>
      </c>
      <c r="W466">
        <v>1101.72</v>
      </c>
      <c r="X466">
        <v>706.32592</v>
      </c>
      <c r="Y466" s="31">
        <v>0.39065706915231446</v>
      </c>
      <c r="Z466">
        <v>202507</v>
      </c>
      <c r="AA466">
        <v>202303</v>
      </c>
      <c r="AB466" t="s">
        <v>1468</v>
      </c>
      <c r="AC466">
        <v>28</v>
      </c>
      <c r="AD466" t="s">
        <v>1484</v>
      </c>
      <c r="AE466">
        <v>0</v>
      </c>
      <c r="AF466">
        <v>1</v>
      </c>
    </row>
    <row r="467" spans="1:32" x14ac:dyDescent="0.25">
      <c r="A467" t="s">
        <v>471</v>
      </c>
      <c r="B467" s="4">
        <v>45618</v>
      </c>
      <c r="C467" t="s">
        <v>1472</v>
      </c>
      <c r="D467" t="s">
        <v>1482</v>
      </c>
      <c r="E467" s="4">
        <v>45641</v>
      </c>
      <c r="F467">
        <v>23</v>
      </c>
      <c r="G467" t="s">
        <v>638</v>
      </c>
      <c r="H467" t="s">
        <v>642</v>
      </c>
      <c r="I467" t="s">
        <v>667</v>
      </c>
      <c r="J467" t="s">
        <v>1505</v>
      </c>
      <c r="K467" t="s">
        <v>695</v>
      </c>
      <c r="L467" t="s">
        <v>702</v>
      </c>
      <c r="M467" t="s">
        <v>704</v>
      </c>
      <c r="N467" t="s">
        <v>719</v>
      </c>
      <c r="O467" t="s">
        <v>1189</v>
      </c>
      <c r="P467">
        <v>1335.76</v>
      </c>
      <c r="Q467">
        <v>2665.91</v>
      </c>
      <c r="R467" t="s">
        <v>1492</v>
      </c>
      <c r="S467" s="31">
        <v>0.21099999999999999</v>
      </c>
      <c r="T467">
        <v>40</v>
      </c>
      <c r="U467">
        <v>84136.119600000005</v>
      </c>
      <c r="V467">
        <v>453155.11651000002</v>
      </c>
      <c r="W467">
        <v>53430.400000000001</v>
      </c>
      <c r="X467">
        <v>30705.719600000004</v>
      </c>
      <c r="Y467" s="31">
        <v>0.36495288522909253</v>
      </c>
      <c r="Z467">
        <v>202411</v>
      </c>
      <c r="AA467">
        <v>202301</v>
      </c>
      <c r="AB467" t="s">
        <v>1475</v>
      </c>
      <c r="AC467">
        <v>22</v>
      </c>
      <c r="AD467" t="s">
        <v>1484</v>
      </c>
      <c r="AE467">
        <v>0</v>
      </c>
      <c r="AF467">
        <v>1</v>
      </c>
    </row>
    <row r="468" spans="1:32" x14ac:dyDescent="0.25">
      <c r="A468" t="s">
        <v>472</v>
      </c>
      <c r="B468" s="4">
        <v>45466</v>
      </c>
      <c r="C468" t="s">
        <v>1459</v>
      </c>
      <c r="D468" t="s">
        <v>1480</v>
      </c>
      <c r="E468" s="4">
        <v>45471</v>
      </c>
      <c r="F468">
        <v>5</v>
      </c>
      <c r="G468" t="s">
        <v>638</v>
      </c>
      <c r="H468" t="s">
        <v>643</v>
      </c>
      <c r="I468" t="s">
        <v>655</v>
      </c>
      <c r="J468" t="s">
        <v>1491</v>
      </c>
      <c r="K468" t="s">
        <v>695</v>
      </c>
      <c r="L468" t="s">
        <v>703</v>
      </c>
      <c r="M468" t="s">
        <v>716</v>
      </c>
      <c r="N468" t="s">
        <v>725</v>
      </c>
      <c r="O468" t="s">
        <v>1190</v>
      </c>
      <c r="P468">
        <v>242.31</v>
      </c>
      <c r="Q468">
        <v>587.95000000000005</v>
      </c>
      <c r="R468" t="s">
        <v>1490</v>
      </c>
      <c r="S468" s="31">
        <v>0.22900000000000001</v>
      </c>
      <c r="T468">
        <v>6</v>
      </c>
      <c r="U468">
        <v>2719.8567000000003</v>
      </c>
      <c r="V468">
        <v>369018.99690999999</v>
      </c>
      <c r="W468">
        <v>1453.8600000000001</v>
      </c>
      <c r="X468">
        <v>1265.9967000000001</v>
      </c>
      <c r="Y468" s="31">
        <v>0.46546448568411714</v>
      </c>
      <c r="Z468">
        <v>202406</v>
      </c>
      <c r="AA468">
        <v>202301</v>
      </c>
      <c r="AB468" t="s">
        <v>1458</v>
      </c>
      <c r="AC468">
        <v>17</v>
      </c>
      <c r="AD468" t="s">
        <v>1483</v>
      </c>
      <c r="AE468">
        <v>1</v>
      </c>
      <c r="AF468">
        <v>1</v>
      </c>
    </row>
    <row r="469" spans="1:32" x14ac:dyDescent="0.25">
      <c r="A469" t="s">
        <v>473</v>
      </c>
      <c r="B469" s="4">
        <v>45278</v>
      </c>
      <c r="C469" t="s">
        <v>1450</v>
      </c>
      <c r="D469" t="s">
        <v>1482</v>
      </c>
      <c r="E469" s="4">
        <v>45305</v>
      </c>
      <c r="F469">
        <v>27</v>
      </c>
      <c r="G469" t="s">
        <v>639</v>
      </c>
      <c r="H469" t="s">
        <v>646</v>
      </c>
      <c r="I469" t="s">
        <v>683</v>
      </c>
      <c r="J469" t="s">
        <v>1521</v>
      </c>
      <c r="K469" t="s">
        <v>696</v>
      </c>
      <c r="L469" t="s">
        <v>702</v>
      </c>
      <c r="M469" t="s">
        <v>718</v>
      </c>
      <c r="N469" t="s">
        <v>721</v>
      </c>
      <c r="O469" t="s">
        <v>1191</v>
      </c>
      <c r="P469">
        <v>1408.3</v>
      </c>
      <c r="Q469">
        <v>2193.13</v>
      </c>
      <c r="R469" t="s">
        <v>1492</v>
      </c>
      <c r="S469" s="31">
        <v>7.0999999999999994E-2</v>
      </c>
      <c r="T469">
        <v>7</v>
      </c>
      <c r="U469">
        <v>14261.92439</v>
      </c>
      <c r="V469">
        <v>369018.99690999999</v>
      </c>
      <c r="W469">
        <v>9858.1</v>
      </c>
      <c r="X469">
        <v>4403.8243899999998</v>
      </c>
      <c r="Y469" s="31">
        <v>0.30878191957656281</v>
      </c>
      <c r="Z469">
        <v>202312</v>
      </c>
      <c r="AA469">
        <v>202301</v>
      </c>
      <c r="AB469" t="s">
        <v>1450</v>
      </c>
      <c r="AC469">
        <v>11</v>
      </c>
      <c r="AD469" t="s">
        <v>1484</v>
      </c>
      <c r="AE469">
        <v>0</v>
      </c>
      <c r="AF469">
        <v>0</v>
      </c>
    </row>
    <row r="470" spans="1:32" x14ac:dyDescent="0.25">
      <c r="A470" t="s">
        <v>474</v>
      </c>
      <c r="B470" s="4">
        <v>45809</v>
      </c>
      <c r="C470" t="s">
        <v>1460</v>
      </c>
      <c r="D470" t="s">
        <v>1480</v>
      </c>
      <c r="E470" s="4">
        <v>45813</v>
      </c>
      <c r="F470">
        <v>4</v>
      </c>
      <c r="G470" t="s">
        <v>641</v>
      </c>
      <c r="H470" t="s">
        <v>648</v>
      </c>
      <c r="I470" t="s">
        <v>676</v>
      </c>
      <c r="J470" t="s">
        <v>1514</v>
      </c>
      <c r="K470" t="s">
        <v>698</v>
      </c>
      <c r="L470" t="s">
        <v>703</v>
      </c>
      <c r="M470" t="s">
        <v>716</v>
      </c>
      <c r="N470" t="s">
        <v>719</v>
      </c>
      <c r="O470" t="s">
        <v>1192</v>
      </c>
      <c r="P470">
        <v>1171.42</v>
      </c>
      <c r="Q470">
        <v>2187.8000000000002</v>
      </c>
      <c r="R470" t="s">
        <v>1492</v>
      </c>
      <c r="S470" s="31">
        <v>0.23</v>
      </c>
      <c r="T470">
        <v>15</v>
      </c>
      <c r="U470">
        <v>25269.09</v>
      </c>
      <c r="V470">
        <v>369018.99690999999</v>
      </c>
      <c r="W470">
        <v>17571.300000000003</v>
      </c>
      <c r="X470">
        <v>7697.7899999999972</v>
      </c>
      <c r="Y470" s="31">
        <v>0.30463265594447592</v>
      </c>
      <c r="Z470">
        <v>202506</v>
      </c>
      <c r="AA470">
        <v>202301</v>
      </c>
      <c r="AB470" t="s">
        <v>1458</v>
      </c>
      <c r="AC470">
        <v>29</v>
      </c>
      <c r="AD470" t="s">
        <v>1483</v>
      </c>
      <c r="AE470">
        <v>1</v>
      </c>
      <c r="AF470">
        <v>1</v>
      </c>
    </row>
    <row r="471" spans="1:32" x14ac:dyDescent="0.25">
      <c r="A471" t="s">
        <v>475</v>
      </c>
      <c r="B471" s="4">
        <v>45739</v>
      </c>
      <c r="C471" t="s">
        <v>1461</v>
      </c>
      <c r="D471" t="s">
        <v>1479</v>
      </c>
      <c r="E471" s="4">
        <v>45749</v>
      </c>
      <c r="F471">
        <v>10</v>
      </c>
      <c r="G471" t="s">
        <v>641</v>
      </c>
      <c r="H471" t="s">
        <v>648</v>
      </c>
      <c r="I471" t="s">
        <v>663</v>
      </c>
      <c r="J471" t="s">
        <v>1501</v>
      </c>
      <c r="K471" t="s">
        <v>698</v>
      </c>
      <c r="L471" t="s">
        <v>700</v>
      </c>
      <c r="M471" t="s">
        <v>710</v>
      </c>
      <c r="N471" t="s">
        <v>720</v>
      </c>
      <c r="O471" t="s">
        <v>1193</v>
      </c>
      <c r="P471">
        <v>663.61</v>
      </c>
      <c r="Q471">
        <v>1002.11</v>
      </c>
      <c r="R471" t="s">
        <v>1496</v>
      </c>
      <c r="S471" s="31">
        <v>4.5999999999999999E-2</v>
      </c>
      <c r="T471">
        <v>17</v>
      </c>
      <c r="U471">
        <v>16252.219979999998</v>
      </c>
      <c r="V471">
        <v>343749.90690999996</v>
      </c>
      <c r="W471">
        <v>11281.37</v>
      </c>
      <c r="X471">
        <v>4970.8499799999972</v>
      </c>
      <c r="Y471" s="31">
        <v>0.30585667595670812</v>
      </c>
      <c r="Z471">
        <v>202503</v>
      </c>
      <c r="AA471">
        <v>202301</v>
      </c>
      <c r="AB471" t="s">
        <v>1469</v>
      </c>
      <c r="AC471">
        <v>26</v>
      </c>
      <c r="AD471" t="s">
        <v>1484</v>
      </c>
      <c r="AE471">
        <v>0</v>
      </c>
      <c r="AF471">
        <v>0</v>
      </c>
    </row>
    <row r="472" spans="1:32" x14ac:dyDescent="0.25">
      <c r="A472" t="s">
        <v>476</v>
      </c>
      <c r="B472" s="4">
        <v>45060</v>
      </c>
      <c r="C472" t="s">
        <v>1462</v>
      </c>
      <c r="D472" t="s">
        <v>1480</v>
      </c>
      <c r="E472" s="4">
        <v>45068</v>
      </c>
      <c r="F472">
        <v>8</v>
      </c>
      <c r="G472" t="s">
        <v>638</v>
      </c>
      <c r="H472" t="s">
        <v>642</v>
      </c>
      <c r="I472" t="s">
        <v>667</v>
      </c>
      <c r="J472" t="s">
        <v>1505</v>
      </c>
      <c r="K472" t="s">
        <v>697</v>
      </c>
      <c r="L472" t="s">
        <v>702</v>
      </c>
      <c r="M472" t="s">
        <v>713</v>
      </c>
      <c r="N472" t="s">
        <v>720</v>
      </c>
      <c r="O472" t="s">
        <v>1194</v>
      </c>
      <c r="P472">
        <v>432.01</v>
      </c>
      <c r="Q472">
        <v>913.78</v>
      </c>
      <c r="R472" t="s">
        <v>1490</v>
      </c>
      <c r="S472" s="31">
        <v>4.9000000000000002E-2</v>
      </c>
      <c r="T472">
        <v>12</v>
      </c>
      <c r="U472">
        <v>10428.057360000001</v>
      </c>
      <c r="V472">
        <v>343749.90690999996</v>
      </c>
      <c r="W472">
        <v>5184.12</v>
      </c>
      <c r="X472">
        <v>5243.9373600000008</v>
      </c>
      <c r="Y472" s="31">
        <v>0.50286809699711899</v>
      </c>
      <c r="Z472">
        <v>202305</v>
      </c>
      <c r="AA472">
        <v>202301</v>
      </c>
      <c r="AB472" t="s">
        <v>1462</v>
      </c>
      <c r="AC472">
        <v>4</v>
      </c>
      <c r="AD472" t="s">
        <v>1484</v>
      </c>
      <c r="AE472">
        <v>0</v>
      </c>
      <c r="AF472">
        <v>0</v>
      </c>
    </row>
    <row r="473" spans="1:32" x14ac:dyDescent="0.25">
      <c r="A473" t="s">
        <v>477</v>
      </c>
      <c r="B473" s="4">
        <v>45167</v>
      </c>
      <c r="C473" t="s">
        <v>1448</v>
      </c>
      <c r="D473" t="s">
        <v>1481</v>
      </c>
      <c r="E473" s="4">
        <v>45188</v>
      </c>
      <c r="F473">
        <v>21</v>
      </c>
      <c r="G473" t="s">
        <v>641</v>
      </c>
      <c r="H473" t="s">
        <v>649</v>
      </c>
      <c r="I473" t="s">
        <v>671</v>
      </c>
      <c r="J473" t="s">
        <v>1509</v>
      </c>
      <c r="K473" t="s">
        <v>697</v>
      </c>
      <c r="L473" t="s">
        <v>703</v>
      </c>
      <c r="M473" t="s">
        <v>709</v>
      </c>
      <c r="N473" t="s">
        <v>720</v>
      </c>
      <c r="O473" t="s">
        <v>1195</v>
      </c>
      <c r="P473">
        <v>784.46</v>
      </c>
      <c r="Q473">
        <v>1843.51</v>
      </c>
      <c r="R473" t="s">
        <v>1496</v>
      </c>
      <c r="S473" s="31">
        <v>0.13800000000000001</v>
      </c>
      <c r="T473">
        <v>23</v>
      </c>
      <c r="U473">
        <v>36549.429260000004</v>
      </c>
      <c r="V473">
        <v>343749.90690999996</v>
      </c>
      <c r="W473">
        <v>18042.580000000002</v>
      </c>
      <c r="X473">
        <v>18506.849260000003</v>
      </c>
      <c r="Y473" s="31">
        <v>0.50635125184441798</v>
      </c>
      <c r="Z473">
        <v>202308</v>
      </c>
      <c r="AA473">
        <v>202301</v>
      </c>
      <c r="AB473" t="s">
        <v>1448</v>
      </c>
      <c r="AC473">
        <v>7</v>
      </c>
      <c r="AD473" t="s">
        <v>1484</v>
      </c>
      <c r="AE473">
        <v>0</v>
      </c>
      <c r="AF473">
        <v>0</v>
      </c>
    </row>
    <row r="474" spans="1:32" x14ac:dyDescent="0.25">
      <c r="A474" t="s">
        <v>478</v>
      </c>
      <c r="B474" s="4">
        <v>45841</v>
      </c>
      <c r="C474" t="s">
        <v>1457</v>
      </c>
      <c r="D474" t="s">
        <v>1481</v>
      </c>
      <c r="E474" s="4">
        <v>45861</v>
      </c>
      <c r="F474">
        <v>20</v>
      </c>
      <c r="G474" t="s">
        <v>639</v>
      </c>
      <c r="H474" t="s">
        <v>651</v>
      </c>
      <c r="I474" t="s">
        <v>691</v>
      </c>
      <c r="J474" t="s">
        <v>1530</v>
      </c>
      <c r="K474" t="s">
        <v>697</v>
      </c>
      <c r="L474" t="s">
        <v>700</v>
      </c>
      <c r="M474" t="s">
        <v>716</v>
      </c>
      <c r="N474" t="s">
        <v>719</v>
      </c>
      <c r="O474" t="s">
        <v>1196</v>
      </c>
      <c r="P474">
        <v>647.36</v>
      </c>
      <c r="Q474">
        <v>1383.6</v>
      </c>
      <c r="R474" t="s">
        <v>1496</v>
      </c>
      <c r="S474" s="31">
        <v>7.3999999999999996E-2</v>
      </c>
      <c r="T474">
        <v>12</v>
      </c>
      <c r="U474">
        <v>15374.563199999999</v>
      </c>
      <c r="V474">
        <v>343749.90690999996</v>
      </c>
      <c r="W474">
        <v>7768.32</v>
      </c>
      <c r="X474">
        <v>7606.243199999999</v>
      </c>
      <c r="Y474" s="31">
        <v>0.49472906000997802</v>
      </c>
      <c r="Z474">
        <v>202507</v>
      </c>
      <c r="AA474">
        <v>202301</v>
      </c>
      <c r="AB474" t="s">
        <v>1468</v>
      </c>
      <c r="AC474">
        <v>30</v>
      </c>
      <c r="AD474" t="s">
        <v>1484</v>
      </c>
      <c r="AE474">
        <v>0</v>
      </c>
      <c r="AF474">
        <v>0</v>
      </c>
    </row>
    <row r="475" spans="1:32" x14ac:dyDescent="0.25">
      <c r="A475" t="s">
        <v>479</v>
      </c>
      <c r="B475" s="4">
        <v>45328</v>
      </c>
      <c r="C475" t="s">
        <v>1452</v>
      </c>
      <c r="D475" t="s">
        <v>1479</v>
      </c>
      <c r="E475" s="4">
        <v>45350</v>
      </c>
      <c r="F475">
        <v>22</v>
      </c>
      <c r="G475" t="s">
        <v>638</v>
      </c>
      <c r="H475" t="s">
        <v>642</v>
      </c>
      <c r="I475" t="s">
        <v>654</v>
      </c>
      <c r="J475" t="s">
        <v>1489</v>
      </c>
      <c r="K475" t="s">
        <v>695</v>
      </c>
      <c r="L475" t="s">
        <v>700</v>
      </c>
      <c r="M475" t="s">
        <v>715</v>
      </c>
      <c r="N475" t="s">
        <v>724</v>
      </c>
      <c r="O475" t="s">
        <v>1197</v>
      </c>
      <c r="P475">
        <v>834.93</v>
      </c>
      <c r="Q475">
        <v>1588.53</v>
      </c>
      <c r="R475" t="s">
        <v>1496</v>
      </c>
      <c r="S475" s="31">
        <v>0.126</v>
      </c>
      <c r="T475">
        <v>6</v>
      </c>
      <c r="U475">
        <v>8330.2513199999994</v>
      </c>
      <c r="V475">
        <v>328375.34370999999</v>
      </c>
      <c r="W475">
        <v>5009.58</v>
      </c>
      <c r="X475">
        <v>3320.6713199999995</v>
      </c>
      <c r="Y475" s="31">
        <v>0.39862798761274343</v>
      </c>
      <c r="Z475">
        <v>202402</v>
      </c>
      <c r="AA475">
        <v>202301</v>
      </c>
      <c r="AB475" t="s">
        <v>1451</v>
      </c>
      <c r="AC475">
        <v>13</v>
      </c>
      <c r="AD475" t="s">
        <v>1484</v>
      </c>
      <c r="AE475">
        <v>0</v>
      </c>
      <c r="AF475">
        <v>0</v>
      </c>
    </row>
    <row r="476" spans="1:32" x14ac:dyDescent="0.25">
      <c r="A476" t="s">
        <v>480</v>
      </c>
      <c r="B476" s="4">
        <v>45882</v>
      </c>
      <c r="C476" t="s">
        <v>1449</v>
      </c>
      <c r="D476" t="s">
        <v>1481</v>
      </c>
      <c r="E476" s="4">
        <v>45903</v>
      </c>
      <c r="F476">
        <v>21</v>
      </c>
      <c r="G476" t="s">
        <v>641</v>
      </c>
      <c r="H476" t="s">
        <v>649</v>
      </c>
      <c r="I476" t="s">
        <v>682</v>
      </c>
      <c r="J476" t="s">
        <v>1520</v>
      </c>
      <c r="K476" t="s">
        <v>694</v>
      </c>
      <c r="L476" t="s">
        <v>699</v>
      </c>
      <c r="M476" t="s">
        <v>706</v>
      </c>
      <c r="N476" t="s">
        <v>722</v>
      </c>
      <c r="O476" t="s">
        <v>1198</v>
      </c>
      <c r="P476">
        <v>603.47</v>
      </c>
      <c r="Q476">
        <v>1344.05</v>
      </c>
      <c r="R476" t="s">
        <v>1496</v>
      </c>
      <c r="S476" s="31">
        <v>0.20499999999999999</v>
      </c>
      <c r="T476">
        <v>18</v>
      </c>
      <c r="U476">
        <v>19233.355499999998</v>
      </c>
      <c r="V476">
        <v>328375.34370999999</v>
      </c>
      <c r="W476">
        <v>10862.460000000001</v>
      </c>
      <c r="X476">
        <v>8370.8954999999969</v>
      </c>
      <c r="Y476" s="31">
        <v>0.43522803392262976</v>
      </c>
      <c r="Z476">
        <v>202508</v>
      </c>
      <c r="AA476">
        <v>202301</v>
      </c>
      <c r="AB476" t="s">
        <v>1448</v>
      </c>
      <c r="AC476">
        <v>31</v>
      </c>
      <c r="AD476" t="s">
        <v>1484</v>
      </c>
      <c r="AE476">
        <v>0</v>
      </c>
      <c r="AF476">
        <v>1</v>
      </c>
    </row>
    <row r="477" spans="1:32" x14ac:dyDescent="0.25">
      <c r="A477" t="s">
        <v>481</v>
      </c>
      <c r="B477" s="4">
        <v>45069</v>
      </c>
      <c r="C477" t="s">
        <v>1462</v>
      </c>
      <c r="D477" t="s">
        <v>1480</v>
      </c>
      <c r="E477" s="4">
        <v>45071</v>
      </c>
      <c r="F477">
        <v>2</v>
      </c>
      <c r="G477" t="s">
        <v>640</v>
      </c>
      <c r="H477" t="s">
        <v>647</v>
      </c>
      <c r="I477" t="s">
        <v>684</v>
      </c>
      <c r="J477" t="s">
        <v>1522</v>
      </c>
      <c r="K477" t="s">
        <v>698</v>
      </c>
      <c r="L477" t="s">
        <v>699</v>
      </c>
      <c r="M477" t="s">
        <v>716</v>
      </c>
      <c r="N477" t="s">
        <v>720</v>
      </c>
      <c r="O477" t="s">
        <v>1199</v>
      </c>
      <c r="P477">
        <v>690.49</v>
      </c>
      <c r="Q477">
        <v>1290.29</v>
      </c>
      <c r="R477" t="s">
        <v>1496</v>
      </c>
      <c r="S477" s="31">
        <v>4.2000000000000003E-2</v>
      </c>
      <c r="T477">
        <v>22</v>
      </c>
      <c r="U477">
        <v>27194.152039999997</v>
      </c>
      <c r="V477">
        <v>328375.34370999999</v>
      </c>
      <c r="W477">
        <v>15190.78</v>
      </c>
      <c r="X477">
        <v>12003.372039999997</v>
      </c>
      <c r="Y477" s="31">
        <v>0.44139534199647718</v>
      </c>
      <c r="Z477">
        <v>202305</v>
      </c>
      <c r="AA477">
        <v>202301</v>
      </c>
      <c r="AB477" t="s">
        <v>1462</v>
      </c>
      <c r="AC477">
        <v>4</v>
      </c>
      <c r="AD477" t="s">
        <v>1483</v>
      </c>
      <c r="AE477">
        <v>1</v>
      </c>
      <c r="AF477">
        <v>0</v>
      </c>
    </row>
    <row r="478" spans="1:32" x14ac:dyDescent="0.25">
      <c r="A478" t="s">
        <v>482</v>
      </c>
      <c r="B478" s="4">
        <v>45422</v>
      </c>
      <c r="C478" t="s">
        <v>1463</v>
      </c>
      <c r="D478" t="s">
        <v>1480</v>
      </c>
      <c r="E478" s="4">
        <v>45428</v>
      </c>
      <c r="F478">
        <v>6</v>
      </c>
      <c r="G478" t="s">
        <v>641</v>
      </c>
      <c r="H478" t="s">
        <v>650</v>
      </c>
      <c r="I478" t="s">
        <v>666</v>
      </c>
      <c r="J478" t="s">
        <v>1504</v>
      </c>
      <c r="K478" t="s">
        <v>695</v>
      </c>
      <c r="L478" t="s">
        <v>703</v>
      </c>
      <c r="M478" t="s">
        <v>707</v>
      </c>
      <c r="N478" t="s">
        <v>723</v>
      </c>
      <c r="O478" t="s">
        <v>1200</v>
      </c>
      <c r="P478">
        <v>210.76</v>
      </c>
      <c r="Q478">
        <v>221.58</v>
      </c>
      <c r="R478" t="s">
        <v>1490</v>
      </c>
      <c r="S478" s="31">
        <v>8.8999999999999996E-2</v>
      </c>
      <c r="T478">
        <v>5</v>
      </c>
      <c r="U478">
        <v>1009.2969000000002</v>
      </c>
      <c r="V478">
        <v>328375.34370999999</v>
      </c>
      <c r="W478">
        <v>1053.8</v>
      </c>
      <c r="X478">
        <v>-44.50309999999979</v>
      </c>
      <c r="Y478" s="31">
        <v>-4.4093170205912434E-2</v>
      </c>
      <c r="Z478">
        <v>202405</v>
      </c>
      <c r="AA478">
        <v>202301</v>
      </c>
      <c r="AB478" t="s">
        <v>1462</v>
      </c>
      <c r="AC478">
        <v>16</v>
      </c>
      <c r="AD478" t="s">
        <v>1483</v>
      </c>
      <c r="AE478">
        <v>1</v>
      </c>
      <c r="AF478">
        <v>0</v>
      </c>
    </row>
    <row r="479" spans="1:32" x14ac:dyDescent="0.25">
      <c r="A479" t="s">
        <v>483</v>
      </c>
      <c r="B479" s="4">
        <v>44999</v>
      </c>
      <c r="C479" t="s">
        <v>1469</v>
      </c>
      <c r="D479" t="s">
        <v>1479</v>
      </c>
      <c r="E479" s="4">
        <v>45003</v>
      </c>
      <c r="F479">
        <v>4</v>
      </c>
      <c r="G479" t="s">
        <v>641</v>
      </c>
      <c r="H479" t="s">
        <v>648</v>
      </c>
      <c r="I479" t="s">
        <v>690</v>
      </c>
      <c r="J479" t="s">
        <v>1529</v>
      </c>
      <c r="K479" t="s">
        <v>698</v>
      </c>
      <c r="L479" t="s">
        <v>703</v>
      </c>
      <c r="M479" t="s">
        <v>712</v>
      </c>
      <c r="N479" t="s">
        <v>719</v>
      </c>
      <c r="O479" t="s">
        <v>1201</v>
      </c>
      <c r="P479">
        <v>472.33</v>
      </c>
      <c r="Q479">
        <v>360.34</v>
      </c>
      <c r="R479" t="s">
        <v>1490</v>
      </c>
      <c r="S479" s="31">
        <v>0.16500000000000001</v>
      </c>
      <c r="T479">
        <v>14</v>
      </c>
      <c r="U479">
        <v>4212.3745999999992</v>
      </c>
      <c r="V479">
        <v>328375.34370999999</v>
      </c>
      <c r="W479">
        <v>6612.62</v>
      </c>
      <c r="X479">
        <v>-2400.2454000000007</v>
      </c>
      <c r="Y479" s="31">
        <v>-0.56980815523861561</v>
      </c>
      <c r="Z479">
        <v>202303</v>
      </c>
      <c r="AA479">
        <v>202301</v>
      </c>
      <c r="AB479" t="s">
        <v>1469</v>
      </c>
      <c r="AC479">
        <v>2</v>
      </c>
      <c r="AD479" t="s">
        <v>1483</v>
      </c>
      <c r="AE479">
        <v>1</v>
      </c>
      <c r="AF479">
        <v>0</v>
      </c>
    </row>
    <row r="480" spans="1:32" x14ac:dyDescent="0.25">
      <c r="A480" t="s">
        <v>484</v>
      </c>
      <c r="B480" s="4">
        <v>45123</v>
      </c>
      <c r="C480" t="s">
        <v>1468</v>
      </c>
      <c r="D480" t="s">
        <v>1481</v>
      </c>
      <c r="E480" s="4">
        <v>45151</v>
      </c>
      <c r="F480">
        <v>28</v>
      </c>
      <c r="G480" t="s">
        <v>641</v>
      </c>
      <c r="H480" t="s">
        <v>650</v>
      </c>
      <c r="I480" t="s">
        <v>685</v>
      </c>
      <c r="J480" t="s">
        <v>1523</v>
      </c>
      <c r="K480" t="s">
        <v>695</v>
      </c>
      <c r="L480" t="s">
        <v>700</v>
      </c>
      <c r="M480" t="s">
        <v>705</v>
      </c>
      <c r="N480" t="s">
        <v>723</v>
      </c>
      <c r="O480" t="s">
        <v>1202</v>
      </c>
      <c r="P480">
        <v>1039.03</v>
      </c>
      <c r="Q480">
        <v>2545.81</v>
      </c>
      <c r="R480" t="s">
        <v>1492</v>
      </c>
      <c r="S480" s="31">
        <v>0.216</v>
      </c>
      <c r="T480">
        <v>21</v>
      </c>
      <c r="U480">
        <v>41914.215840000004</v>
      </c>
      <c r="V480">
        <v>324162.96910999995</v>
      </c>
      <c r="W480">
        <v>21819.63</v>
      </c>
      <c r="X480">
        <v>20094.585840000003</v>
      </c>
      <c r="Y480" s="31">
        <v>0.47942172929364774</v>
      </c>
      <c r="Z480">
        <v>202307</v>
      </c>
      <c r="AA480">
        <v>202301</v>
      </c>
      <c r="AB480" t="s">
        <v>1468</v>
      </c>
      <c r="AC480">
        <v>6</v>
      </c>
      <c r="AD480" t="s">
        <v>1484</v>
      </c>
      <c r="AE480">
        <v>0</v>
      </c>
      <c r="AF480">
        <v>1</v>
      </c>
    </row>
    <row r="481" spans="1:32" x14ac:dyDescent="0.25">
      <c r="A481" t="s">
        <v>485</v>
      </c>
      <c r="B481" s="4">
        <v>45032</v>
      </c>
      <c r="C481" t="s">
        <v>1446</v>
      </c>
      <c r="D481" t="s">
        <v>1480</v>
      </c>
      <c r="E481" s="4">
        <v>45035</v>
      </c>
      <c r="F481">
        <v>3</v>
      </c>
      <c r="G481" t="s">
        <v>641</v>
      </c>
      <c r="H481" t="s">
        <v>648</v>
      </c>
      <c r="I481" t="s">
        <v>676</v>
      </c>
      <c r="J481" t="s">
        <v>1514</v>
      </c>
      <c r="K481" t="s">
        <v>693</v>
      </c>
      <c r="L481" t="s">
        <v>703</v>
      </c>
      <c r="M481" t="s">
        <v>709</v>
      </c>
      <c r="N481" t="s">
        <v>725</v>
      </c>
      <c r="O481" t="s">
        <v>1203</v>
      </c>
      <c r="P481">
        <v>553.61</v>
      </c>
      <c r="Q481">
        <v>699.47</v>
      </c>
      <c r="R481" t="s">
        <v>1496</v>
      </c>
      <c r="S481" s="31">
        <v>0.02</v>
      </c>
      <c r="T481">
        <v>33</v>
      </c>
      <c r="U481">
        <v>22620.859800000002</v>
      </c>
      <c r="V481">
        <v>324162.96910999995</v>
      </c>
      <c r="W481">
        <v>18269.13</v>
      </c>
      <c r="X481">
        <v>4351.729800000001</v>
      </c>
      <c r="Y481" s="31">
        <v>0.19237685209472014</v>
      </c>
      <c r="Z481">
        <v>202304</v>
      </c>
      <c r="AA481">
        <v>202301</v>
      </c>
      <c r="AB481" t="s">
        <v>1446</v>
      </c>
      <c r="AC481">
        <v>3</v>
      </c>
      <c r="AD481" t="s">
        <v>1483</v>
      </c>
      <c r="AE481">
        <v>1</v>
      </c>
      <c r="AF481">
        <v>0</v>
      </c>
    </row>
    <row r="482" spans="1:32" x14ac:dyDescent="0.25">
      <c r="A482" t="s">
        <v>486</v>
      </c>
      <c r="B482" s="4">
        <v>45293</v>
      </c>
      <c r="C482" t="s">
        <v>1454</v>
      </c>
      <c r="D482" t="s">
        <v>1479</v>
      </c>
      <c r="E482" s="4">
        <v>45306</v>
      </c>
      <c r="F482">
        <v>13</v>
      </c>
      <c r="G482" t="s">
        <v>639</v>
      </c>
      <c r="H482" t="s">
        <v>644</v>
      </c>
      <c r="I482" t="s">
        <v>686</v>
      </c>
      <c r="J482" t="s">
        <v>1524</v>
      </c>
      <c r="K482" t="s">
        <v>697</v>
      </c>
      <c r="L482" t="s">
        <v>701</v>
      </c>
      <c r="M482" t="s">
        <v>707</v>
      </c>
      <c r="N482" t="s">
        <v>721</v>
      </c>
      <c r="O482" t="s">
        <v>1204</v>
      </c>
      <c r="P482">
        <v>1219.06</v>
      </c>
      <c r="Q482">
        <v>2738.69</v>
      </c>
      <c r="R482" t="s">
        <v>1492</v>
      </c>
      <c r="S482" s="31">
        <v>7.5999999999999998E-2</v>
      </c>
      <c r="T482">
        <v>16</v>
      </c>
      <c r="U482">
        <v>40488.792960000006</v>
      </c>
      <c r="V482">
        <v>324162.96910999995</v>
      </c>
      <c r="W482">
        <v>19504.96</v>
      </c>
      <c r="X482">
        <v>20983.832960000007</v>
      </c>
      <c r="Y482" s="31">
        <v>0.51826274447673737</v>
      </c>
      <c r="Z482">
        <v>202401</v>
      </c>
      <c r="AA482">
        <v>202303</v>
      </c>
      <c r="AB482" t="s">
        <v>1477</v>
      </c>
      <c r="AC482">
        <v>10</v>
      </c>
      <c r="AD482" t="s">
        <v>1484</v>
      </c>
      <c r="AE482">
        <v>0</v>
      </c>
      <c r="AF482">
        <v>0</v>
      </c>
    </row>
    <row r="483" spans="1:32" x14ac:dyDescent="0.25">
      <c r="A483" t="s">
        <v>487</v>
      </c>
      <c r="B483" s="4">
        <v>45538</v>
      </c>
      <c r="C483" t="s">
        <v>1466</v>
      </c>
      <c r="D483" t="s">
        <v>1481</v>
      </c>
      <c r="E483" s="4">
        <v>45542</v>
      </c>
      <c r="F483">
        <v>4</v>
      </c>
      <c r="G483" t="s">
        <v>639</v>
      </c>
      <c r="H483" t="s">
        <v>644</v>
      </c>
      <c r="I483" t="s">
        <v>681</v>
      </c>
      <c r="J483" t="s">
        <v>1519</v>
      </c>
      <c r="K483" t="s">
        <v>697</v>
      </c>
      <c r="L483" t="s">
        <v>702</v>
      </c>
      <c r="M483" t="s">
        <v>717</v>
      </c>
      <c r="N483" t="s">
        <v>720</v>
      </c>
      <c r="O483" t="s">
        <v>1205</v>
      </c>
      <c r="P483">
        <v>43.23</v>
      </c>
      <c r="Q483">
        <v>94.78</v>
      </c>
      <c r="R483" t="s">
        <v>1490</v>
      </c>
      <c r="S483" s="31">
        <v>9.0999999999999998E-2</v>
      </c>
      <c r="T483">
        <v>55</v>
      </c>
      <c r="U483">
        <v>4738.5261</v>
      </c>
      <c r="V483">
        <v>324162.96910999995</v>
      </c>
      <c r="W483">
        <v>2377.6499999999996</v>
      </c>
      <c r="X483">
        <v>2360.8761000000004</v>
      </c>
      <c r="Y483" s="31">
        <v>0.49823005090127082</v>
      </c>
      <c r="Z483">
        <v>202409</v>
      </c>
      <c r="AA483">
        <v>202303</v>
      </c>
      <c r="AB483" t="s">
        <v>1465</v>
      </c>
      <c r="AC483">
        <v>18</v>
      </c>
      <c r="AD483" t="s">
        <v>1483</v>
      </c>
      <c r="AE483">
        <v>1</v>
      </c>
      <c r="AF483">
        <v>0</v>
      </c>
    </row>
    <row r="484" spans="1:32" x14ac:dyDescent="0.25">
      <c r="A484" t="s">
        <v>488</v>
      </c>
      <c r="B484" s="4">
        <v>45899</v>
      </c>
      <c r="C484" t="s">
        <v>1449</v>
      </c>
      <c r="D484" t="s">
        <v>1481</v>
      </c>
      <c r="E484" s="4">
        <v>45903</v>
      </c>
      <c r="F484">
        <v>4</v>
      </c>
      <c r="G484" t="s">
        <v>641</v>
      </c>
      <c r="H484" t="s">
        <v>649</v>
      </c>
      <c r="I484" t="s">
        <v>665</v>
      </c>
      <c r="J484" t="s">
        <v>1503</v>
      </c>
      <c r="K484" t="s">
        <v>697</v>
      </c>
      <c r="L484" t="s">
        <v>701</v>
      </c>
      <c r="M484" t="s">
        <v>705</v>
      </c>
      <c r="N484" t="s">
        <v>723</v>
      </c>
      <c r="O484" t="s">
        <v>1206</v>
      </c>
      <c r="P484">
        <v>1286.56</v>
      </c>
      <c r="Q484">
        <v>2777.35</v>
      </c>
      <c r="R484" t="s">
        <v>1492</v>
      </c>
      <c r="S484" s="31">
        <v>0.13200000000000001</v>
      </c>
      <c r="T484">
        <v>15</v>
      </c>
      <c r="U484">
        <v>36161.097000000002</v>
      </c>
      <c r="V484">
        <v>324162.96910999995</v>
      </c>
      <c r="W484">
        <v>19298.399999999998</v>
      </c>
      <c r="X484">
        <v>16862.697000000004</v>
      </c>
      <c r="Y484" s="31">
        <v>0.46632150014696744</v>
      </c>
      <c r="Z484">
        <v>202508</v>
      </c>
      <c r="AA484">
        <v>202301</v>
      </c>
      <c r="AB484" t="s">
        <v>1448</v>
      </c>
      <c r="AC484">
        <v>31</v>
      </c>
      <c r="AD484" t="s">
        <v>1483</v>
      </c>
      <c r="AE484">
        <v>1</v>
      </c>
      <c r="AF484">
        <v>0</v>
      </c>
    </row>
    <row r="485" spans="1:32" x14ac:dyDescent="0.25">
      <c r="A485" t="s">
        <v>489</v>
      </c>
      <c r="B485" s="4">
        <v>45775</v>
      </c>
      <c r="C485" t="s">
        <v>1473</v>
      </c>
      <c r="D485" t="s">
        <v>1480</v>
      </c>
      <c r="E485" s="4">
        <v>45796</v>
      </c>
      <c r="F485">
        <v>21</v>
      </c>
      <c r="G485" t="s">
        <v>641</v>
      </c>
      <c r="H485" t="s">
        <v>648</v>
      </c>
      <c r="I485" t="s">
        <v>663</v>
      </c>
      <c r="J485" t="s">
        <v>1501</v>
      </c>
      <c r="K485" t="s">
        <v>693</v>
      </c>
      <c r="L485" t="s">
        <v>702</v>
      </c>
      <c r="M485" t="s">
        <v>709</v>
      </c>
      <c r="N485" t="s">
        <v>722</v>
      </c>
      <c r="O485" t="s">
        <v>1207</v>
      </c>
      <c r="P485">
        <v>350.76</v>
      </c>
      <c r="Q485">
        <v>492.18</v>
      </c>
      <c r="R485" t="s">
        <v>1490</v>
      </c>
      <c r="S485" s="31">
        <v>5.2999999999999999E-2</v>
      </c>
      <c r="T485">
        <v>11</v>
      </c>
      <c r="U485">
        <v>5127.0390600000001</v>
      </c>
      <c r="V485">
        <v>324162.96910999995</v>
      </c>
      <c r="W485">
        <v>3858.3599999999997</v>
      </c>
      <c r="X485">
        <v>1268.6790600000004</v>
      </c>
      <c r="Y485" s="31">
        <v>0.24744868239798437</v>
      </c>
      <c r="Z485">
        <v>202504</v>
      </c>
      <c r="AA485">
        <v>202301</v>
      </c>
      <c r="AB485" t="s">
        <v>1446</v>
      </c>
      <c r="AC485">
        <v>27</v>
      </c>
      <c r="AD485" t="s">
        <v>1484</v>
      </c>
      <c r="AE485">
        <v>0</v>
      </c>
      <c r="AF485">
        <v>0</v>
      </c>
    </row>
    <row r="486" spans="1:32" x14ac:dyDescent="0.25">
      <c r="A486" t="s">
        <v>490</v>
      </c>
      <c r="B486" s="4">
        <v>45148</v>
      </c>
      <c r="C486" t="s">
        <v>1448</v>
      </c>
      <c r="D486" t="s">
        <v>1481</v>
      </c>
      <c r="E486" s="4">
        <v>45153</v>
      </c>
      <c r="F486">
        <v>5</v>
      </c>
      <c r="G486" t="s">
        <v>640</v>
      </c>
      <c r="H486" t="s">
        <v>647</v>
      </c>
      <c r="I486" t="s">
        <v>662</v>
      </c>
      <c r="J486" t="s">
        <v>1500</v>
      </c>
      <c r="K486" t="s">
        <v>694</v>
      </c>
      <c r="L486" t="s">
        <v>703</v>
      </c>
      <c r="M486" t="s">
        <v>707</v>
      </c>
      <c r="N486" t="s">
        <v>721</v>
      </c>
      <c r="O486" t="s">
        <v>1208</v>
      </c>
      <c r="P486">
        <v>1307.52</v>
      </c>
      <c r="Q486">
        <v>1921.65</v>
      </c>
      <c r="R486" t="s">
        <v>1492</v>
      </c>
      <c r="S486" s="31">
        <v>0.123</v>
      </c>
      <c r="T486">
        <v>13</v>
      </c>
      <c r="U486">
        <v>21908.731650000002</v>
      </c>
      <c r="V486">
        <v>324162.96910999995</v>
      </c>
      <c r="W486">
        <v>16997.759999999998</v>
      </c>
      <c r="X486">
        <v>4910.9716500000031</v>
      </c>
      <c r="Y486" s="31">
        <v>0.22415590863289445</v>
      </c>
      <c r="Z486">
        <v>202308</v>
      </c>
      <c r="AA486">
        <v>202301</v>
      </c>
      <c r="AB486" t="s">
        <v>1448</v>
      </c>
      <c r="AC486">
        <v>7</v>
      </c>
      <c r="AD486" t="s">
        <v>1483</v>
      </c>
      <c r="AE486">
        <v>1</v>
      </c>
      <c r="AF486">
        <v>0</v>
      </c>
    </row>
    <row r="487" spans="1:32" x14ac:dyDescent="0.25">
      <c r="A487" t="s">
        <v>491</v>
      </c>
      <c r="B487" s="4">
        <v>45634</v>
      </c>
      <c r="C487" t="s">
        <v>1478</v>
      </c>
      <c r="D487" t="s">
        <v>1482</v>
      </c>
      <c r="E487" s="4">
        <v>45634</v>
      </c>
      <c r="F487">
        <v>0</v>
      </c>
      <c r="G487" t="s">
        <v>641</v>
      </c>
      <c r="H487" t="s">
        <v>649</v>
      </c>
      <c r="I487" t="s">
        <v>671</v>
      </c>
      <c r="J487" t="s">
        <v>1509</v>
      </c>
      <c r="K487" t="s">
        <v>698</v>
      </c>
      <c r="L487" t="s">
        <v>699</v>
      </c>
      <c r="M487" t="s">
        <v>714</v>
      </c>
      <c r="N487" t="s">
        <v>719</v>
      </c>
      <c r="O487" t="s">
        <v>1209</v>
      </c>
      <c r="P487">
        <v>257.44</v>
      </c>
      <c r="Q487">
        <v>290.33</v>
      </c>
      <c r="R487" t="s">
        <v>1490</v>
      </c>
      <c r="S487" s="31">
        <v>9.1999999999999998E-2</v>
      </c>
      <c r="T487">
        <v>23</v>
      </c>
      <c r="U487">
        <v>6063.2517199999993</v>
      </c>
      <c r="V487">
        <v>324162.96910999995</v>
      </c>
      <c r="W487">
        <v>5921.12</v>
      </c>
      <c r="X487">
        <v>142.1317199999994</v>
      </c>
      <c r="Y487" s="31">
        <v>2.3441500792581216E-2</v>
      </c>
      <c r="Z487">
        <v>202412</v>
      </c>
      <c r="AA487">
        <v>202301</v>
      </c>
      <c r="AB487" t="s">
        <v>1450</v>
      </c>
      <c r="AC487">
        <v>23</v>
      </c>
      <c r="AD487" t="s">
        <v>1483</v>
      </c>
      <c r="AE487">
        <v>1</v>
      </c>
      <c r="AF487">
        <v>0</v>
      </c>
    </row>
    <row r="488" spans="1:32" x14ac:dyDescent="0.25">
      <c r="A488" t="s">
        <v>492</v>
      </c>
      <c r="B488" s="4">
        <v>45224</v>
      </c>
      <c r="C488" t="s">
        <v>1476</v>
      </c>
      <c r="D488" t="s">
        <v>1482</v>
      </c>
      <c r="E488" s="4">
        <v>45254</v>
      </c>
      <c r="F488">
        <v>30</v>
      </c>
      <c r="G488" t="s">
        <v>641</v>
      </c>
      <c r="H488" t="s">
        <v>649</v>
      </c>
      <c r="I488" t="s">
        <v>682</v>
      </c>
      <c r="J488" t="s">
        <v>1520</v>
      </c>
      <c r="K488" t="s">
        <v>698</v>
      </c>
      <c r="L488" t="s">
        <v>702</v>
      </c>
      <c r="M488" t="s">
        <v>704</v>
      </c>
      <c r="N488" t="s">
        <v>722</v>
      </c>
      <c r="O488" t="s">
        <v>1210</v>
      </c>
      <c r="P488">
        <v>287.85000000000002</v>
      </c>
      <c r="Q488">
        <v>602.91999999999996</v>
      </c>
      <c r="R488" t="s">
        <v>1490</v>
      </c>
      <c r="S488" s="31">
        <v>0.222</v>
      </c>
      <c r="T488">
        <v>11</v>
      </c>
      <c r="U488">
        <v>5159.7893599999998</v>
      </c>
      <c r="V488">
        <v>318099.71739000001</v>
      </c>
      <c r="W488">
        <v>3166.3500000000004</v>
      </c>
      <c r="X488">
        <v>1993.4393599999994</v>
      </c>
      <c r="Y488" s="31">
        <v>0.38634122847216373</v>
      </c>
      <c r="Z488">
        <v>202310</v>
      </c>
      <c r="AA488">
        <v>202301</v>
      </c>
      <c r="AB488" t="s">
        <v>1476</v>
      </c>
      <c r="AC488">
        <v>9</v>
      </c>
      <c r="AD488" t="s">
        <v>1484</v>
      </c>
      <c r="AE488">
        <v>0</v>
      </c>
      <c r="AF488">
        <v>1</v>
      </c>
    </row>
    <row r="489" spans="1:32" x14ac:dyDescent="0.25">
      <c r="A489" t="s">
        <v>493</v>
      </c>
      <c r="B489" s="4">
        <v>45613</v>
      </c>
      <c r="C489" t="s">
        <v>1472</v>
      </c>
      <c r="D489" t="s">
        <v>1482</v>
      </c>
      <c r="E489" s="4">
        <v>45624</v>
      </c>
      <c r="F489">
        <v>11</v>
      </c>
      <c r="G489" t="s">
        <v>640</v>
      </c>
      <c r="H489" t="s">
        <v>645</v>
      </c>
      <c r="I489" t="s">
        <v>1413</v>
      </c>
      <c r="J489" t="s">
        <v>1536</v>
      </c>
      <c r="K489" t="s">
        <v>696</v>
      </c>
      <c r="L489" t="s">
        <v>702</v>
      </c>
      <c r="M489" t="s">
        <v>712</v>
      </c>
      <c r="N489" t="s">
        <v>720</v>
      </c>
      <c r="O489" t="s">
        <v>1211</v>
      </c>
      <c r="P489">
        <v>1008.16</v>
      </c>
      <c r="Q489">
        <v>2077.5</v>
      </c>
      <c r="R489" t="s">
        <v>1492</v>
      </c>
      <c r="S489" s="31">
        <v>7.3999999999999996E-2</v>
      </c>
      <c r="T489">
        <v>15</v>
      </c>
      <c r="U489">
        <v>28856.475000000002</v>
      </c>
      <c r="V489">
        <v>318099.71739000001</v>
      </c>
      <c r="W489">
        <v>15122.4</v>
      </c>
      <c r="X489">
        <v>13734.075000000003</v>
      </c>
      <c r="Y489" s="31">
        <v>0.47594430712691005</v>
      </c>
      <c r="Z489">
        <v>202411</v>
      </c>
      <c r="AA489">
        <v>202301</v>
      </c>
      <c r="AB489" t="s">
        <v>1475</v>
      </c>
      <c r="AC489">
        <v>22</v>
      </c>
      <c r="AD489" t="s">
        <v>1484</v>
      </c>
      <c r="AE489">
        <v>0</v>
      </c>
      <c r="AF489">
        <v>0</v>
      </c>
    </row>
    <row r="490" spans="1:32" x14ac:dyDescent="0.25">
      <c r="A490" t="s">
        <v>494</v>
      </c>
      <c r="B490" s="4">
        <v>45424</v>
      </c>
      <c r="C490" t="s">
        <v>1463</v>
      </c>
      <c r="D490" t="s">
        <v>1480</v>
      </c>
      <c r="E490" s="4">
        <v>45436</v>
      </c>
      <c r="F490">
        <v>12</v>
      </c>
      <c r="G490" t="s">
        <v>641</v>
      </c>
      <c r="H490" t="s">
        <v>650</v>
      </c>
      <c r="I490" t="s">
        <v>685</v>
      </c>
      <c r="J490" t="s">
        <v>1523</v>
      </c>
      <c r="K490" t="s">
        <v>694</v>
      </c>
      <c r="L490" t="s">
        <v>701</v>
      </c>
      <c r="M490" t="s">
        <v>715</v>
      </c>
      <c r="N490" t="s">
        <v>720</v>
      </c>
      <c r="O490" t="s">
        <v>1212</v>
      </c>
      <c r="P490">
        <v>111.02</v>
      </c>
      <c r="Q490">
        <v>172.88</v>
      </c>
      <c r="R490" t="s">
        <v>1490</v>
      </c>
      <c r="S490" s="31">
        <v>0.19700000000000001</v>
      </c>
      <c r="T490">
        <v>29</v>
      </c>
      <c r="U490">
        <v>4025.8565599999993</v>
      </c>
      <c r="V490">
        <v>318099.71739000001</v>
      </c>
      <c r="W490">
        <v>3219.58</v>
      </c>
      <c r="X490">
        <v>806.27655999999934</v>
      </c>
      <c r="Y490" s="31">
        <v>0.20027453735212053</v>
      </c>
      <c r="Z490">
        <v>202405</v>
      </c>
      <c r="AA490">
        <v>202301</v>
      </c>
      <c r="AB490" t="s">
        <v>1462</v>
      </c>
      <c r="AC490">
        <v>16</v>
      </c>
      <c r="AD490" t="s">
        <v>1484</v>
      </c>
      <c r="AE490">
        <v>0</v>
      </c>
      <c r="AF490">
        <v>0</v>
      </c>
    </row>
    <row r="491" spans="1:32" x14ac:dyDescent="0.25">
      <c r="A491" t="s">
        <v>495</v>
      </c>
      <c r="B491" s="4">
        <v>45792</v>
      </c>
      <c r="C491" t="s">
        <v>1471</v>
      </c>
      <c r="D491" t="s">
        <v>1480</v>
      </c>
      <c r="E491" s="4">
        <v>45813</v>
      </c>
      <c r="F491">
        <v>21</v>
      </c>
      <c r="G491" t="s">
        <v>639</v>
      </c>
      <c r="H491" t="s">
        <v>644</v>
      </c>
      <c r="I491" t="s">
        <v>658</v>
      </c>
      <c r="J491" t="s">
        <v>1495</v>
      </c>
      <c r="K491" t="s">
        <v>698</v>
      </c>
      <c r="L491" t="s">
        <v>703</v>
      </c>
      <c r="M491" t="s">
        <v>714</v>
      </c>
      <c r="N491" t="s">
        <v>722</v>
      </c>
      <c r="O491" t="s">
        <v>1213</v>
      </c>
      <c r="P491">
        <v>1466.5</v>
      </c>
      <c r="Q491">
        <v>2778.74</v>
      </c>
      <c r="R491" t="s">
        <v>1492</v>
      </c>
      <c r="S491" s="31">
        <v>0.13500000000000001</v>
      </c>
      <c r="T491">
        <v>4</v>
      </c>
      <c r="U491">
        <v>9614.4403999999995</v>
      </c>
      <c r="V491">
        <v>318099.71739000001</v>
      </c>
      <c r="W491">
        <v>5866</v>
      </c>
      <c r="X491">
        <v>3748.4403999999995</v>
      </c>
      <c r="Y491" s="31">
        <v>0.38987608680792279</v>
      </c>
      <c r="Z491">
        <v>202505</v>
      </c>
      <c r="AA491">
        <v>202303</v>
      </c>
      <c r="AB491" t="s">
        <v>1462</v>
      </c>
      <c r="AC491">
        <v>26</v>
      </c>
      <c r="AD491" t="s">
        <v>1484</v>
      </c>
      <c r="AE491">
        <v>0</v>
      </c>
      <c r="AF491">
        <v>0</v>
      </c>
    </row>
    <row r="492" spans="1:32" x14ac:dyDescent="0.25">
      <c r="A492" t="s">
        <v>496</v>
      </c>
      <c r="B492" s="4">
        <v>45403</v>
      </c>
      <c r="C492" t="s">
        <v>1447</v>
      </c>
      <c r="D492" t="s">
        <v>1480</v>
      </c>
      <c r="E492" s="4">
        <v>45431</v>
      </c>
      <c r="F492">
        <v>28</v>
      </c>
      <c r="G492" t="s">
        <v>638</v>
      </c>
      <c r="H492" t="s">
        <v>643</v>
      </c>
      <c r="I492" t="s">
        <v>657</v>
      </c>
      <c r="J492" t="s">
        <v>1494</v>
      </c>
      <c r="K492" t="s">
        <v>693</v>
      </c>
      <c r="L492" t="s">
        <v>702</v>
      </c>
      <c r="M492" t="s">
        <v>712</v>
      </c>
      <c r="N492" t="s">
        <v>725</v>
      </c>
      <c r="O492" t="s">
        <v>1214</v>
      </c>
      <c r="P492">
        <v>187.22</v>
      </c>
      <c r="Q492">
        <v>309.47000000000003</v>
      </c>
      <c r="R492" t="s">
        <v>1490</v>
      </c>
      <c r="S492" s="31">
        <v>0</v>
      </c>
      <c r="T492">
        <v>5</v>
      </c>
      <c r="U492">
        <v>1547.3500000000001</v>
      </c>
      <c r="V492">
        <v>318099.71739000001</v>
      </c>
      <c r="W492">
        <v>936.1</v>
      </c>
      <c r="X492">
        <v>611.25000000000011</v>
      </c>
      <c r="Y492" s="31">
        <v>0.39503021294471197</v>
      </c>
      <c r="Z492">
        <v>202404</v>
      </c>
      <c r="AA492">
        <v>202301</v>
      </c>
      <c r="AB492" t="s">
        <v>1446</v>
      </c>
      <c r="AC492">
        <v>15</v>
      </c>
      <c r="AD492" t="s">
        <v>1484</v>
      </c>
      <c r="AE492">
        <v>0</v>
      </c>
      <c r="AF492">
        <v>0</v>
      </c>
    </row>
    <row r="493" spans="1:32" x14ac:dyDescent="0.25">
      <c r="A493" t="s">
        <v>497</v>
      </c>
      <c r="B493" s="4">
        <v>45523</v>
      </c>
      <c r="C493" t="s">
        <v>1474</v>
      </c>
      <c r="D493" t="s">
        <v>1481</v>
      </c>
      <c r="E493" s="4">
        <v>45542</v>
      </c>
      <c r="F493">
        <v>19</v>
      </c>
      <c r="G493" t="s">
        <v>641</v>
      </c>
      <c r="H493" t="s">
        <v>649</v>
      </c>
      <c r="I493" t="s">
        <v>671</v>
      </c>
      <c r="J493" t="s">
        <v>1509</v>
      </c>
      <c r="K493" t="s">
        <v>693</v>
      </c>
      <c r="L493" t="s">
        <v>703</v>
      </c>
      <c r="M493" t="s">
        <v>705</v>
      </c>
      <c r="N493" t="s">
        <v>719</v>
      </c>
      <c r="O493" t="s">
        <v>1215</v>
      </c>
      <c r="P493">
        <v>297.58999999999997</v>
      </c>
      <c r="Q493">
        <v>666.41</v>
      </c>
      <c r="R493" t="s">
        <v>1490</v>
      </c>
      <c r="S493" s="31">
        <v>0</v>
      </c>
      <c r="T493">
        <v>10</v>
      </c>
      <c r="U493">
        <v>6664.0999999999995</v>
      </c>
      <c r="V493">
        <v>318099.71739000001</v>
      </c>
      <c r="W493">
        <v>2975.8999999999996</v>
      </c>
      <c r="X493">
        <v>3688.2</v>
      </c>
      <c r="Y493" s="31">
        <v>0.55344307558409989</v>
      </c>
      <c r="Z493">
        <v>202408</v>
      </c>
      <c r="AA493">
        <v>202301</v>
      </c>
      <c r="AB493" t="s">
        <v>1448</v>
      </c>
      <c r="AC493">
        <v>19</v>
      </c>
      <c r="AD493" t="s">
        <v>1484</v>
      </c>
      <c r="AE493">
        <v>0</v>
      </c>
      <c r="AF493">
        <v>0</v>
      </c>
    </row>
    <row r="494" spans="1:32" x14ac:dyDescent="0.25">
      <c r="A494" t="s">
        <v>498</v>
      </c>
      <c r="B494" s="4">
        <v>45861</v>
      </c>
      <c r="C494" t="s">
        <v>1457</v>
      </c>
      <c r="D494" t="s">
        <v>1481</v>
      </c>
      <c r="E494" s="4">
        <v>45888</v>
      </c>
      <c r="F494">
        <v>27</v>
      </c>
      <c r="G494" t="s">
        <v>639</v>
      </c>
      <c r="H494" t="s">
        <v>644</v>
      </c>
      <c r="I494" t="s">
        <v>686</v>
      </c>
      <c r="J494" t="s">
        <v>1524</v>
      </c>
      <c r="K494" t="s">
        <v>696</v>
      </c>
      <c r="L494" t="s">
        <v>701</v>
      </c>
      <c r="M494" t="s">
        <v>709</v>
      </c>
      <c r="N494" t="s">
        <v>725</v>
      </c>
      <c r="O494" t="s">
        <v>1216</v>
      </c>
      <c r="P494">
        <v>896.09</v>
      </c>
      <c r="Q494">
        <v>744.27</v>
      </c>
      <c r="R494" t="s">
        <v>1496</v>
      </c>
      <c r="S494" s="31">
        <v>8.3000000000000004E-2</v>
      </c>
      <c r="T494">
        <v>11</v>
      </c>
      <c r="U494">
        <v>7507.4514899999995</v>
      </c>
      <c r="V494">
        <v>311435.61738999997</v>
      </c>
      <c r="W494">
        <v>9856.99</v>
      </c>
      <c r="X494">
        <v>-2349.5385100000003</v>
      </c>
      <c r="Y494" s="31">
        <v>-0.31296086469950679</v>
      </c>
      <c r="Z494">
        <v>202507</v>
      </c>
      <c r="AA494">
        <v>202303</v>
      </c>
      <c r="AB494" t="s">
        <v>1468</v>
      </c>
      <c r="AC494">
        <v>28</v>
      </c>
      <c r="AD494" t="s">
        <v>1484</v>
      </c>
      <c r="AE494">
        <v>0</v>
      </c>
      <c r="AF494">
        <v>0</v>
      </c>
    </row>
    <row r="495" spans="1:32" x14ac:dyDescent="0.25">
      <c r="A495" t="s">
        <v>499</v>
      </c>
      <c r="B495" s="4">
        <v>45352</v>
      </c>
      <c r="C495" t="s">
        <v>1470</v>
      </c>
      <c r="D495" t="s">
        <v>1479</v>
      </c>
      <c r="E495" s="4">
        <v>45353</v>
      </c>
      <c r="F495">
        <v>1</v>
      </c>
      <c r="G495" t="s">
        <v>640</v>
      </c>
      <c r="H495" t="s">
        <v>647</v>
      </c>
      <c r="I495" t="s">
        <v>662</v>
      </c>
      <c r="J495" t="s">
        <v>1500</v>
      </c>
      <c r="K495" t="s">
        <v>695</v>
      </c>
      <c r="L495" t="s">
        <v>703</v>
      </c>
      <c r="M495" t="s">
        <v>706</v>
      </c>
      <c r="N495" t="s">
        <v>722</v>
      </c>
      <c r="O495" t="s">
        <v>1217</v>
      </c>
      <c r="P495">
        <v>5.34</v>
      </c>
      <c r="Q495">
        <v>12.69</v>
      </c>
      <c r="R495" t="s">
        <v>1490</v>
      </c>
      <c r="S495" s="31">
        <v>0.13200000000000001</v>
      </c>
      <c r="T495">
        <v>10</v>
      </c>
      <c r="U495">
        <v>110.14919999999999</v>
      </c>
      <c r="V495">
        <v>311435.61738999997</v>
      </c>
      <c r="W495">
        <v>53.4</v>
      </c>
      <c r="X495">
        <v>56.749199999999995</v>
      </c>
      <c r="Y495" s="31">
        <v>0.51520301554618642</v>
      </c>
      <c r="Z495">
        <v>202403</v>
      </c>
      <c r="AA495">
        <v>202301</v>
      </c>
      <c r="AB495" t="s">
        <v>1469</v>
      </c>
      <c r="AC495">
        <v>14</v>
      </c>
      <c r="AD495" t="s">
        <v>1483</v>
      </c>
      <c r="AE495">
        <v>1</v>
      </c>
      <c r="AF495">
        <v>0</v>
      </c>
    </row>
    <row r="496" spans="1:32" x14ac:dyDescent="0.25">
      <c r="A496" t="s">
        <v>500</v>
      </c>
      <c r="B496" s="4">
        <v>45439</v>
      </c>
      <c r="C496" t="s">
        <v>1463</v>
      </c>
      <c r="D496" t="s">
        <v>1480</v>
      </c>
      <c r="E496" s="4">
        <v>45460</v>
      </c>
      <c r="F496">
        <v>21</v>
      </c>
      <c r="G496" t="s">
        <v>639</v>
      </c>
      <c r="H496" t="s">
        <v>646</v>
      </c>
      <c r="I496" t="s">
        <v>672</v>
      </c>
      <c r="J496" t="s">
        <v>1510</v>
      </c>
      <c r="K496" t="s">
        <v>697</v>
      </c>
      <c r="L496" t="s">
        <v>700</v>
      </c>
      <c r="M496" t="s">
        <v>714</v>
      </c>
      <c r="N496" t="s">
        <v>725</v>
      </c>
      <c r="O496" t="s">
        <v>1218</v>
      </c>
      <c r="P496">
        <v>465.02</v>
      </c>
      <c r="Q496">
        <v>651.55999999999995</v>
      </c>
      <c r="R496" t="s">
        <v>1490</v>
      </c>
      <c r="S496" s="31">
        <v>4.2000000000000003E-2</v>
      </c>
      <c r="T496">
        <v>19</v>
      </c>
      <c r="U496">
        <v>11859.695119999998</v>
      </c>
      <c r="V496">
        <v>311435.61738999997</v>
      </c>
      <c r="W496">
        <v>8835.3799999999992</v>
      </c>
      <c r="X496">
        <v>3024.3151199999993</v>
      </c>
      <c r="Y496" s="31">
        <v>0.25500783025187918</v>
      </c>
      <c r="Z496">
        <v>202405</v>
      </c>
      <c r="AA496">
        <v>202301</v>
      </c>
      <c r="AB496" t="s">
        <v>1462</v>
      </c>
      <c r="AC496">
        <v>16</v>
      </c>
      <c r="AD496" t="s">
        <v>1484</v>
      </c>
      <c r="AE496">
        <v>0</v>
      </c>
      <c r="AF496">
        <v>0</v>
      </c>
    </row>
    <row r="497" spans="1:32" x14ac:dyDescent="0.25">
      <c r="A497" t="s">
        <v>501</v>
      </c>
      <c r="B497" s="4">
        <v>45508</v>
      </c>
      <c r="C497" t="s">
        <v>1474</v>
      </c>
      <c r="D497" t="s">
        <v>1481</v>
      </c>
      <c r="E497" s="4">
        <v>45521</v>
      </c>
      <c r="F497">
        <v>13</v>
      </c>
      <c r="G497" t="s">
        <v>640</v>
      </c>
      <c r="H497" t="s">
        <v>652</v>
      </c>
      <c r="I497" t="s">
        <v>689</v>
      </c>
      <c r="J497" t="s">
        <v>1528</v>
      </c>
      <c r="K497" t="s">
        <v>696</v>
      </c>
      <c r="L497" t="s">
        <v>699</v>
      </c>
      <c r="M497" t="s">
        <v>718</v>
      </c>
      <c r="N497" t="s">
        <v>724</v>
      </c>
      <c r="O497" t="s">
        <v>1219</v>
      </c>
      <c r="P497">
        <v>352.79</v>
      </c>
      <c r="Q497">
        <v>754.22</v>
      </c>
      <c r="R497" t="s">
        <v>1490</v>
      </c>
      <c r="S497" s="31">
        <v>0.113</v>
      </c>
      <c r="T497">
        <v>7</v>
      </c>
      <c r="U497">
        <v>4682.9519799999998</v>
      </c>
      <c r="V497">
        <v>311435.61738999997</v>
      </c>
      <c r="W497">
        <v>2469.5300000000002</v>
      </c>
      <c r="X497">
        <v>2213.4219799999996</v>
      </c>
      <c r="Y497" s="31">
        <v>0.47265528014233443</v>
      </c>
      <c r="Z497">
        <v>202408</v>
      </c>
      <c r="AA497">
        <v>202301</v>
      </c>
      <c r="AB497" t="s">
        <v>1448</v>
      </c>
      <c r="AC497">
        <v>19</v>
      </c>
      <c r="AD497" t="s">
        <v>1484</v>
      </c>
      <c r="AE497">
        <v>0</v>
      </c>
      <c r="AF497">
        <v>0</v>
      </c>
    </row>
    <row r="498" spans="1:32" x14ac:dyDescent="0.25">
      <c r="A498" t="s">
        <v>502</v>
      </c>
      <c r="B498" s="4">
        <v>45097</v>
      </c>
      <c r="C498" t="s">
        <v>1458</v>
      </c>
      <c r="D498" t="s">
        <v>1480</v>
      </c>
      <c r="E498" s="4">
        <v>45111</v>
      </c>
      <c r="F498">
        <v>14</v>
      </c>
      <c r="G498" t="s">
        <v>640</v>
      </c>
      <c r="H498" t="s">
        <v>647</v>
      </c>
      <c r="I498" t="s">
        <v>664</v>
      </c>
      <c r="J498" t="s">
        <v>1502</v>
      </c>
      <c r="K498" t="s">
        <v>695</v>
      </c>
      <c r="L498" t="s">
        <v>703</v>
      </c>
      <c r="M498" t="s">
        <v>704</v>
      </c>
      <c r="N498" t="s">
        <v>721</v>
      </c>
      <c r="O498" t="s">
        <v>1220</v>
      </c>
      <c r="P498">
        <v>1292.8599999999999</v>
      </c>
      <c r="Q498">
        <v>2981.01</v>
      </c>
      <c r="R498" t="s">
        <v>1492</v>
      </c>
      <c r="S498" s="31">
        <v>0.14199999999999999</v>
      </c>
      <c r="T498">
        <v>12</v>
      </c>
      <c r="U498">
        <v>30692.47896</v>
      </c>
      <c r="V498">
        <v>311435.61738999997</v>
      </c>
      <c r="W498">
        <v>15514.32</v>
      </c>
      <c r="X498">
        <v>15178.158960000001</v>
      </c>
      <c r="Y498" s="31">
        <v>0.49452372288927687</v>
      </c>
      <c r="Z498">
        <v>202306</v>
      </c>
      <c r="AA498">
        <v>202301</v>
      </c>
      <c r="AB498" t="s">
        <v>1458</v>
      </c>
      <c r="AC498">
        <v>5</v>
      </c>
      <c r="AD498" t="s">
        <v>1484</v>
      </c>
      <c r="AE498">
        <v>0</v>
      </c>
      <c r="AF498">
        <v>0</v>
      </c>
    </row>
    <row r="499" spans="1:32" x14ac:dyDescent="0.25">
      <c r="A499" t="s">
        <v>503</v>
      </c>
      <c r="B499" s="4">
        <v>45544</v>
      </c>
      <c r="C499" t="s">
        <v>1466</v>
      </c>
      <c r="D499" t="s">
        <v>1481</v>
      </c>
      <c r="E499" s="4">
        <v>45548</v>
      </c>
      <c r="F499">
        <v>4</v>
      </c>
      <c r="G499" t="s">
        <v>641</v>
      </c>
      <c r="H499" t="s">
        <v>650</v>
      </c>
      <c r="I499" t="s">
        <v>675</v>
      </c>
      <c r="J499" t="s">
        <v>1513</v>
      </c>
      <c r="K499" t="s">
        <v>696</v>
      </c>
      <c r="L499" t="s">
        <v>701</v>
      </c>
      <c r="M499" t="s">
        <v>713</v>
      </c>
      <c r="N499" t="s">
        <v>721</v>
      </c>
      <c r="O499" t="s">
        <v>1221</v>
      </c>
      <c r="P499">
        <v>1133.08</v>
      </c>
      <c r="Q499">
        <v>976.17</v>
      </c>
      <c r="R499" t="s">
        <v>1492</v>
      </c>
      <c r="S499" s="31">
        <v>4.2000000000000003E-2</v>
      </c>
      <c r="T499">
        <v>27</v>
      </c>
      <c r="U499">
        <v>25249.613219999999</v>
      </c>
      <c r="V499">
        <v>311435.61738999997</v>
      </c>
      <c r="W499">
        <v>30593.159999999996</v>
      </c>
      <c r="X499">
        <v>-5343.5467799999969</v>
      </c>
      <c r="Y499" s="31">
        <v>-0.21162885678452373</v>
      </c>
      <c r="Z499">
        <v>202409</v>
      </c>
      <c r="AA499">
        <v>202301</v>
      </c>
      <c r="AB499" t="s">
        <v>1465</v>
      </c>
      <c r="AC499">
        <v>20</v>
      </c>
      <c r="AD499" t="s">
        <v>1483</v>
      </c>
      <c r="AE499">
        <v>1</v>
      </c>
      <c r="AF499">
        <v>0</v>
      </c>
    </row>
    <row r="500" spans="1:32" x14ac:dyDescent="0.25">
      <c r="A500" t="s">
        <v>504</v>
      </c>
      <c r="B500" s="4">
        <v>45224</v>
      </c>
      <c r="C500" t="s">
        <v>1476</v>
      </c>
      <c r="D500" t="s">
        <v>1482</v>
      </c>
      <c r="E500" s="4">
        <v>45227</v>
      </c>
      <c r="F500">
        <v>3</v>
      </c>
      <c r="G500" t="s">
        <v>640</v>
      </c>
      <c r="H500" t="s">
        <v>647</v>
      </c>
      <c r="I500" t="s">
        <v>664</v>
      </c>
      <c r="J500" t="s">
        <v>1502</v>
      </c>
      <c r="K500" t="s">
        <v>693</v>
      </c>
      <c r="L500" t="s">
        <v>702</v>
      </c>
      <c r="M500" t="s">
        <v>708</v>
      </c>
      <c r="N500" t="s">
        <v>725</v>
      </c>
      <c r="O500" t="s">
        <v>1222</v>
      </c>
      <c r="P500">
        <v>509.31</v>
      </c>
      <c r="Q500">
        <v>1145.9000000000001</v>
      </c>
      <c r="R500" t="s">
        <v>1496</v>
      </c>
      <c r="S500" s="31">
        <v>5.7000000000000002E-2</v>
      </c>
      <c r="T500">
        <v>8</v>
      </c>
      <c r="U500">
        <v>8644.6696000000011</v>
      </c>
      <c r="V500">
        <v>311435.61738999997</v>
      </c>
      <c r="W500">
        <v>4074.48</v>
      </c>
      <c r="X500">
        <v>4570.1896000000015</v>
      </c>
      <c r="Y500" s="31">
        <v>0.52867140231709964</v>
      </c>
      <c r="Z500">
        <v>202310</v>
      </c>
      <c r="AA500">
        <v>202301</v>
      </c>
      <c r="AB500" t="s">
        <v>1476</v>
      </c>
      <c r="AC500">
        <v>9</v>
      </c>
      <c r="AD500" t="s">
        <v>1483</v>
      </c>
      <c r="AE500">
        <v>1</v>
      </c>
      <c r="AF500">
        <v>0</v>
      </c>
    </row>
    <row r="501" spans="1:32" x14ac:dyDescent="0.25">
      <c r="A501" t="s">
        <v>505</v>
      </c>
      <c r="B501" s="4">
        <v>45908</v>
      </c>
      <c r="C501" t="s">
        <v>1467</v>
      </c>
      <c r="D501" t="s">
        <v>1481</v>
      </c>
      <c r="E501" s="4">
        <v>45935</v>
      </c>
      <c r="F501">
        <v>27</v>
      </c>
      <c r="G501" t="s">
        <v>640</v>
      </c>
      <c r="H501" t="s">
        <v>647</v>
      </c>
      <c r="I501" t="s">
        <v>684</v>
      </c>
      <c r="J501" t="s">
        <v>1522</v>
      </c>
      <c r="K501" t="s">
        <v>694</v>
      </c>
      <c r="L501" t="s">
        <v>700</v>
      </c>
      <c r="M501" t="s">
        <v>704</v>
      </c>
      <c r="N501" t="s">
        <v>724</v>
      </c>
      <c r="O501" t="s">
        <v>1223</v>
      </c>
      <c r="P501">
        <v>660.78</v>
      </c>
      <c r="Q501">
        <v>1630.39</v>
      </c>
      <c r="R501" t="s">
        <v>1496</v>
      </c>
      <c r="S501" s="31">
        <v>0.218</v>
      </c>
      <c r="T501">
        <v>13</v>
      </c>
      <c r="U501">
        <v>16574.544740000001</v>
      </c>
      <c r="V501">
        <v>311435.61738999997</v>
      </c>
      <c r="W501">
        <v>8590.14</v>
      </c>
      <c r="X501">
        <v>7984.4047400000018</v>
      </c>
      <c r="Y501" s="31">
        <v>0.48172694123724097</v>
      </c>
      <c r="Z501">
        <v>202509</v>
      </c>
      <c r="AA501">
        <v>202301</v>
      </c>
      <c r="AB501" t="s">
        <v>1465</v>
      </c>
      <c r="AC501">
        <v>32</v>
      </c>
      <c r="AD501" t="s">
        <v>1484</v>
      </c>
      <c r="AE501">
        <v>0</v>
      </c>
      <c r="AF501">
        <v>1</v>
      </c>
    </row>
    <row r="502" spans="1:32" x14ac:dyDescent="0.25">
      <c r="A502" t="s">
        <v>506</v>
      </c>
      <c r="B502" s="4">
        <v>45048</v>
      </c>
      <c r="C502" t="s">
        <v>1462</v>
      </c>
      <c r="D502" t="s">
        <v>1480</v>
      </c>
      <c r="E502" s="4">
        <v>45062</v>
      </c>
      <c r="F502">
        <v>14</v>
      </c>
      <c r="G502" t="s">
        <v>639</v>
      </c>
      <c r="H502" t="s">
        <v>646</v>
      </c>
      <c r="I502" t="s">
        <v>660</v>
      </c>
      <c r="J502" t="s">
        <v>1498</v>
      </c>
      <c r="K502" t="s">
        <v>695</v>
      </c>
      <c r="L502" t="s">
        <v>699</v>
      </c>
      <c r="M502" t="s">
        <v>708</v>
      </c>
      <c r="N502" t="s">
        <v>724</v>
      </c>
      <c r="O502" t="s">
        <v>1224</v>
      </c>
      <c r="P502">
        <v>475.37</v>
      </c>
      <c r="Q502">
        <v>963.73</v>
      </c>
      <c r="R502" t="s">
        <v>1490</v>
      </c>
      <c r="S502" s="31">
        <v>4.1000000000000002E-2</v>
      </c>
      <c r="T502">
        <v>22</v>
      </c>
      <c r="U502">
        <v>20332.775539999999</v>
      </c>
      <c r="V502">
        <v>311435.61738999997</v>
      </c>
      <c r="W502">
        <v>10458.14</v>
      </c>
      <c r="X502">
        <v>9874.6355399999993</v>
      </c>
      <c r="Y502" s="31">
        <v>0.48565113604750881</v>
      </c>
      <c r="Z502">
        <v>202305</v>
      </c>
      <c r="AA502">
        <v>202301</v>
      </c>
      <c r="AB502" t="s">
        <v>1462</v>
      </c>
      <c r="AC502">
        <v>4</v>
      </c>
      <c r="AD502" t="s">
        <v>1484</v>
      </c>
      <c r="AE502">
        <v>0</v>
      </c>
      <c r="AF502">
        <v>0</v>
      </c>
    </row>
    <row r="503" spans="1:32" x14ac:dyDescent="0.25">
      <c r="A503" t="s">
        <v>507</v>
      </c>
      <c r="B503" s="4">
        <v>45408</v>
      </c>
      <c r="C503" t="s">
        <v>1447</v>
      </c>
      <c r="D503" t="s">
        <v>1480</v>
      </c>
      <c r="E503" s="4">
        <v>45410</v>
      </c>
      <c r="F503">
        <v>2</v>
      </c>
      <c r="G503" t="s">
        <v>641</v>
      </c>
      <c r="H503" t="s">
        <v>650</v>
      </c>
      <c r="I503" t="s">
        <v>675</v>
      </c>
      <c r="J503" t="s">
        <v>1513</v>
      </c>
      <c r="K503" t="s">
        <v>695</v>
      </c>
      <c r="L503" t="s">
        <v>702</v>
      </c>
      <c r="M503" t="s">
        <v>717</v>
      </c>
      <c r="N503" t="s">
        <v>722</v>
      </c>
      <c r="O503" t="s">
        <v>1225</v>
      </c>
      <c r="P503">
        <v>1232.77</v>
      </c>
      <c r="Q503">
        <v>891.73</v>
      </c>
      <c r="R503" t="s">
        <v>1492</v>
      </c>
      <c r="S503" s="31">
        <v>0.16700000000000001</v>
      </c>
      <c r="T503">
        <v>10</v>
      </c>
      <c r="U503">
        <v>7428.1108999999988</v>
      </c>
      <c r="V503">
        <v>311435.61738999997</v>
      </c>
      <c r="W503">
        <v>12327.7</v>
      </c>
      <c r="X503">
        <v>-4899.589100000002</v>
      </c>
      <c r="Y503" s="31">
        <v>-0.65960096260813805</v>
      </c>
      <c r="Z503">
        <v>202404</v>
      </c>
      <c r="AA503">
        <v>202301</v>
      </c>
      <c r="AB503" t="s">
        <v>1446</v>
      </c>
      <c r="AC503">
        <v>15</v>
      </c>
      <c r="AD503" t="s">
        <v>1483</v>
      </c>
      <c r="AE503">
        <v>1</v>
      </c>
      <c r="AF503">
        <v>0</v>
      </c>
    </row>
    <row r="504" spans="1:32" x14ac:dyDescent="0.25">
      <c r="A504" t="s">
        <v>508</v>
      </c>
      <c r="B504" s="4">
        <v>44980</v>
      </c>
      <c r="C504" t="s">
        <v>1451</v>
      </c>
      <c r="D504" t="s">
        <v>1479</v>
      </c>
      <c r="E504" s="4">
        <v>45003</v>
      </c>
      <c r="F504">
        <v>23</v>
      </c>
      <c r="G504" t="s">
        <v>639</v>
      </c>
      <c r="H504" t="s">
        <v>651</v>
      </c>
      <c r="I504" t="s">
        <v>691</v>
      </c>
      <c r="J504" t="s">
        <v>1530</v>
      </c>
      <c r="K504" t="s">
        <v>694</v>
      </c>
      <c r="L504" t="s">
        <v>702</v>
      </c>
      <c r="M504" t="s">
        <v>715</v>
      </c>
      <c r="N504" t="s">
        <v>720</v>
      </c>
      <c r="O504" t="s">
        <v>1226</v>
      </c>
      <c r="P504">
        <v>770.11</v>
      </c>
      <c r="Q504">
        <v>1667.82</v>
      </c>
      <c r="R504" t="s">
        <v>1496</v>
      </c>
      <c r="S504" s="31">
        <v>6.9000000000000006E-2</v>
      </c>
      <c r="T504">
        <v>7</v>
      </c>
      <c r="U504">
        <v>10869.182940000001</v>
      </c>
      <c r="V504">
        <v>311435.61738999997</v>
      </c>
      <c r="W504">
        <v>5390.77</v>
      </c>
      <c r="X504">
        <v>5478.4129400000002</v>
      </c>
      <c r="Y504" s="31">
        <v>0.50403171703355287</v>
      </c>
      <c r="Z504">
        <v>202302</v>
      </c>
      <c r="AA504">
        <v>202301</v>
      </c>
      <c r="AB504" t="s">
        <v>1451</v>
      </c>
      <c r="AC504">
        <v>1</v>
      </c>
      <c r="AD504" t="s">
        <v>1484</v>
      </c>
      <c r="AE504">
        <v>0</v>
      </c>
      <c r="AF504">
        <v>0</v>
      </c>
    </row>
    <row r="505" spans="1:32" x14ac:dyDescent="0.25">
      <c r="A505" t="s">
        <v>509</v>
      </c>
      <c r="B505" s="4">
        <v>45740</v>
      </c>
      <c r="C505" t="s">
        <v>1461</v>
      </c>
      <c r="D505" t="s">
        <v>1479</v>
      </c>
      <c r="E505" s="4">
        <v>45741</v>
      </c>
      <c r="F505">
        <v>1</v>
      </c>
      <c r="G505" t="s">
        <v>639</v>
      </c>
      <c r="H505" t="s">
        <v>651</v>
      </c>
      <c r="I505" t="s">
        <v>691</v>
      </c>
      <c r="J505" t="s">
        <v>1530</v>
      </c>
      <c r="K505" t="s">
        <v>695</v>
      </c>
      <c r="L505" t="s">
        <v>700</v>
      </c>
      <c r="M505" t="s">
        <v>707</v>
      </c>
      <c r="N505" t="s">
        <v>721</v>
      </c>
      <c r="O505" t="s">
        <v>1227</v>
      </c>
      <c r="P505">
        <v>1133.03</v>
      </c>
      <c r="Q505">
        <v>1921.51</v>
      </c>
      <c r="R505" t="s">
        <v>1492</v>
      </c>
      <c r="S505" s="31">
        <v>0.10100000000000001</v>
      </c>
      <c r="T505">
        <v>5</v>
      </c>
      <c r="U505">
        <v>8637.1874499999994</v>
      </c>
      <c r="V505">
        <v>311435.61738999997</v>
      </c>
      <c r="W505">
        <v>5665.15</v>
      </c>
      <c r="X505">
        <v>2972.0374499999998</v>
      </c>
      <c r="Y505" s="31">
        <v>0.3440978289755654</v>
      </c>
      <c r="Z505">
        <v>202503</v>
      </c>
      <c r="AA505">
        <v>202301</v>
      </c>
      <c r="AB505" t="s">
        <v>1469</v>
      </c>
      <c r="AC505">
        <v>26</v>
      </c>
      <c r="AD505" t="s">
        <v>1483</v>
      </c>
      <c r="AE505">
        <v>1</v>
      </c>
      <c r="AF505">
        <v>0</v>
      </c>
    </row>
    <row r="506" spans="1:32" x14ac:dyDescent="0.25">
      <c r="A506" t="s">
        <v>510</v>
      </c>
      <c r="B506" s="4">
        <v>45726</v>
      </c>
      <c r="C506" t="s">
        <v>1461</v>
      </c>
      <c r="D506" t="s">
        <v>1479</v>
      </c>
      <c r="E506" s="4">
        <v>45743</v>
      </c>
      <c r="F506">
        <v>17</v>
      </c>
      <c r="G506" t="s">
        <v>640</v>
      </c>
      <c r="H506" t="s">
        <v>647</v>
      </c>
      <c r="I506" t="s">
        <v>684</v>
      </c>
      <c r="J506" t="s">
        <v>1522</v>
      </c>
      <c r="K506" t="s">
        <v>698</v>
      </c>
      <c r="L506" t="s">
        <v>703</v>
      </c>
      <c r="M506" t="s">
        <v>713</v>
      </c>
      <c r="N506" t="s">
        <v>721</v>
      </c>
      <c r="O506" t="s">
        <v>1228</v>
      </c>
      <c r="P506">
        <v>996.73</v>
      </c>
      <c r="Q506">
        <v>1217.43</v>
      </c>
      <c r="R506" t="s">
        <v>1496</v>
      </c>
      <c r="S506" s="31">
        <v>7.0000000000000007E-2</v>
      </c>
      <c r="T506">
        <v>9</v>
      </c>
      <c r="U506">
        <v>10189.8891</v>
      </c>
      <c r="V506">
        <v>311435.61738999997</v>
      </c>
      <c r="W506">
        <v>8970.57</v>
      </c>
      <c r="X506">
        <v>1219.3191000000006</v>
      </c>
      <c r="Y506" s="31">
        <v>0.11965970267527255</v>
      </c>
      <c r="Z506">
        <v>202503</v>
      </c>
      <c r="AA506">
        <v>202301</v>
      </c>
      <c r="AB506" t="s">
        <v>1469</v>
      </c>
      <c r="AC506">
        <v>26</v>
      </c>
      <c r="AD506" t="s">
        <v>1484</v>
      </c>
      <c r="AE506">
        <v>0</v>
      </c>
      <c r="AF506">
        <v>0</v>
      </c>
    </row>
    <row r="507" spans="1:32" x14ac:dyDescent="0.25">
      <c r="A507" t="s">
        <v>511</v>
      </c>
      <c r="B507" s="4">
        <v>45387</v>
      </c>
      <c r="C507" t="s">
        <v>1447</v>
      </c>
      <c r="D507" t="s">
        <v>1480</v>
      </c>
      <c r="E507" s="4">
        <v>45391</v>
      </c>
      <c r="F507">
        <v>4</v>
      </c>
      <c r="G507" t="s">
        <v>638</v>
      </c>
      <c r="H507" t="s">
        <v>643</v>
      </c>
      <c r="I507" t="s">
        <v>657</v>
      </c>
      <c r="J507" t="s">
        <v>1494</v>
      </c>
      <c r="K507" t="s">
        <v>695</v>
      </c>
      <c r="L507" t="s">
        <v>703</v>
      </c>
      <c r="M507" t="s">
        <v>715</v>
      </c>
      <c r="N507" t="s">
        <v>719</v>
      </c>
      <c r="O507" t="s">
        <v>1229</v>
      </c>
      <c r="P507">
        <v>395.07</v>
      </c>
      <c r="Q507">
        <v>970.27</v>
      </c>
      <c r="R507" t="s">
        <v>1490</v>
      </c>
      <c r="S507" s="31">
        <v>0.123</v>
      </c>
      <c r="T507">
        <v>38</v>
      </c>
      <c r="U507">
        <v>32335.21802</v>
      </c>
      <c r="V507">
        <v>311435.61738999997</v>
      </c>
      <c r="W507">
        <v>15012.66</v>
      </c>
      <c r="X507">
        <v>17322.55802</v>
      </c>
      <c r="Y507" s="31">
        <v>0.53571799049833657</v>
      </c>
      <c r="Z507">
        <v>202404</v>
      </c>
      <c r="AA507">
        <v>202301</v>
      </c>
      <c r="AB507" t="s">
        <v>1446</v>
      </c>
      <c r="AC507">
        <v>15</v>
      </c>
      <c r="AD507" t="s">
        <v>1483</v>
      </c>
      <c r="AE507">
        <v>1</v>
      </c>
      <c r="AF507">
        <v>0</v>
      </c>
    </row>
    <row r="508" spans="1:32" x14ac:dyDescent="0.25">
      <c r="A508" t="s">
        <v>512</v>
      </c>
      <c r="B508" s="4">
        <v>45774</v>
      </c>
      <c r="C508" t="s">
        <v>1473</v>
      </c>
      <c r="D508" t="s">
        <v>1480</v>
      </c>
      <c r="E508" s="4">
        <v>45794</v>
      </c>
      <c r="F508">
        <v>20</v>
      </c>
      <c r="G508" t="s">
        <v>640</v>
      </c>
      <c r="H508" t="s">
        <v>652</v>
      </c>
      <c r="I508" t="s">
        <v>689</v>
      </c>
      <c r="J508" t="s">
        <v>1528</v>
      </c>
      <c r="K508" t="s">
        <v>693</v>
      </c>
      <c r="L508" t="s">
        <v>703</v>
      </c>
      <c r="M508" t="s">
        <v>717</v>
      </c>
      <c r="N508" t="s">
        <v>722</v>
      </c>
      <c r="O508" t="s">
        <v>1230</v>
      </c>
      <c r="P508">
        <v>932.26</v>
      </c>
      <c r="Q508">
        <v>1624.67</v>
      </c>
      <c r="R508" t="s">
        <v>1496</v>
      </c>
      <c r="S508" s="31">
        <v>0.23499999999999999</v>
      </c>
      <c r="T508">
        <v>28</v>
      </c>
      <c r="U508">
        <v>34800.431400000001</v>
      </c>
      <c r="V508">
        <v>279100.39937</v>
      </c>
      <c r="W508">
        <v>26103.279999999999</v>
      </c>
      <c r="X508">
        <v>8697.1514000000025</v>
      </c>
      <c r="Y508" s="31">
        <v>0.24991504559337163</v>
      </c>
      <c r="Z508">
        <v>202504</v>
      </c>
      <c r="AA508">
        <v>202301</v>
      </c>
      <c r="AB508" t="s">
        <v>1446</v>
      </c>
      <c r="AC508">
        <v>27</v>
      </c>
      <c r="AD508" t="s">
        <v>1484</v>
      </c>
      <c r="AE508">
        <v>0</v>
      </c>
      <c r="AF508">
        <v>1</v>
      </c>
    </row>
    <row r="509" spans="1:32" x14ac:dyDescent="0.25">
      <c r="A509" t="s">
        <v>513</v>
      </c>
      <c r="B509" s="4">
        <v>45589</v>
      </c>
      <c r="C509" t="s">
        <v>1464</v>
      </c>
      <c r="D509" t="s">
        <v>1482</v>
      </c>
      <c r="E509" s="4">
        <v>45593</v>
      </c>
      <c r="F509">
        <v>4</v>
      </c>
      <c r="G509" t="s">
        <v>639</v>
      </c>
      <c r="H509" t="s">
        <v>651</v>
      </c>
      <c r="I509" t="s">
        <v>677</v>
      </c>
      <c r="J509" t="s">
        <v>1515</v>
      </c>
      <c r="K509" t="s">
        <v>697</v>
      </c>
      <c r="L509" t="s">
        <v>702</v>
      </c>
      <c r="M509" t="s">
        <v>706</v>
      </c>
      <c r="N509" t="s">
        <v>721</v>
      </c>
      <c r="O509" t="s">
        <v>1231</v>
      </c>
      <c r="P509">
        <v>1331.77</v>
      </c>
      <c r="Q509">
        <v>2606.11</v>
      </c>
      <c r="R509" t="s">
        <v>1492</v>
      </c>
      <c r="S509" s="31">
        <v>0.02</v>
      </c>
      <c r="T509">
        <v>6</v>
      </c>
      <c r="U509">
        <v>15323.926799999999</v>
      </c>
      <c r="V509">
        <v>279100.39937</v>
      </c>
      <c r="W509">
        <v>7990.62</v>
      </c>
      <c r="X509">
        <v>7333.3067999999994</v>
      </c>
      <c r="Y509" s="31">
        <v>0.47855271665745619</v>
      </c>
      <c r="Z509">
        <v>202410</v>
      </c>
      <c r="AA509">
        <v>202301</v>
      </c>
      <c r="AB509" t="s">
        <v>1476</v>
      </c>
      <c r="AC509">
        <v>21</v>
      </c>
      <c r="AD509" t="s">
        <v>1483</v>
      </c>
      <c r="AE509">
        <v>1</v>
      </c>
      <c r="AF509">
        <v>0</v>
      </c>
    </row>
    <row r="510" spans="1:32" x14ac:dyDescent="0.25">
      <c r="A510" t="s">
        <v>514</v>
      </c>
      <c r="B510" s="4">
        <v>45029</v>
      </c>
      <c r="C510" t="s">
        <v>1446</v>
      </c>
      <c r="D510" t="s">
        <v>1480</v>
      </c>
      <c r="E510" s="4">
        <v>45036</v>
      </c>
      <c r="F510">
        <v>7</v>
      </c>
      <c r="G510" t="s">
        <v>641</v>
      </c>
      <c r="H510" t="s">
        <v>649</v>
      </c>
      <c r="I510" t="s">
        <v>671</v>
      </c>
      <c r="J510" t="s">
        <v>1509</v>
      </c>
      <c r="K510" t="s">
        <v>697</v>
      </c>
      <c r="L510" t="s">
        <v>700</v>
      </c>
      <c r="M510" t="s">
        <v>712</v>
      </c>
      <c r="N510" t="s">
        <v>723</v>
      </c>
      <c r="O510" t="s">
        <v>1232</v>
      </c>
      <c r="P510">
        <v>227.02</v>
      </c>
      <c r="Q510">
        <v>434.72</v>
      </c>
      <c r="R510" t="s">
        <v>1490</v>
      </c>
      <c r="S510" s="31">
        <v>9.8000000000000004E-2</v>
      </c>
      <c r="T510">
        <v>10</v>
      </c>
      <c r="U510">
        <v>3921.1744000000008</v>
      </c>
      <c r="V510">
        <v>279100.39937</v>
      </c>
      <c r="W510">
        <v>2270.2000000000003</v>
      </c>
      <c r="X510">
        <v>1650.9744000000005</v>
      </c>
      <c r="Y510" s="31">
        <v>0.42104079838938052</v>
      </c>
      <c r="Z510">
        <v>202304</v>
      </c>
      <c r="AA510">
        <v>202301</v>
      </c>
      <c r="AB510" t="s">
        <v>1446</v>
      </c>
      <c r="AC510">
        <v>3</v>
      </c>
      <c r="AD510" t="s">
        <v>1483</v>
      </c>
      <c r="AE510">
        <v>1</v>
      </c>
      <c r="AF510">
        <v>0</v>
      </c>
    </row>
    <row r="511" spans="1:32" x14ac:dyDescent="0.25">
      <c r="A511" t="s">
        <v>515</v>
      </c>
      <c r="B511" s="4">
        <v>45608</v>
      </c>
      <c r="C511" t="s">
        <v>1472</v>
      </c>
      <c r="D511" t="s">
        <v>1482</v>
      </c>
      <c r="E511" s="4">
        <v>45617</v>
      </c>
      <c r="F511">
        <v>9</v>
      </c>
      <c r="G511" t="s">
        <v>639</v>
      </c>
      <c r="H511" t="s">
        <v>646</v>
      </c>
      <c r="I511" t="s">
        <v>683</v>
      </c>
      <c r="J511" t="s">
        <v>1521</v>
      </c>
      <c r="K511" t="s">
        <v>693</v>
      </c>
      <c r="L511" t="s">
        <v>703</v>
      </c>
      <c r="M511" t="s">
        <v>714</v>
      </c>
      <c r="N511" t="s">
        <v>723</v>
      </c>
      <c r="O511" t="s">
        <v>1233</v>
      </c>
      <c r="P511">
        <v>903.41</v>
      </c>
      <c r="Q511">
        <v>1860.41</v>
      </c>
      <c r="R511" t="s">
        <v>1496</v>
      </c>
      <c r="S511" s="31">
        <v>0.108</v>
      </c>
      <c r="T511">
        <v>5</v>
      </c>
      <c r="U511">
        <v>8297.4286000000011</v>
      </c>
      <c r="V511">
        <v>279100.39937</v>
      </c>
      <c r="W511">
        <v>4517.05</v>
      </c>
      <c r="X511">
        <v>3780.3786000000009</v>
      </c>
      <c r="Y511" s="31">
        <v>0.455608451996803</v>
      </c>
      <c r="Z511">
        <v>202411</v>
      </c>
      <c r="AA511">
        <v>202301</v>
      </c>
      <c r="AB511" t="s">
        <v>1475</v>
      </c>
      <c r="AC511">
        <v>22</v>
      </c>
      <c r="AD511" t="s">
        <v>1484</v>
      </c>
      <c r="AE511">
        <v>0</v>
      </c>
      <c r="AF511">
        <v>0</v>
      </c>
    </row>
    <row r="512" spans="1:32" x14ac:dyDescent="0.25">
      <c r="A512" t="s">
        <v>516</v>
      </c>
      <c r="B512" s="4">
        <v>45056</v>
      </c>
      <c r="C512" t="s">
        <v>1462</v>
      </c>
      <c r="D512" t="s">
        <v>1480</v>
      </c>
      <c r="E512" s="4">
        <v>45060</v>
      </c>
      <c r="F512">
        <v>4</v>
      </c>
      <c r="G512" t="s">
        <v>639</v>
      </c>
      <c r="H512" t="s">
        <v>646</v>
      </c>
      <c r="I512" t="s">
        <v>672</v>
      </c>
      <c r="J512" t="s">
        <v>1510</v>
      </c>
      <c r="K512" t="s">
        <v>695</v>
      </c>
      <c r="L512" t="s">
        <v>702</v>
      </c>
      <c r="M512" t="s">
        <v>704</v>
      </c>
      <c r="N512" t="s">
        <v>724</v>
      </c>
      <c r="O512" t="s">
        <v>1234</v>
      </c>
      <c r="P512">
        <v>622.6</v>
      </c>
      <c r="Q512">
        <v>833.69</v>
      </c>
      <c r="R512" t="s">
        <v>1496</v>
      </c>
      <c r="S512" s="31">
        <v>0.20899999999999999</v>
      </c>
      <c r="T512">
        <v>14</v>
      </c>
      <c r="U512">
        <v>9232.2830599999998</v>
      </c>
      <c r="V512">
        <v>279100.39937</v>
      </c>
      <c r="W512">
        <v>8716.4</v>
      </c>
      <c r="X512">
        <v>515.88306000000011</v>
      </c>
      <c r="Y512" s="31">
        <v>5.5878167582959715E-2</v>
      </c>
      <c r="Z512">
        <v>202305</v>
      </c>
      <c r="AA512">
        <v>202301</v>
      </c>
      <c r="AB512" t="s">
        <v>1462</v>
      </c>
      <c r="AC512">
        <v>4</v>
      </c>
      <c r="AD512" t="s">
        <v>1483</v>
      </c>
      <c r="AE512">
        <v>1</v>
      </c>
      <c r="AF512">
        <v>1</v>
      </c>
    </row>
    <row r="513" spans="1:32" x14ac:dyDescent="0.25">
      <c r="A513" t="s">
        <v>517</v>
      </c>
      <c r="B513" s="4">
        <v>45353</v>
      </c>
      <c r="C513" t="s">
        <v>1470</v>
      </c>
      <c r="D513" t="s">
        <v>1479</v>
      </c>
      <c r="E513" s="4">
        <v>45374</v>
      </c>
      <c r="F513">
        <v>21</v>
      </c>
      <c r="G513" t="s">
        <v>640</v>
      </c>
      <c r="H513" t="s">
        <v>652</v>
      </c>
      <c r="I513" t="s">
        <v>669</v>
      </c>
      <c r="J513" t="s">
        <v>1507</v>
      </c>
      <c r="K513" t="s">
        <v>697</v>
      </c>
      <c r="L513" t="s">
        <v>700</v>
      </c>
      <c r="M513" t="s">
        <v>713</v>
      </c>
      <c r="N513" t="s">
        <v>719</v>
      </c>
      <c r="O513" t="s">
        <v>1235</v>
      </c>
      <c r="P513">
        <v>225.01</v>
      </c>
      <c r="Q513">
        <v>333.48</v>
      </c>
      <c r="R513" t="s">
        <v>1490</v>
      </c>
      <c r="S513" s="31">
        <v>0.11899999999999999</v>
      </c>
      <c r="T513">
        <v>12</v>
      </c>
      <c r="U513">
        <v>3525.5505600000001</v>
      </c>
      <c r="V513">
        <v>279100.39937</v>
      </c>
      <c r="W513">
        <v>2700.12</v>
      </c>
      <c r="X513">
        <v>825.43056000000024</v>
      </c>
      <c r="Y513" s="31">
        <v>0.23412813004729685</v>
      </c>
      <c r="Z513">
        <v>202403</v>
      </c>
      <c r="AA513">
        <v>202301</v>
      </c>
      <c r="AB513" t="s">
        <v>1469</v>
      </c>
      <c r="AC513">
        <v>14</v>
      </c>
      <c r="AD513" t="s">
        <v>1484</v>
      </c>
      <c r="AE513">
        <v>0</v>
      </c>
      <c r="AF513">
        <v>0</v>
      </c>
    </row>
    <row r="514" spans="1:32" x14ac:dyDescent="0.25">
      <c r="A514" t="s">
        <v>518</v>
      </c>
      <c r="B514" s="4">
        <v>45575</v>
      </c>
      <c r="C514" t="s">
        <v>1464</v>
      </c>
      <c r="D514" t="s">
        <v>1482</v>
      </c>
      <c r="E514" s="4">
        <v>45576</v>
      </c>
      <c r="F514">
        <v>1</v>
      </c>
      <c r="G514" t="s">
        <v>641</v>
      </c>
      <c r="H514" t="s">
        <v>650</v>
      </c>
      <c r="I514" t="s">
        <v>685</v>
      </c>
      <c r="J514" t="s">
        <v>1523</v>
      </c>
      <c r="K514" t="s">
        <v>695</v>
      </c>
      <c r="L514" t="s">
        <v>702</v>
      </c>
      <c r="M514" t="s">
        <v>708</v>
      </c>
      <c r="N514" t="s">
        <v>719</v>
      </c>
      <c r="O514" t="s">
        <v>1236</v>
      </c>
      <c r="P514">
        <v>1389.46</v>
      </c>
      <c r="Q514">
        <v>1784.7</v>
      </c>
      <c r="R514" t="s">
        <v>1492</v>
      </c>
      <c r="S514" s="31">
        <v>0.14599999999999999</v>
      </c>
      <c r="T514">
        <v>33</v>
      </c>
      <c r="U514">
        <v>50296.415399999998</v>
      </c>
      <c r="V514">
        <v>275574.84881</v>
      </c>
      <c r="W514">
        <v>45852.18</v>
      </c>
      <c r="X514">
        <v>4444.2353999999978</v>
      </c>
      <c r="Y514" s="31">
        <v>8.8360877503011831E-2</v>
      </c>
      <c r="Z514">
        <v>202410</v>
      </c>
      <c r="AA514">
        <v>202301</v>
      </c>
      <c r="AB514" t="s">
        <v>1476</v>
      </c>
      <c r="AC514">
        <v>21</v>
      </c>
      <c r="AD514" t="s">
        <v>1483</v>
      </c>
      <c r="AE514">
        <v>1</v>
      </c>
      <c r="AF514">
        <v>0</v>
      </c>
    </row>
    <row r="515" spans="1:32" x14ac:dyDescent="0.25">
      <c r="A515" t="s">
        <v>519</v>
      </c>
      <c r="B515" s="4">
        <v>45078</v>
      </c>
      <c r="C515" t="s">
        <v>1458</v>
      </c>
      <c r="D515" t="s">
        <v>1480</v>
      </c>
      <c r="E515" s="4">
        <v>45085</v>
      </c>
      <c r="F515">
        <v>7</v>
      </c>
      <c r="G515" t="s">
        <v>641</v>
      </c>
      <c r="H515" t="s">
        <v>648</v>
      </c>
      <c r="I515" t="s">
        <v>690</v>
      </c>
      <c r="J515" t="s">
        <v>1529</v>
      </c>
      <c r="K515" t="s">
        <v>696</v>
      </c>
      <c r="L515" t="s">
        <v>700</v>
      </c>
      <c r="M515" t="s">
        <v>712</v>
      </c>
      <c r="N515" t="s">
        <v>722</v>
      </c>
      <c r="O515" t="s">
        <v>1237</v>
      </c>
      <c r="P515">
        <v>804.17</v>
      </c>
      <c r="Q515">
        <v>1072.29</v>
      </c>
      <c r="R515" t="s">
        <v>1496</v>
      </c>
      <c r="S515" s="31">
        <v>3.2000000000000001E-2</v>
      </c>
      <c r="T515">
        <v>5</v>
      </c>
      <c r="U515">
        <v>5189.8836000000001</v>
      </c>
      <c r="V515">
        <v>225278.43341</v>
      </c>
      <c r="W515">
        <v>4020.85</v>
      </c>
      <c r="X515">
        <v>1169.0336000000002</v>
      </c>
      <c r="Y515" s="31">
        <v>0.2252523736755869</v>
      </c>
      <c r="Z515">
        <v>202306</v>
      </c>
      <c r="AA515">
        <v>202301</v>
      </c>
      <c r="AB515" t="s">
        <v>1458</v>
      </c>
      <c r="AC515">
        <v>5</v>
      </c>
      <c r="AD515" t="s">
        <v>1483</v>
      </c>
      <c r="AE515">
        <v>1</v>
      </c>
      <c r="AF515">
        <v>0</v>
      </c>
    </row>
    <row r="516" spans="1:32" x14ac:dyDescent="0.25">
      <c r="A516" t="s">
        <v>520</v>
      </c>
      <c r="B516" s="4">
        <v>45661</v>
      </c>
      <c r="C516" t="s">
        <v>1455</v>
      </c>
      <c r="D516" t="s">
        <v>1479</v>
      </c>
      <c r="E516" s="4">
        <v>45662</v>
      </c>
      <c r="F516">
        <v>1</v>
      </c>
      <c r="G516" t="s">
        <v>639</v>
      </c>
      <c r="H516" t="s">
        <v>646</v>
      </c>
      <c r="I516" t="s">
        <v>672</v>
      </c>
      <c r="J516" t="s">
        <v>1510</v>
      </c>
      <c r="K516" t="s">
        <v>694</v>
      </c>
      <c r="L516" t="s">
        <v>699</v>
      </c>
      <c r="M516" t="s">
        <v>706</v>
      </c>
      <c r="N516" t="s">
        <v>719</v>
      </c>
      <c r="O516" t="s">
        <v>1238</v>
      </c>
      <c r="P516">
        <v>1428.33</v>
      </c>
      <c r="Q516">
        <v>3028.05</v>
      </c>
      <c r="R516" t="s">
        <v>1492</v>
      </c>
      <c r="S516" s="31">
        <v>0</v>
      </c>
      <c r="T516">
        <v>11</v>
      </c>
      <c r="U516">
        <v>33308.550000000003</v>
      </c>
      <c r="V516">
        <v>225278.43341</v>
      </c>
      <c r="W516">
        <v>15711.63</v>
      </c>
      <c r="X516">
        <v>17596.920000000006</v>
      </c>
      <c r="Y516" s="31">
        <v>0.52830039134096207</v>
      </c>
      <c r="Z516">
        <v>202501</v>
      </c>
      <c r="AA516">
        <v>202301</v>
      </c>
      <c r="AB516" t="s">
        <v>1477</v>
      </c>
      <c r="AC516">
        <v>24</v>
      </c>
      <c r="AD516" t="s">
        <v>1483</v>
      </c>
      <c r="AE516">
        <v>1</v>
      </c>
      <c r="AF516">
        <v>0</v>
      </c>
    </row>
    <row r="517" spans="1:32" x14ac:dyDescent="0.25">
      <c r="A517" t="s">
        <v>521</v>
      </c>
      <c r="B517" s="4">
        <v>45874</v>
      </c>
      <c r="C517" t="s">
        <v>1449</v>
      </c>
      <c r="D517" t="s">
        <v>1481</v>
      </c>
      <c r="E517" s="4">
        <v>45897</v>
      </c>
      <c r="F517">
        <v>23</v>
      </c>
      <c r="G517" t="s">
        <v>639</v>
      </c>
      <c r="H517" t="s">
        <v>646</v>
      </c>
      <c r="I517" t="s">
        <v>683</v>
      </c>
      <c r="J517" t="s">
        <v>1521</v>
      </c>
      <c r="K517" t="s">
        <v>695</v>
      </c>
      <c r="L517" t="s">
        <v>702</v>
      </c>
      <c r="M517" t="s">
        <v>717</v>
      </c>
      <c r="N517" t="s">
        <v>723</v>
      </c>
      <c r="O517" t="s">
        <v>1239</v>
      </c>
      <c r="P517">
        <v>638.54</v>
      </c>
      <c r="Q517">
        <v>987.24</v>
      </c>
      <c r="R517" t="s">
        <v>1496</v>
      </c>
      <c r="S517" s="31">
        <v>0</v>
      </c>
      <c r="T517">
        <v>11</v>
      </c>
      <c r="U517">
        <v>10859.64</v>
      </c>
      <c r="V517">
        <v>191969.88341000001</v>
      </c>
      <c r="W517">
        <v>7023.94</v>
      </c>
      <c r="X517">
        <v>3835.7</v>
      </c>
      <c r="Y517" s="31">
        <v>0.35320692030306716</v>
      </c>
      <c r="Z517">
        <v>202508</v>
      </c>
      <c r="AA517">
        <v>202301</v>
      </c>
      <c r="AB517" t="s">
        <v>1448</v>
      </c>
      <c r="AC517">
        <v>31</v>
      </c>
      <c r="AD517" t="s">
        <v>1484</v>
      </c>
      <c r="AE517">
        <v>0</v>
      </c>
      <c r="AF517">
        <v>0</v>
      </c>
    </row>
    <row r="518" spans="1:32" x14ac:dyDescent="0.25">
      <c r="A518" t="s">
        <v>522</v>
      </c>
      <c r="B518" s="4">
        <v>45199</v>
      </c>
      <c r="C518" t="s">
        <v>1465</v>
      </c>
      <c r="D518" t="s">
        <v>1481</v>
      </c>
      <c r="E518" s="4">
        <v>45229</v>
      </c>
      <c r="F518">
        <v>30</v>
      </c>
      <c r="G518" t="s">
        <v>639</v>
      </c>
      <c r="H518" t="s">
        <v>644</v>
      </c>
      <c r="I518" t="s">
        <v>681</v>
      </c>
      <c r="J518" t="s">
        <v>1519</v>
      </c>
      <c r="K518" t="s">
        <v>698</v>
      </c>
      <c r="L518" t="s">
        <v>700</v>
      </c>
      <c r="M518" t="s">
        <v>718</v>
      </c>
      <c r="N518" t="s">
        <v>720</v>
      </c>
      <c r="O518" t="s">
        <v>1240</v>
      </c>
      <c r="P518">
        <v>649.13</v>
      </c>
      <c r="Q518">
        <v>975.43</v>
      </c>
      <c r="R518" t="s">
        <v>1496</v>
      </c>
      <c r="S518" s="31">
        <v>0.157</v>
      </c>
      <c r="T518">
        <v>27</v>
      </c>
      <c r="U518">
        <v>22201.762229999997</v>
      </c>
      <c r="V518">
        <v>191969.88341000001</v>
      </c>
      <c r="W518">
        <v>17526.509999999998</v>
      </c>
      <c r="X518">
        <v>4675.2522299999982</v>
      </c>
      <c r="Y518" s="31">
        <v>0.21058023149543473</v>
      </c>
      <c r="Z518">
        <v>202309</v>
      </c>
      <c r="AA518">
        <v>202303</v>
      </c>
      <c r="AB518" t="s">
        <v>1465</v>
      </c>
      <c r="AC518">
        <v>6</v>
      </c>
      <c r="AD518" t="s">
        <v>1484</v>
      </c>
      <c r="AE518">
        <v>0</v>
      </c>
      <c r="AF518">
        <v>0</v>
      </c>
    </row>
    <row r="519" spans="1:32" x14ac:dyDescent="0.25">
      <c r="A519" t="s">
        <v>523</v>
      </c>
      <c r="B519" s="4">
        <v>45794</v>
      </c>
      <c r="C519" t="s">
        <v>1471</v>
      </c>
      <c r="D519" t="s">
        <v>1480</v>
      </c>
      <c r="E519" s="4">
        <v>45807</v>
      </c>
      <c r="F519">
        <v>13</v>
      </c>
      <c r="G519" t="s">
        <v>638</v>
      </c>
      <c r="H519" t="s">
        <v>643</v>
      </c>
      <c r="I519" t="s">
        <v>657</v>
      </c>
      <c r="J519" t="s">
        <v>1494</v>
      </c>
      <c r="K519" t="s">
        <v>696</v>
      </c>
      <c r="L519" t="s">
        <v>702</v>
      </c>
      <c r="M519" t="s">
        <v>713</v>
      </c>
      <c r="N519" t="s">
        <v>725</v>
      </c>
      <c r="O519" t="s">
        <v>1241</v>
      </c>
      <c r="P519">
        <v>66.400000000000006</v>
      </c>
      <c r="Q519">
        <v>141.43</v>
      </c>
      <c r="R519" t="s">
        <v>1490</v>
      </c>
      <c r="S519" s="31">
        <v>0.107</v>
      </c>
      <c r="T519">
        <v>8</v>
      </c>
      <c r="U519">
        <v>1010.3759200000001</v>
      </c>
      <c r="V519">
        <v>191969.88341000001</v>
      </c>
      <c r="W519">
        <v>531.20000000000005</v>
      </c>
      <c r="X519">
        <v>479.17592000000002</v>
      </c>
      <c r="Y519" s="31">
        <v>0.47425508715607551</v>
      </c>
      <c r="Z519">
        <v>202505</v>
      </c>
      <c r="AA519">
        <v>202301</v>
      </c>
      <c r="AB519" t="s">
        <v>1462</v>
      </c>
      <c r="AC519">
        <v>28</v>
      </c>
      <c r="AD519" t="s">
        <v>1484</v>
      </c>
      <c r="AE519">
        <v>0</v>
      </c>
      <c r="AF519">
        <v>0</v>
      </c>
    </row>
    <row r="520" spans="1:32" x14ac:dyDescent="0.25">
      <c r="A520" t="s">
        <v>524</v>
      </c>
      <c r="B520" s="4">
        <v>45413</v>
      </c>
      <c r="C520" t="s">
        <v>1463</v>
      </c>
      <c r="D520" t="s">
        <v>1480</v>
      </c>
      <c r="E520" s="4">
        <v>45438</v>
      </c>
      <c r="F520">
        <v>25</v>
      </c>
      <c r="G520" t="s">
        <v>641</v>
      </c>
      <c r="H520" t="s">
        <v>648</v>
      </c>
      <c r="I520" t="s">
        <v>663</v>
      </c>
      <c r="J520" t="s">
        <v>1501</v>
      </c>
      <c r="K520" t="s">
        <v>695</v>
      </c>
      <c r="L520" t="s">
        <v>699</v>
      </c>
      <c r="M520" t="s">
        <v>709</v>
      </c>
      <c r="N520" t="s">
        <v>721</v>
      </c>
      <c r="O520" t="s">
        <v>1242</v>
      </c>
      <c r="P520">
        <v>930.71</v>
      </c>
      <c r="Q520">
        <v>1625.42</v>
      </c>
      <c r="R520" t="s">
        <v>1496</v>
      </c>
      <c r="S520" s="31">
        <v>0.13800000000000001</v>
      </c>
      <c r="T520">
        <v>7</v>
      </c>
      <c r="U520">
        <v>9807.7842799999999</v>
      </c>
      <c r="V520">
        <v>191969.88341000001</v>
      </c>
      <c r="W520">
        <v>6514.97</v>
      </c>
      <c r="X520">
        <v>3292.8142799999996</v>
      </c>
      <c r="Y520" s="31">
        <v>0.33573477821231196</v>
      </c>
      <c r="Z520">
        <v>202405</v>
      </c>
      <c r="AA520">
        <v>202301</v>
      </c>
      <c r="AB520" t="s">
        <v>1462</v>
      </c>
      <c r="AC520">
        <v>16</v>
      </c>
      <c r="AD520" t="s">
        <v>1484</v>
      </c>
      <c r="AE520">
        <v>0</v>
      </c>
      <c r="AF520">
        <v>0</v>
      </c>
    </row>
    <row r="521" spans="1:32" x14ac:dyDescent="0.25">
      <c r="A521" t="s">
        <v>525</v>
      </c>
      <c r="B521" s="4">
        <v>45047</v>
      </c>
      <c r="C521" t="s">
        <v>1462</v>
      </c>
      <c r="D521" t="s">
        <v>1480</v>
      </c>
      <c r="E521" s="4">
        <v>45064</v>
      </c>
      <c r="F521">
        <v>17</v>
      </c>
      <c r="G521" t="s">
        <v>638</v>
      </c>
      <c r="H521" t="s">
        <v>643</v>
      </c>
      <c r="I521" t="s">
        <v>655</v>
      </c>
      <c r="J521" t="s">
        <v>1491</v>
      </c>
      <c r="K521" t="s">
        <v>693</v>
      </c>
      <c r="L521" t="s">
        <v>703</v>
      </c>
      <c r="M521" t="s">
        <v>713</v>
      </c>
      <c r="N521" t="s">
        <v>719</v>
      </c>
      <c r="O521" t="s">
        <v>1243</v>
      </c>
      <c r="P521">
        <v>327.97</v>
      </c>
      <c r="Q521">
        <v>299.94</v>
      </c>
      <c r="R521" t="s">
        <v>1490</v>
      </c>
      <c r="S521" s="31">
        <v>4.9000000000000002E-2</v>
      </c>
      <c r="T521">
        <v>3</v>
      </c>
      <c r="U521">
        <v>855.72881999999993</v>
      </c>
      <c r="V521">
        <v>191969.88341000001</v>
      </c>
      <c r="W521">
        <v>983.91000000000008</v>
      </c>
      <c r="X521">
        <v>-128.18118000000015</v>
      </c>
      <c r="Y521" s="31">
        <v>-0.14979182306843442</v>
      </c>
      <c r="Z521">
        <v>202305</v>
      </c>
      <c r="AA521">
        <v>202301</v>
      </c>
      <c r="AB521" t="s">
        <v>1462</v>
      </c>
      <c r="AC521">
        <v>4</v>
      </c>
      <c r="AD521" t="s">
        <v>1484</v>
      </c>
      <c r="AE521">
        <v>0</v>
      </c>
      <c r="AF521">
        <v>0</v>
      </c>
    </row>
    <row r="522" spans="1:32" x14ac:dyDescent="0.25">
      <c r="A522" t="s">
        <v>526</v>
      </c>
      <c r="B522" s="4">
        <v>45482</v>
      </c>
      <c r="C522" t="s">
        <v>1456</v>
      </c>
      <c r="D522" t="s">
        <v>1481</v>
      </c>
      <c r="E522" s="4">
        <v>45512</v>
      </c>
      <c r="F522">
        <v>30</v>
      </c>
      <c r="G522" t="s">
        <v>641</v>
      </c>
      <c r="H522" t="s">
        <v>649</v>
      </c>
      <c r="I522" t="s">
        <v>665</v>
      </c>
      <c r="J522" t="s">
        <v>1503</v>
      </c>
      <c r="K522" t="s">
        <v>693</v>
      </c>
      <c r="L522" t="s">
        <v>703</v>
      </c>
      <c r="M522" t="s">
        <v>705</v>
      </c>
      <c r="N522" t="s">
        <v>719</v>
      </c>
      <c r="O522" t="s">
        <v>1244</v>
      </c>
      <c r="P522">
        <v>1062.3800000000001</v>
      </c>
      <c r="Q522">
        <v>1503.96</v>
      </c>
      <c r="R522" t="s">
        <v>1492</v>
      </c>
      <c r="S522" s="31">
        <v>0.18</v>
      </c>
      <c r="T522">
        <v>6</v>
      </c>
      <c r="U522">
        <v>7399.4832000000006</v>
      </c>
      <c r="V522">
        <v>191114.15458999999</v>
      </c>
      <c r="W522">
        <v>6374.2800000000007</v>
      </c>
      <c r="X522">
        <v>1025.2031999999999</v>
      </c>
      <c r="Y522" s="31">
        <v>0.13855064905073369</v>
      </c>
      <c r="Z522">
        <v>202407</v>
      </c>
      <c r="AA522">
        <v>202301</v>
      </c>
      <c r="AB522" t="s">
        <v>1468</v>
      </c>
      <c r="AC522">
        <v>18</v>
      </c>
      <c r="AD522" t="s">
        <v>1484</v>
      </c>
      <c r="AE522">
        <v>0</v>
      </c>
      <c r="AF522">
        <v>0</v>
      </c>
    </row>
    <row r="523" spans="1:32" x14ac:dyDescent="0.25">
      <c r="A523" t="s">
        <v>527</v>
      </c>
      <c r="B523" s="4">
        <v>45056</v>
      </c>
      <c r="C523" t="s">
        <v>1462</v>
      </c>
      <c r="D523" t="s">
        <v>1480</v>
      </c>
      <c r="E523" s="4">
        <v>45073</v>
      </c>
      <c r="F523">
        <v>17</v>
      </c>
      <c r="G523" t="s">
        <v>639</v>
      </c>
      <c r="H523" t="s">
        <v>646</v>
      </c>
      <c r="I523" t="s">
        <v>683</v>
      </c>
      <c r="J523" t="s">
        <v>1521</v>
      </c>
      <c r="K523" t="s">
        <v>696</v>
      </c>
      <c r="L523" t="s">
        <v>699</v>
      </c>
      <c r="M523" t="s">
        <v>716</v>
      </c>
      <c r="N523" t="s">
        <v>723</v>
      </c>
      <c r="O523" t="s">
        <v>1245</v>
      </c>
      <c r="P523">
        <v>1286.1600000000001</v>
      </c>
      <c r="Q523">
        <v>3101.11</v>
      </c>
      <c r="R523" t="s">
        <v>1492</v>
      </c>
      <c r="S523" s="31">
        <v>0.1</v>
      </c>
      <c r="T523">
        <v>23</v>
      </c>
      <c r="U523">
        <v>64192.976999999999</v>
      </c>
      <c r="V523">
        <v>183714.67138999997</v>
      </c>
      <c r="W523">
        <v>29581.68</v>
      </c>
      <c r="X523">
        <v>34611.296999999999</v>
      </c>
      <c r="Y523" s="31">
        <v>0.53917575749758417</v>
      </c>
      <c r="Z523">
        <v>202305</v>
      </c>
      <c r="AA523">
        <v>202301</v>
      </c>
      <c r="AB523" t="s">
        <v>1462</v>
      </c>
      <c r="AC523">
        <v>4</v>
      </c>
      <c r="AD523" t="s">
        <v>1484</v>
      </c>
      <c r="AE523">
        <v>0</v>
      </c>
      <c r="AF523">
        <v>0</v>
      </c>
    </row>
    <row r="524" spans="1:32" x14ac:dyDescent="0.25">
      <c r="A524" t="s">
        <v>528</v>
      </c>
      <c r="B524" s="4">
        <v>45482</v>
      </c>
      <c r="C524" t="s">
        <v>1456</v>
      </c>
      <c r="D524" t="s">
        <v>1481</v>
      </c>
      <c r="E524" s="4">
        <v>45485</v>
      </c>
      <c r="F524">
        <v>3</v>
      </c>
      <c r="G524" t="s">
        <v>639</v>
      </c>
      <c r="H524" t="s">
        <v>651</v>
      </c>
      <c r="I524" t="s">
        <v>677</v>
      </c>
      <c r="J524" t="s">
        <v>1515</v>
      </c>
      <c r="K524" t="s">
        <v>697</v>
      </c>
      <c r="L524" t="s">
        <v>699</v>
      </c>
      <c r="M524" t="s">
        <v>718</v>
      </c>
      <c r="N524" t="s">
        <v>725</v>
      </c>
      <c r="O524" t="s">
        <v>1246</v>
      </c>
      <c r="P524">
        <v>748.39</v>
      </c>
      <c r="Q524">
        <v>979.42</v>
      </c>
      <c r="R524" t="s">
        <v>1496</v>
      </c>
      <c r="S524" s="31">
        <v>0</v>
      </c>
      <c r="T524">
        <v>23</v>
      </c>
      <c r="U524">
        <v>22526.66</v>
      </c>
      <c r="V524">
        <v>183714.67138999997</v>
      </c>
      <c r="W524">
        <v>17212.97</v>
      </c>
      <c r="X524">
        <v>5313.6899999999987</v>
      </c>
      <c r="Y524" s="31">
        <v>0.23588450307324738</v>
      </c>
      <c r="Z524">
        <v>202407</v>
      </c>
      <c r="AA524">
        <v>202301</v>
      </c>
      <c r="AB524" t="s">
        <v>1468</v>
      </c>
      <c r="AC524">
        <v>18</v>
      </c>
      <c r="AD524" t="s">
        <v>1483</v>
      </c>
      <c r="AE524">
        <v>1</v>
      </c>
      <c r="AF524">
        <v>0</v>
      </c>
    </row>
    <row r="525" spans="1:32" x14ac:dyDescent="0.25">
      <c r="A525" t="s">
        <v>529</v>
      </c>
      <c r="B525" s="4">
        <v>45406</v>
      </c>
      <c r="C525" t="s">
        <v>1447</v>
      </c>
      <c r="D525" t="s">
        <v>1480</v>
      </c>
      <c r="E525" s="4">
        <v>45422</v>
      </c>
      <c r="F525">
        <v>16</v>
      </c>
      <c r="G525" t="s">
        <v>638</v>
      </c>
      <c r="H525" t="s">
        <v>642</v>
      </c>
      <c r="I525" t="s">
        <v>654</v>
      </c>
      <c r="J525" t="s">
        <v>1489</v>
      </c>
      <c r="K525" t="s">
        <v>695</v>
      </c>
      <c r="L525" t="s">
        <v>700</v>
      </c>
      <c r="M525" t="s">
        <v>717</v>
      </c>
      <c r="N525" t="s">
        <v>724</v>
      </c>
      <c r="O525" t="s">
        <v>1247</v>
      </c>
      <c r="P525">
        <v>513.30999999999995</v>
      </c>
      <c r="Q525">
        <v>1186.26</v>
      </c>
      <c r="R525" t="s">
        <v>1496</v>
      </c>
      <c r="S525" s="31">
        <v>9.4E-2</v>
      </c>
      <c r="T525">
        <v>15</v>
      </c>
      <c r="U525">
        <v>16121.273400000002</v>
      </c>
      <c r="V525">
        <v>183714.67138999997</v>
      </c>
      <c r="W525">
        <v>7699.65</v>
      </c>
      <c r="X525">
        <v>8421.6234000000022</v>
      </c>
      <c r="Y525" s="31">
        <v>0.52239194702820446</v>
      </c>
      <c r="Z525">
        <v>202404</v>
      </c>
      <c r="AA525">
        <v>202301</v>
      </c>
      <c r="AB525" t="s">
        <v>1446</v>
      </c>
      <c r="AC525">
        <v>15</v>
      </c>
      <c r="AD525" t="s">
        <v>1484</v>
      </c>
      <c r="AE525">
        <v>0</v>
      </c>
      <c r="AF525">
        <v>0</v>
      </c>
    </row>
    <row r="526" spans="1:32" x14ac:dyDescent="0.25">
      <c r="A526" t="s">
        <v>530</v>
      </c>
      <c r="B526" s="4">
        <v>45304</v>
      </c>
      <c r="C526" t="s">
        <v>1454</v>
      </c>
      <c r="D526" t="s">
        <v>1479</v>
      </c>
      <c r="E526" s="4">
        <v>45306</v>
      </c>
      <c r="F526">
        <v>2</v>
      </c>
      <c r="G526" t="s">
        <v>640</v>
      </c>
      <c r="H526" t="s">
        <v>652</v>
      </c>
      <c r="I526" t="s">
        <v>678</v>
      </c>
      <c r="J526" t="s">
        <v>1516</v>
      </c>
      <c r="K526" t="s">
        <v>695</v>
      </c>
      <c r="L526" t="s">
        <v>703</v>
      </c>
      <c r="M526" t="s">
        <v>710</v>
      </c>
      <c r="N526" t="s">
        <v>719</v>
      </c>
      <c r="O526" t="s">
        <v>1248</v>
      </c>
      <c r="P526">
        <v>1061.3699999999999</v>
      </c>
      <c r="Q526">
        <v>1938.33</v>
      </c>
      <c r="R526" t="s">
        <v>1492</v>
      </c>
      <c r="S526" s="31">
        <v>0.17</v>
      </c>
      <c r="T526">
        <v>4</v>
      </c>
      <c r="U526">
        <v>6435.2555999999995</v>
      </c>
      <c r="V526">
        <v>183714.67138999997</v>
      </c>
      <c r="W526">
        <v>4245.4799999999996</v>
      </c>
      <c r="X526">
        <v>2189.7755999999999</v>
      </c>
      <c r="Y526" s="31">
        <v>0.34027795259600879</v>
      </c>
      <c r="Z526">
        <v>202401</v>
      </c>
      <c r="AA526">
        <v>202301</v>
      </c>
      <c r="AB526" t="s">
        <v>1477</v>
      </c>
      <c r="AC526">
        <v>12</v>
      </c>
      <c r="AD526" t="s">
        <v>1483</v>
      </c>
      <c r="AE526">
        <v>1</v>
      </c>
      <c r="AF526">
        <v>0</v>
      </c>
    </row>
    <row r="527" spans="1:32" x14ac:dyDescent="0.25">
      <c r="A527" t="s">
        <v>531</v>
      </c>
      <c r="B527" s="4">
        <v>45398</v>
      </c>
      <c r="C527" t="s">
        <v>1447</v>
      </c>
      <c r="D527" t="s">
        <v>1480</v>
      </c>
      <c r="E527" s="4">
        <v>45409</v>
      </c>
      <c r="F527">
        <v>11</v>
      </c>
      <c r="G527" t="s">
        <v>638</v>
      </c>
      <c r="H527" t="s">
        <v>642</v>
      </c>
      <c r="I527" t="s">
        <v>670</v>
      </c>
      <c r="J527" t="s">
        <v>1508</v>
      </c>
      <c r="K527" t="s">
        <v>698</v>
      </c>
      <c r="L527" t="s">
        <v>700</v>
      </c>
      <c r="M527" t="s">
        <v>718</v>
      </c>
      <c r="N527" t="s">
        <v>720</v>
      </c>
      <c r="O527" t="s">
        <v>1249</v>
      </c>
      <c r="P527">
        <v>401.3</v>
      </c>
      <c r="Q527">
        <v>826.47</v>
      </c>
      <c r="R527" t="s">
        <v>1490</v>
      </c>
      <c r="S527" s="31">
        <v>0.22500000000000001</v>
      </c>
      <c r="T527">
        <v>13</v>
      </c>
      <c r="U527">
        <v>8326.6852500000005</v>
      </c>
      <c r="V527">
        <v>177279.41579</v>
      </c>
      <c r="W527">
        <v>5216.9000000000005</v>
      </c>
      <c r="X527">
        <v>3109.7852499999999</v>
      </c>
      <c r="Y527" s="31">
        <v>0.37347217489696755</v>
      </c>
      <c r="Z527">
        <v>202404</v>
      </c>
      <c r="AA527">
        <v>202301</v>
      </c>
      <c r="AB527" t="s">
        <v>1446</v>
      </c>
      <c r="AC527">
        <v>15</v>
      </c>
      <c r="AD527" t="s">
        <v>1484</v>
      </c>
      <c r="AE527">
        <v>0</v>
      </c>
      <c r="AF527">
        <v>1</v>
      </c>
    </row>
    <row r="528" spans="1:32" x14ac:dyDescent="0.25">
      <c r="A528" t="s">
        <v>532</v>
      </c>
      <c r="B528" s="4">
        <v>45695</v>
      </c>
      <c r="C528" t="s">
        <v>1453</v>
      </c>
      <c r="D528" t="s">
        <v>1479</v>
      </c>
      <c r="E528" s="4">
        <v>45704</v>
      </c>
      <c r="F528">
        <v>9</v>
      </c>
      <c r="G528" t="s">
        <v>638</v>
      </c>
      <c r="H528" t="s">
        <v>643</v>
      </c>
      <c r="I528" t="s">
        <v>657</v>
      </c>
      <c r="J528" t="s">
        <v>1494</v>
      </c>
      <c r="K528" t="s">
        <v>697</v>
      </c>
      <c r="L528" t="s">
        <v>702</v>
      </c>
      <c r="M528" t="s">
        <v>704</v>
      </c>
      <c r="N528" t="s">
        <v>720</v>
      </c>
      <c r="O528" t="s">
        <v>1250</v>
      </c>
      <c r="P528">
        <v>90.68</v>
      </c>
      <c r="Q528">
        <v>118.17</v>
      </c>
      <c r="R528" t="s">
        <v>1490</v>
      </c>
      <c r="S528" s="31">
        <v>0.13500000000000001</v>
      </c>
      <c r="T528">
        <v>21</v>
      </c>
      <c r="U528">
        <v>2146.5580500000001</v>
      </c>
      <c r="V528">
        <v>177279.41579</v>
      </c>
      <c r="W528">
        <v>1904.2800000000002</v>
      </c>
      <c r="X528">
        <v>242.27804999999989</v>
      </c>
      <c r="Y528" s="31">
        <v>0.11286815653552899</v>
      </c>
      <c r="Z528">
        <v>202502</v>
      </c>
      <c r="AA528">
        <v>202301</v>
      </c>
      <c r="AB528" t="s">
        <v>1451</v>
      </c>
      <c r="AC528">
        <v>25</v>
      </c>
      <c r="AD528" t="s">
        <v>1484</v>
      </c>
      <c r="AE528">
        <v>0</v>
      </c>
      <c r="AF528">
        <v>0</v>
      </c>
    </row>
    <row r="529" spans="1:32" x14ac:dyDescent="0.25">
      <c r="A529" t="s">
        <v>533</v>
      </c>
      <c r="B529" s="4">
        <v>44938</v>
      </c>
      <c r="C529" t="s">
        <v>1477</v>
      </c>
      <c r="D529" t="s">
        <v>1479</v>
      </c>
      <c r="E529" s="4">
        <v>44952</v>
      </c>
      <c r="F529">
        <v>14</v>
      </c>
      <c r="G529" t="s">
        <v>639</v>
      </c>
      <c r="H529" t="s">
        <v>651</v>
      </c>
      <c r="I529" t="s">
        <v>668</v>
      </c>
      <c r="J529" t="s">
        <v>1506</v>
      </c>
      <c r="K529" t="s">
        <v>695</v>
      </c>
      <c r="L529" t="s">
        <v>699</v>
      </c>
      <c r="M529" t="s">
        <v>716</v>
      </c>
      <c r="N529" t="s">
        <v>720</v>
      </c>
      <c r="O529" t="s">
        <v>1251</v>
      </c>
      <c r="P529">
        <v>1083.0899999999999</v>
      </c>
      <c r="Q529">
        <v>1425.87</v>
      </c>
      <c r="R529" t="s">
        <v>1492</v>
      </c>
      <c r="S529" s="31">
        <v>0</v>
      </c>
      <c r="T529">
        <v>8</v>
      </c>
      <c r="U529">
        <v>11406.96</v>
      </c>
      <c r="V529">
        <v>177279.41579</v>
      </c>
      <c r="W529">
        <v>8664.7199999999993</v>
      </c>
      <c r="X529">
        <v>2742.24</v>
      </c>
      <c r="Y529" s="31">
        <v>0.24040059752992909</v>
      </c>
      <c r="Z529">
        <v>202301</v>
      </c>
      <c r="AA529">
        <v>202301</v>
      </c>
      <c r="AB529" t="s">
        <v>1477</v>
      </c>
      <c r="AC529">
        <v>0</v>
      </c>
      <c r="AD529" t="s">
        <v>1484</v>
      </c>
      <c r="AE529">
        <v>0</v>
      </c>
      <c r="AF529">
        <v>0</v>
      </c>
    </row>
    <row r="530" spans="1:32" x14ac:dyDescent="0.25">
      <c r="A530" t="s">
        <v>534</v>
      </c>
      <c r="B530" s="4">
        <v>45448</v>
      </c>
      <c r="C530" t="s">
        <v>1459</v>
      </c>
      <c r="D530" t="s">
        <v>1480</v>
      </c>
      <c r="E530" s="4">
        <v>45466</v>
      </c>
      <c r="F530">
        <v>18</v>
      </c>
      <c r="G530" t="s">
        <v>638</v>
      </c>
      <c r="H530" t="s">
        <v>642</v>
      </c>
      <c r="I530" t="s">
        <v>656</v>
      </c>
      <c r="J530" t="s">
        <v>1493</v>
      </c>
      <c r="K530" t="s">
        <v>696</v>
      </c>
      <c r="L530" t="s">
        <v>702</v>
      </c>
      <c r="M530" t="s">
        <v>718</v>
      </c>
      <c r="N530" t="s">
        <v>723</v>
      </c>
      <c r="O530" t="s">
        <v>1252</v>
      </c>
      <c r="P530">
        <v>1208.74</v>
      </c>
      <c r="Q530">
        <v>1594.78</v>
      </c>
      <c r="R530" t="s">
        <v>1492</v>
      </c>
      <c r="S530" s="31">
        <v>5.8999999999999997E-2</v>
      </c>
      <c r="T530">
        <v>39</v>
      </c>
      <c r="U530">
        <v>58526.83122</v>
      </c>
      <c r="V530">
        <v>177279.41579</v>
      </c>
      <c r="W530">
        <v>47140.86</v>
      </c>
      <c r="X530">
        <v>11385.971219999999</v>
      </c>
      <c r="Y530" s="31">
        <v>0.1945427589817838</v>
      </c>
      <c r="Z530">
        <v>202406</v>
      </c>
      <c r="AA530">
        <v>202301</v>
      </c>
      <c r="AB530" t="s">
        <v>1458</v>
      </c>
      <c r="AC530">
        <v>17</v>
      </c>
      <c r="AD530" t="s">
        <v>1484</v>
      </c>
      <c r="AE530">
        <v>0</v>
      </c>
      <c r="AF530">
        <v>0</v>
      </c>
    </row>
    <row r="531" spans="1:32" x14ac:dyDescent="0.25">
      <c r="A531" t="s">
        <v>535</v>
      </c>
      <c r="B531" s="4">
        <v>45162</v>
      </c>
      <c r="C531" t="s">
        <v>1448</v>
      </c>
      <c r="D531" t="s">
        <v>1481</v>
      </c>
      <c r="E531" s="4">
        <v>45189</v>
      </c>
      <c r="F531">
        <v>27</v>
      </c>
      <c r="G531" t="s">
        <v>638</v>
      </c>
      <c r="H531" t="s">
        <v>653</v>
      </c>
      <c r="I531" t="s">
        <v>679</v>
      </c>
      <c r="J531" t="s">
        <v>1517</v>
      </c>
      <c r="K531" t="s">
        <v>697</v>
      </c>
      <c r="L531" t="s">
        <v>701</v>
      </c>
      <c r="M531" t="s">
        <v>716</v>
      </c>
      <c r="N531" t="s">
        <v>720</v>
      </c>
      <c r="O531" t="s">
        <v>1253</v>
      </c>
      <c r="P531">
        <v>1399.64</v>
      </c>
      <c r="Q531">
        <v>3342.11</v>
      </c>
      <c r="R531" t="s">
        <v>1492</v>
      </c>
      <c r="S531" s="31">
        <v>0</v>
      </c>
      <c r="T531">
        <v>10</v>
      </c>
      <c r="U531">
        <v>33421.1</v>
      </c>
      <c r="V531">
        <v>177279.41579</v>
      </c>
      <c r="W531">
        <v>13996.400000000001</v>
      </c>
      <c r="X531">
        <v>19424.699999999997</v>
      </c>
      <c r="Y531" s="31">
        <v>0.58121067229983447</v>
      </c>
      <c r="Z531">
        <v>202308</v>
      </c>
      <c r="AA531">
        <v>202301</v>
      </c>
      <c r="AB531" t="s">
        <v>1448</v>
      </c>
      <c r="AC531">
        <v>7</v>
      </c>
      <c r="AD531" t="s">
        <v>1484</v>
      </c>
      <c r="AE531">
        <v>0</v>
      </c>
      <c r="AF531">
        <v>0</v>
      </c>
    </row>
    <row r="532" spans="1:32" x14ac:dyDescent="0.25">
      <c r="A532" t="s">
        <v>536</v>
      </c>
      <c r="B532" s="4">
        <v>45316</v>
      </c>
      <c r="C532" t="s">
        <v>1454</v>
      </c>
      <c r="D532" t="s">
        <v>1479</v>
      </c>
      <c r="E532" s="4">
        <v>45330</v>
      </c>
      <c r="F532">
        <v>14</v>
      </c>
      <c r="G532" t="s">
        <v>639</v>
      </c>
      <c r="H532" t="s">
        <v>644</v>
      </c>
      <c r="I532" t="s">
        <v>658</v>
      </c>
      <c r="J532" t="s">
        <v>1495</v>
      </c>
      <c r="K532" t="s">
        <v>696</v>
      </c>
      <c r="L532" t="s">
        <v>701</v>
      </c>
      <c r="M532" t="s">
        <v>706</v>
      </c>
      <c r="N532" t="s">
        <v>721</v>
      </c>
      <c r="O532" t="s">
        <v>1254</v>
      </c>
      <c r="P532">
        <v>937.16</v>
      </c>
      <c r="Q532">
        <v>1069.77</v>
      </c>
      <c r="R532" t="s">
        <v>1496</v>
      </c>
      <c r="S532" s="31">
        <v>3.7999999999999999E-2</v>
      </c>
      <c r="T532">
        <v>9</v>
      </c>
      <c r="U532">
        <v>9262.0686600000008</v>
      </c>
      <c r="V532">
        <v>177279.41579</v>
      </c>
      <c r="W532">
        <v>8434.44</v>
      </c>
      <c r="X532">
        <v>827.62866000000031</v>
      </c>
      <c r="Y532" s="31">
        <v>8.9356783066645962E-2</v>
      </c>
      <c r="Z532">
        <v>202401</v>
      </c>
      <c r="AA532">
        <v>202303</v>
      </c>
      <c r="AB532" t="s">
        <v>1477</v>
      </c>
      <c r="AC532">
        <v>10</v>
      </c>
      <c r="AD532" t="s">
        <v>1484</v>
      </c>
      <c r="AE532">
        <v>0</v>
      </c>
      <c r="AF532">
        <v>0</v>
      </c>
    </row>
    <row r="533" spans="1:32" x14ac:dyDescent="0.25">
      <c r="A533" t="s">
        <v>537</v>
      </c>
      <c r="B533" s="4">
        <v>45727</v>
      </c>
      <c r="C533" t="s">
        <v>1461</v>
      </c>
      <c r="D533" t="s">
        <v>1479</v>
      </c>
      <c r="E533" s="4">
        <v>45742</v>
      </c>
      <c r="F533">
        <v>15</v>
      </c>
      <c r="G533" t="s">
        <v>641</v>
      </c>
      <c r="H533" t="s">
        <v>648</v>
      </c>
      <c r="I533" t="s">
        <v>663</v>
      </c>
      <c r="J533" t="s">
        <v>1501</v>
      </c>
      <c r="K533" t="s">
        <v>697</v>
      </c>
      <c r="L533" t="s">
        <v>700</v>
      </c>
      <c r="M533" t="s">
        <v>706</v>
      </c>
      <c r="N533" t="s">
        <v>722</v>
      </c>
      <c r="O533" t="s">
        <v>1255</v>
      </c>
      <c r="P533">
        <v>116.97</v>
      </c>
      <c r="Q533">
        <v>140.82</v>
      </c>
      <c r="R533" t="s">
        <v>1490</v>
      </c>
      <c r="S533" s="31">
        <v>0.122</v>
      </c>
      <c r="T533">
        <v>5</v>
      </c>
      <c r="U533">
        <v>618.19979999999987</v>
      </c>
      <c r="V533">
        <v>177279.41579</v>
      </c>
      <c r="W533">
        <v>584.85</v>
      </c>
      <c r="X533">
        <v>33.349799999999846</v>
      </c>
      <c r="Y533" s="31">
        <v>5.3946636669891926E-2</v>
      </c>
      <c r="Z533">
        <v>202503</v>
      </c>
      <c r="AA533">
        <v>202301</v>
      </c>
      <c r="AB533" t="s">
        <v>1469</v>
      </c>
      <c r="AC533">
        <v>26</v>
      </c>
      <c r="AD533" t="s">
        <v>1484</v>
      </c>
      <c r="AE533">
        <v>0</v>
      </c>
      <c r="AF533">
        <v>0</v>
      </c>
    </row>
    <row r="534" spans="1:32" x14ac:dyDescent="0.25">
      <c r="A534" t="s">
        <v>538</v>
      </c>
      <c r="B534" s="4">
        <v>45769</v>
      </c>
      <c r="C534" t="s">
        <v>1473</v>
      </c>
      <c r="D534" t="s">
        <v>1480</v>
      </c>
      <c r="E534" s="4">
        <v>45789</v>
      </c>
      <c r="F534">
        <v>20</v>
      </c>
      <c r="G534" t="s">
        <v>641</v>
      </c>
      <c r="H534" t="s">
        <v>649</v>
      </c>
      <c r="I534" t="s">
        <v>671</v>
      </c>
      <c r="J534" t="s">
        <v>1509</v>
      </c>
      <c r="K534" t="s">
        <v>698</v>
      </c>
      <c r="L534" t="s">
        <v>701</v>
      </c>
      <c r="M534" t="s">
        <v>715</v>
      </c>
      <c r="N534" t="s">
        <v>724</v>
      </c>
      <c r="O534" t="s">
        <v>1256</v>
      </c>
      <c r="P534">
        <v>59.51</v>
      </c>
      <c r="Q534">
        <v>67.040000000000006</v>
      </c>
      <c r="R534" t="s">
        <v>1490</v>
      </c>
      <c r="S534" s="31">
        <v>0.114</v>
      </c>
      <c r="T534">
        <v>9</v>
      </c>
      <c r="U534">
        <v>534.57695999999999</v>
      </c>
      <c r="V534">
        <v>177279.41579</v>
      </c>
      <c r="W534">
        <v>535.59</v>
      </c>
      <c r="X534">
        <v>-1.0130400000000463</v>
      </c>
      <c r="Y534" s="31">
        <v>-1.8950311663264469E-3</v>
      </c>
      <c r="Z534">
        <v>202504</v>
      </c>
      <c r="AA534">
        <v>202301</v>
      </c>
      <c r="AB534" t="s">
        <v>1446</v>
      </c>
      <c r="AC534">
        <v>27</v>
      </c>
      <c r="AD534" t="s">
        <v>1484</v>
      </c>
      <c r="AE534">
        <v>0</v>
      </c>
      <c r="AF534">
        <v>0</v>
      </c>
    </row>
    <row r="535" spans="1:32" x14ac:dyDescent="0.25">
      <c r="A535" t="s">
        <v>539</v>
      </c>
      <c r="B535" s="4">
        <v>45155</v>
      </c>
      <c r="C535" t="s">
        <v>1448</v>
      </c>
      <c r="D535" t="s">
        <v>1481</v>
      </c>
      <c r="E535" s="4">
        <v>45172</v>
      </c>
      <c r="F535">
        <v>17</v>
      </c>
      <c r="G535" t="s">
        <v>638</v>
      </c>
      <c r="H535" t="s">
        <v>653</v>
      </c>
      <c r="I535" t="s">
        <v>679</v>
      </c>
      <c r="J535" t="s">
        <v>1517</v>
      </c>
      <c r="K535" t="s">
        <v>698</v>
      </c>
      <c r="L535" t="s">
        <v>699</v>
      </c>
      <c r="M535" t="s">
        <v>712</v>
      </c>
      <c r="N535" t="s">
        <v>722</v>
      </c>
      <c r="O535" t="s">
        <v>1257</v>
      </c>
      <c r="P535">
        <v>676.37</v>
      </c>
      <c r="Q535">
        <v>1276.67</v>
      </c>
      <c r="R535" t="s">
        <v>1496</v>
      </c>
      <c r="S535" s="31">
        <v>6.6000000000000003E-2</v>
      </c>
      <c r="T535">
        <v>10</v>
      </c>
      <c r="U535">
        <v>11924.0978</v>
      </c>
      <c r="V535">
        <v>177279.41579</v>
      </c>
      <c r="W535">
        <v>6763.7</v>
      </c>
      <c r="X535">
        <v>5160.3977999999997</v>
      </c>
      <c r="Y535" s="31">
        <v>0.4327705027712872</v>
      </c>
      <c r="Z535">
        <v>202308</v>
      </c>
      <c r="AA535">
        <v>202301</v>
      </c>
      <c r="AB535" t="s">
        <v>1448</v>
      </c>
      <c r="AC535">
        <v>7</v>
      </c>
      <c r="AD535" t="s">
        <v>1484</v>
      </c>
      <c r="AE535">
        <v>0</v>
      </c>
      <c r="AF535">
        <v>0</v>
      </c>
    </row>
    <row r="536" spans="1:32" x14ac:dyDescent="0.25">
      <c r="A536" t="s">
        <v>540</v>
      </c>
      <c r="B536" s="4">
        <v>45832</v>
      </c>
      <c r="C536" t="s">
        <v>1460</v>
      </c>
      <c r="D536" t="s">
        <v>1480</v>
      </c>
      <c r="E536" s="4">
        <v>45852</v>
      </c>
      <c r="F536">
        <v>20</v>
      </c>
      <c r="G536" t="s">
        <v>638</v>
      </c>
      <c r="H536" t="s">
        <v>653</v>
      </c>
      <c r="I536" t="s">
        <v>674</v>
      </c>
      <c r="J536" t="s">
        <v>1512</v>
      </c>
      <c r="K536" t="s">
        <v>698</v>
      </c>
      <c r="L536" t="s">
        <v>701</v>
      </c>
      <c r="M536" t="s">
        <v>705</v>
      </c>
      <c r="N536" t="s">
        <v>723</v>
      </c>
      <c r="O536" t="s">
        <v>1258</v>
      </c>
      <c r="P536">
        <v>1151.06</v>
      </c>
      <c r="Q536">
        <v>2821.36</v>
      </c>
      <c r="R536" t="s">
        <v>1492</v>
      </c>
      <c r="S536" s="31">
        <v>0.248</v>
      </c>
      <c r="T536">
        <v>20</v>
      </c>
      <c r="U536">
        <v>42433.254400000005</v>
      </c>
      <c r="V536">
        <v>177279.41579</v>
      </c>
      <c r="W536">
        <v>23021.199999999997</v>
      </c>
      <c r="X536">
        <v>19412.054400000008</v>
      </c>
      <c r="Y536" s="31">
        <v>0.45747267501594235</v>
      </c>
      <c r="Z536">
        <v>202506</v>
      </c>
      <c r="AA536">
        <v>202301</v>
      </c>
      <c r="AB536" t="s">
        <v>1458</v>
      </c>
      <c r="AC536">
        <v>29</v>
      </c>
      <c r="AD536" t="s">
        <v>1484</v>
      </c>
      <c r="AE536">
        <v>0</v>
      </c>
      <c r="AF536">
        <v>1</v>
      </c>
    </row>
    <row r="537" spans="1:32" x14ac:dyDescent="0.25">
      <c r="A537" t="s">
        <v>541</v>
      </c>
      <c r="B537" s="4">
        <v>45667</v>
      </c>
      <c r="C537" t="s">
        <v>1455</v>
      </c>
      <c r="D537" t="s">
        <v>1479</v>
      </c>
      <c r="E537" s="4">
        <v>45694</v>
      </c>
      <c r="F537">
        <v>27</v>
      </c>
      <c r="G537" t="s">
        <v>640</v>
      </c>
      <c r="H537" t="s">
        <v>647</v>
      </c>
      <c r="I537" t="s">
        <v>664</v>
      </c>
      <c r="J537" t="s">
        <v>1502</v>
      </c>
      <c r="K537" t="s">
        <v>695</v>
      </c>
      <c r="L537" t="s">
        <v>699</v>
      </c>
      <c r="M537" t="s">
        <v>709</v>
      </c>
      <c r="N537" t="s">
        <v>723</v>
      </c>
      <c r="O537" t="s">
        <v>1259</v>
      </c>
      <c r="P537">
        <v>725.62</v>
      </c>
      <c r="Q537">
        <v>1559.19</v>
      </c>
      <c r="R537" t="s">
        <v>1496</v>
      </c>
      <c r="S537" s="31">
        <v>0.19</v>
      </c>
      <c r="T537">
        <v>12</v>
      </c>
      <c r="U537">
        <v>15155.326800000001</v>
      </c>
      <c r="V537">
        <v>177279.41579</v>
      </c>
      <c r="W537">
        <v>8707.44</v>
      </c>
      <c r="X537">
        <v>6447.8868000000002</v>
      </c>
      <c r="Y537" s="31">
        <v>0.42545349797405885</v>
      </c>
      <c r="Z537">
        <v>202501</v>
      </c>
      <c r="AA537">
        <v>202301</v>
      </c>
      <c r="AB537" t="s">
        <v>1477</v>
      </c>
      <c r="AC537">
        <v>24</v>
      </c>
      <c r="AD537" t="s">
        <v>1484</v>
      </c>
      <c r="AE537">
        <v>0</v>
      </c>
      <c r="AF537">
        <v>0</v>
      </c>
    </row>
    <row r="538" spans="1:32" x14ac:dyDescent="0.25">
      <c r="A538" t="s">
        <v>542</v>
      </c>
      <c r="B538" s="4">
        <v>45108</v>
      </c>
      <c r="C538" t="s">
        <v>1468</v>
      </c>
      <c r="D538" t="s">
        <v>1481</v>
      </c>
      <c r="E538" s="4">
        <v>45118</v>
      </c>
      <c r="F538">
        <v>10</v>
      </c>
      <c r="G538" t="s">
        <v>641</v>
      </c>
      <c r="H538" t="s">
        <v>649</v>
      </c>
      <c r="I538" t="s">
        <v>682</v>
      </c>
      <c r="J538" t="s">
        <v>1520</v>
      </c>
      <c r="K538" t="s">
        <v>693</v>
      </c>
      <c r="L538" t="s">
        <v>703</v>
      </c>
      <c r="M538" t="s">
        <v>713</v>
      </c>
      <c r="N538" t="s">
        <v>721</v>
      </c>
      <c r="O538" t="s">
        <v>1260</v>
      </c>
      <c r="P538">
        <v>479.5</v>
      </c>
      <c r="Q538">
        <v>656.66</v>
      </c>
      <c r="R538" t="s">
        <v>1490</v>
      </c>
      <c r="S538" s="31">
        <v>0.14899999999999999</v>
      </c>
      <c r="T538">
        <v>14</v>
      </c>
      <c r="U538">
        <v>7823.4472399999995</v>
      </c>
      <c r="V538">
        <v>177279.41579</v>
      </c>
      <c r="W538">
        <v>6713</v>
      </c>
      <c r="X538">
        <v>1110.4472399999995</v>
      </c>
      <c r="Y538" s="31">
        <v>0.14193835606412289</v>
      </c>
      <c r="Z538">
        <v>202307</v>
      </c>
      <c r="AA538">
        <v>202301</v>
      </c>
      <c r="AB538" t="s">
        <v>1468</v>
      </c>
      <c r="AC538">
        <v>6</v>
      </c>
      <c r="AD538" t="s">
        <v>1484</v>
      </c>
      <c r="AE538">
        <v>0</v>
      </c>
      <c r="AF538">
        <v>0</v>
      </c>
    </row>
    <row r="539" spans="1:32" x14ac:dyDescent="0.25">
      <c r="A539" t="s">
        <v>543</v>
      </c>
      <c r="B539" s="4">
        <v>45520</v>
      </c>
      <c r="C539" t="s">
        <v>1474</v>
      </c>
      <c r="D539" t="s">
        <v>1481</v>
      </c>
      <c r="E539" s="4">
        <v>45530</v>
      </c>
      <c r="F539">
        <v>10</v>
      </c>
      <c r="G539" t="s">
        <v>640</v>
      </c>
      <c r="H539" t="s">
        <v>652</v>
      </c>
      <c r="I539" t="s">
        <v>669</v>
      </c>
      <c r="J539" t="s">
        <v>1507</v>
      </c>
      <c r="K539" t="s">
        <v>693</v>
      </c>
      <c r="L539" t="s">
        <v>702</v>
      </c>
      <c r="M539" t="s">
        <v>708</v>
      </c>
      <c r="N539" t="s">
        <v>723</v>
      </c>
      <c r="O539" t="s">
        <v>1112</v>
      </c>
      <c r="P539">
        <v>1291.7</v>
      </c>
      <c r="Q539">
        <v>2657.84</v>
      </c>
      <c r="R539" t="s">
        <v>1492</v>
      </c>
      <c r="S539" s="31">
        <v>8.6999999999999994E-2</v>
      </c>
      <c r="T539">
        <v>21</v>
      </c>
      <c r="U539">
        <v>50958.766320000002</v>
      </c>
      <c r="V539">
        <v>177279.41579</v>
      </c>
      <c r="W539">
        <v>27125.7</v>
      </c>
      <c r="X539">
        <v>23833.066320000002</v>
      </c>
      <c r="Y539" s="31">
        <v>0.46769315745083367</v>
      </c>
      <c r="Z539">
        <v>202408</v>
      </c>
      <c r="AA539">
        <v>202301</v>
      </c>
      <c r="AB539" t="s">
        <v>1448</v>
      </c>
      <c r="AC539">
        <v>19</v>
      </c>
      <c r="AD539" t="s">
        <v>1484</v>
      </c>
      <c r="AE539">
        <v>0</v>
      </c>
      <c r="AF539">
        <v>0</v>
      </c>
    </row>
    <row r="540" spans="1:32" x14ac:dyDescent="0.25">
      <c r="A540" t="s">
        <v>544</v>
      </c>
      <c r="B540" s="4">
        <v>45114</v>
      </c>
      <c r="C540" t="s">
        <v>1468</v>
      </c>
      <c r="D540" t="s">
        <v>1481</v>
      </c>
      <c r="E540" s="4">
        <v>45120</v>
      </c>
      <c r="F540">
        <v>6</v>
      </c>
      <c r="G540" t="s">
        <v>638</v>
      </c>
      <c r="H540" t="s">
        <v>653</v>
      </c>
      <c r="I540" t="s">
        <v>687</v>
      </c>
      <c r="J540" t="s">
        <v>1525</v>
      </c>
      <c r="K540" t="s">
        <v>697</v>
      </c>
      <c r="L540" t="s">
        <v>701</v>
      </c>
      <c r="M540" t="s">
        <v>709</v>
      </c>
      <c r="N540" t="s">
        <v>725</v>
      </c>
      <c r="O540" t="s">
        <v>1261</v>
      </c>
      <c r="P540">
        <v>612.59</v>
      </c>
      <c r="Q540">
        <v>1424.74</v>
      </c>
      <c r="R540" t="s">
        <v>1496</v>
      </c>
      <c r="S540" s="31">
        <v>4.3999999999999997E-2</v>
      </c>
      <c r="T540">
        <v>15</v>
      </c>
      <c r="U540">
        <v>20430.771599999996</v>
      </c>
      <c r="V540">
        <v>177279.41579</v>
      </c>
      <c r="W540">
        <v>9188.85</v>
      </c>
      <c r="X540">
        <v>11241.921599999996</v>
      </c>
      <c r="Y540" s="31">
        <v>0.55024459281802152</v>
      </c>
      <c r="Z540">
        <v>202307</v>
      </c>
      <c r="AA540">
        <v>202301</v>
      </c>
      <c r="AB540" t="s">
        <v>1468</v>
      </c>
      <c r="AC540">
        <v>6</v>
      </c>
      <c r="AD540" t="s">
        <v>1483</v>
      </c>
      <c r="AE540">
        <v>1</v>
      </c>
      <c r="AF540">
        <v>0</v>
      </c>
    </row>
    <row r="541" spans="1:32" x14ac:dyDescent="0.25">
      <c r="A541" t="s">
        <v>545</v>
      </c>
      <c r="B541" s="4">
        <v>45288</v>
      </c>
      <c r="C541" t="s">
        <v>1450</v>
      </c>
      <c r="D541" t="s">
        <v>1482</v>
      </c>
      <c r="E541" s="4">
        <v>45292</v>
      </c>
      <c r="F541">
        <v>4</v>
      </c>
      <c r="G541" t="s">
        <v>638</v>
      </c>
      <c r="H541" t="s">
        <v>653</v>
      </c>
      <c r="I541" t="s">
        <v>687</v>
      </c>
      <c r="J541" t="s">
        <v>1525</v>
      </c>
      <c r="K541" t="s">
        <v>694</v>
      </c>
      <c r="L541" t="s">
        <v>702</v>
      </c>
      <c r="M541" t="s">
        <v>712</v>
      </c>
      <c r="N541" t="s">
        <v>720</v>
      </c>
      <c r="O541" t="s">
        <v>1262</v>
      </c>
      <c r="P541">
        <v>1141.8</v>
      </c>
      <c r="Q541">
        <v>2318.7399999999998</v>
      </c>
      <c r="R541" t="s">
        <v>1492</v>
      </c>
      <c r="S541" s="31">
        <v>0.107</v>
      </c>
      <c r="T541">
        <v>32</v>
      </c>
      <c r="U541">
        <v>66260.314239999992</v>
      </c>
      <c r="V541">
        <v>177279.41579</v>
      </c>
      <c r="W541">
        <v>36537.599999999999</v>
      </c>
      <c r="X541">
        <v>29722.714239999994</v>
      </c>
      <c r="Y541" s="31">
        <v>0.44857490612468304</v>
      </c>
      <c r="Z541">
        <v>202312</v>
      </c>
      <c r="AA541">
        <v>202301</v>
      </c>
      <c r="AB541" t="s">
        <v>1450</v>
      </c>
      <c r="AC541">
        <v>11</v>
      </c>
      <c r="AD541" t="s">
        <v>1483</v>
      </c>
      <c r="AE541">
        <v>1</v>
      </c>
      <c r="AF541">
        <v>0</v>
      </c>
    </row>
    <row r="542" spans="1:32" x14ac:dyDescent="0.25">
      <c r="A542" t="s">
        <v>546</v>
      </c>
      <c r="B542" s="4">
        <v>44952</v>
      </c>
      <c r="C542" t="s">
        <v>1477</v>
      </c>
      <c r="D542" t="s">
        <v>1479</v>
      </c>
      <c r="E542" s="4">
        <v>44972</v>
      </c>
      <c r="F542">
        <v>20</v>
      </c>
      <c r="G542" t="s">
        <v>641</v>
      </c>
      <c r="H542" t="s">
        <v>648</v>
      </c>
      <c r="I542" t="s">
        <v>663</v>
      </c>
      <c r="J542" t="s">
        <v>1501</v>
      </c>
      <c r="K542" t="s">
        <v>697</v>
      </c>
      <c r="L542" t="s">
        <v>700</v>
      </c>
      <c r="M542" t="s">
        <v>711</v>
      </c>
      <c r="N542" t="s">
        <v>721</v>
      </c>
      <c r="O542" t="s">
        <v>1263</v>
      </c>
      <c r="P542">
        <v>492.62</v>
      </c>
      <c r="Q542">
        <v>366.7</v>
      </c>
      <c r="R542" t="s">
        <v>1490</v>
      </c>
      <c r="S542" s="31">
        <v>8.8999999999999996E-2</v>
      </c>
      <c r="T542">
        <v>10</v>
      </c>
      <c r="U542">
        <v>3340.6370000000002</v>
      </c>
      <c r="V542">
        <v>177279.41579</v>
      </c>
      <c r="W542">
        <v>4926.2</v>
      </c>
      <c r="X542">
        <v>-1585.5629999999996</v>
      </c>
      <c r="Y542" s="31">
        <v>-0.47462894052840809</v>
      </c>
      <c r="Z542">
        <v>202301</v>
      </c>
      <c r="AA542">
        <v>202301</v>
      </c>
      <c r="AB542" t="s">
        <v>1477</v>
      </c>
      <c r="AC542">
        <v>0</v>
      </c>
      <c r="AD542" t="s">
        <v>1484</v>
      </c>
      <c r="AE542">
        <v>0</v>
      </c>
      <c r="AF542">
        <v>0</v>
      </c>
    </row>
    <row r="543" spans="1:32" x14ac:dyDescent="0.25">
      <c r="A543" t="s">
        <v>547</v>
      </c>
      <c r="B543" s="4">
        <v>45115</v>
      </c>
      <c r="C543" t="s">
        <v>1468</v>
      </c>
      <c r="D543" t="s">
        <v>1481</v>
      </c>
      <c r="E543" s="4">
        <v>45116</v>
      </c>
      <c r="F543">
        <v>1</v>
      </c>
      <c r="G543" t="s">
        <v>638</v>
      </c>
      <c r="H543" t="s">
        <v>642</v>
      </c>
      <c r="I543" t="s">
        <v>656</v>
      </c>
      <c r="J543" t="s">
        <v>1493</v>
      </c>
      <c r="K543" t="s">
        <v>696</v>
      </c>
      <c r="L543" t="s">
        <v>700</v>
      </c>
      <c r="M543" t="s">
        <v>718</v>
      </c>
      <c r="N543" t="s">
        <v>723</v>
      </c>
      <c r="O543" t="s">
        <v>1264</v>
      </c>
      <c r="P543">
        <v>1258.72</v>
      </c>
      <c r="Q543">
        <v>2797.41</v>
      </c>
      <c r="R543" t="s">
        <v>1492</v>
      </c>
      <c r="S543" s="31">
        <v>0</v>
      </c>
      <c r="T543">
        <v>7</v>
      </c>
      <c r="U543">
        <v>19581.87</v>
      </c>
      <c r="V543">
        <v>177279.41579</v>
      </c>
      <c r="W543">
        <v>8811.0400000000009</v>
      </c>
      <c r="X543">
        <v>10770.829999999998</v>
      </c>
      <c r="Y543" s="31">
        <v>0.55004093071805704</v>
      </c>
      <c r="Z543">
        <v>202307</v>
      </c>
      <c r="AA543">
        <v>202301</v>
      </c>
      <c r="AB543" t="s">
        <v>1468</v>
      </c>
      <c r="AC543">
        <v>6</v>
      </c>
      <c r="AD543" t="s">
        <v>1483</v>
      </c>
      <c r="AE543">
        <v>1</v>
      </c>
      <c r="AF543">
        <v>0</v>
      </c>
    </row>
    <row r="544" spans="1:32" x14ac:dyDescent="0.25">
      <c r="A544" t="s">
        <v>548</v>
      </c>
      <c r="B544" s="4">
        <v>45450</v>
      </c>
      <c r="C544" t="s">
        <v>1459</v>
      </c>
      <c r="D544" t="s">
        <v>1480</v>
      </c>
      <c r="E544" s="4">
        <v>45452</v>
      </c>
      <c r="F544">
        <v>2</v>
      </c>
      <c r="G544" t="s">
        <v>639</v>
      </c>
      <c r="H544" t="s">
        <v>651</v>
      </c>
      <c r="I544" t="s">
        <v>677</v>
      </c>
      <c r="J544" t="s">
        <v>1515</v>
      </c>
      <c r="K544" t="s">
        <v>693</v>
      </c>
      <c r="L544" t="s">
        <v>699</v>
      </c>
      <c r="M544" t="s">
        <v>711</v>
      </c>
      <c r="N544" t="s">
        <v>724</v>
      </c>
      <c r="O544" t="s">
        <v>1265</v>
      </c>
      <c r="P544">
        <v>1370.28</v>
      </c>
      <c r="Q544">
        <v>2209.66</v>
      </c>
      <c r="R544" t="s">
        <v>1492</v>
      </c>
      <c r="S544" s="31">
        <v>0.13300000000000001</v>
      </c>
      <c r="T544">
        <v>16</v>
      </c>
      <c r="U544">
        <v>30652.403519999996</v>
      </c>
      <c r="V544">
        <v>177279.41579</v>
      </c>
      <c r="W544">
        <v>21924.48</v>
      </c>
      <c r="X544">
        <v>8727.9235199999966</v>
      </c>
      <c r="Y544" s="31">
        <v>0.28473863442079589</v>
      </c>
      <c r="Z544">
        <v>202406</v>
      </c>
      <c r="AA544">
        <v>202301</v>
      </c>
      <c r="AB544" t="s">
        <v>1458</v>
      </c>
      <c r="AC544">
        <v>17</v>
      </c>
      <c r="AD544" t="s">
        <v>1483</v>
      </c>
      <c r="AE544">
        <v>1</v>
      </c>
      <c r="AF544">
        <v>0</v>
      </c>
    </row>
    <row r="545" spans="1:32" x14ac:dyDescent="0.25">
      <c r="A545" t="s">
        <v>549</v>
      </c>
      <c r="B545" s="4">
        <v>44968</v>
      </c>
      <c r="C545" t="s">
        <v>1451</v>
      </c>
      <c r="D545" t="s">
        <v>1479</v>
      </c>
      <c r="E545" s="4">
        <v>44969</v>
      </c>
      <c r="F545">
        <v>1</v>
      </c>
      <c r="G545" t="s">
        <v>638</v>
      </c>
      <c r="H545" t="s">
        <v>643</v>
      </c>
      <c r="I545" t="s">
        <v>655</v>
      </c>
      <c r="J545" t="s">
        <v>1491</v>
      </c>
      <c r="K545" t="s">
        <v>695</v>
      </c>
      <c r="L545" t="s">
        <v>703</v>
      </c>
      <c r="M545" t="s">
        <v>718</v>
      </c>
      <c r="N545" t="s">
        <v>725</v>
      </c>
      <c r="O545" t="s">
        <v>1266</v>
      </c>
      <c r="P545">
        <v>944.61</v>
      </c>
      <c r="Q545">
        <v>839.04</v>
      </c>
      <c r="R545" t="s">
        <v>1496</v>
      </c>
      <c r="S545" s="31">
        <v>5.8999999999999997E-2</v>
      </c>
      <c r="T545">
        <v>6</v>
      </c>
      <c r="U545">
        <v>4737.2198399999997</v>
      </c>
      <c r="V545">
        <v>177279.41579</v>
      </c>
      <c r="W545">
        <v>5667.66</v>
      </c>
      <c r="X545">
        <v>-930.44016000000011</v>
      </c>
      <c r="Y545" s="31">
        <v>-0.19641059343363726</v>
      </c>
      <c r="Z545">
        <v>202302</v>
      </c>
      <c r="AA545">
        <v>202301</v>
      </c>
      <c r="AB545" t="s">
        <v>1451</v>
      </c>
      <c r="AC545">
        <v>1</v>
      </c>
      <c r="AD545" t="s">
        <v>1483</v>
      </c>
      <c r="AE545">
        <v>1</v>
      </c>
      <c r="AF545">
        <v>0</v>
      </c>
    </row>
    <row r="546" spans="1:32" x14ac:dyDescent="0.25">
      <c r="A546" t="s">
        <v>550</v>
      </c>
      <c r="B546" s="4">
        <v>45108</v>
      </c>
      <c r="C546" t="s">
        <v>1468</v>
      </c>
      <c r="D546" t="s">
        <v>1481</v>
      </c>
      <c r="E546" s="4">
        <v>45115</v>
      </c>
      <c r="F546">
        <v>7</v>
      </c>
      <c r="G546" t="s">
        <v>641</v>
      </c>
      <c r="H546" t="s">
        <v>648</v>
      </c>
      <c r="I546" t="s">
        <v>690</v>
      </c>
      <c r="J546" t="s">
        <v>1529</v>
      </c>
      <c r="K546" t="s">
        <v>697</v>
      </c>
      <c r="L546" t="s">
        <v>702</v>
      </c>
      <c r="M546" t="s">
        <v>717</v>
      </c>
      <c r="N546" t="s">
        <v>723</v>
      </c>
      <c r="O546" t="s">
        <v>1267</v>
      </c>
      <c r="P546">
        <v>460.21</v>
      </c>
      <c r="Q546">
        <v>1139.1500000000001</v>
      </c>
      <c r="R546" t="s">
        <v>1490</v>
      </c>
      <c r="S546" s="31">
        <v>0.115</v>
      </c>
      <c r="T546">
        <v>14</v>
      </c>
      <c r="U546">
        <v>14114.068500000001</v>
      </c>
      <c r="V546">
        <v>177279.41579</v>
      </c>
      <c r="W546">
        <v>6442.94</v>
      </c>
      <c r="X546">
        <v>7671.1285000000016</v>
      </c>
      <c r="Y546" s="31">
        <v>0.54350937151821255</v>
      </c>
      <c r="Z546">
        <v>202307</v>
      </c>
      <c r="AA546">
        <v>202301</v>
      </c>
      <c r="AB546" t="s">
        <v>1468</v>
      </c>
      <c r="AC546">
        <v>6</v>
      </c>
      <c r="AD546" t="s">
        <v>1483</v>
      </c>
      <c r="AE546">
        <v>1</v>
      </c>
      <c r="AF546">
        <v>0</v>
      </c>
    </row>
    <row r="547" spans="1:32" x14ac:dyDescent="0.25">
      <c r="A547" t="s">
        <v>551</v>
      </c>
      <c r="B547" s="4">
        <v>45889</v>
      </c>
      <c r="C547" t="s">
        <v>1449</v>
      </c>
      <c r="D547" t="s">
        <v>1481</v>
      </c>
      <c r="E547" s="4">
        <v>45895</v>
      </c>
      <c r="F547">
        <v>6</v>
      </c>
      <c r="G547" t="s">
        <v>640</v>
      </c>
      <c r="H547" t="s">
        <v>652</v>
      </c>
      <c r="I547" t="s">
        <v>692</v>
      </c>
      <c r="J547" t="s">
        <v>1532</v>
      </c>
      <c r="K547" t="s">
        <v>693</v>
      </c>
      <c r="L547" t="s">
        <v>699</v>
      </c>
      <c r="M547" t="s">
        <v>716</v>
      </c>
      <c r="N547" t="s">
        <v>721</v>
      </c>
      <c r="O547" t="s">
        <v>1268</v>
      </c>
      <c r="P547">
        <v>1304.95</v>
      </c>
      <c r="Q547">
        <v>1712.03</v>
      </c>
      <c r="R547" t="s">
        <v>1492</v>
      </c>
      <c r="S547" s="31">
        <v>0.21199999999999999</v>
      </c>
      <c r="T547">
        <v>8</v>
      </c>
      <c r="U547">
        <v>10792.637119999999</v>
      </c>
      <c r="V547">
        <v>177279.41579</v>
      </c>
      <c r="W547">
        <v>10439.6</v>
      </c>
      <c r="X547">
        <v>353.03711999999905</v>
      </c>
      <c r="Y547" s="31">
        <v>3.2710922833287949E-2</v>
      </c>
      <c r="Z547">
        <v>202508</v>
      </c>
      <c r="AA547">
        <v>202301</v>
      </c>
      <c r="AB547" t="s">
        <v>1448</v>
      </c>
      <c r="AC547">
        <v>31</v>
      </c>
      <c r="AD547" t="s">
        <v>1483</v>
      </c>
      <c r="AE547">
        <v>1</v>
      </c>
      <c r="AF547">
        <v>1</v>
      </c>
    </row>
    <row r="548" spans="1:32" x14ac:dyDescent="0.25">
      <c r="A548" t="s">
        <v>552</v>
      </c>
      <c r="B548" s="4">
        <v>45355</v>
      </c>
      <c r="C548" t="s">
        <v>1470</v>
      </c>
      <c r="D548" t="s">
        <v>1479</v>
      </c>
      <c r="E548" s="4">
        <v>45367</v>
      </c>
      <c r="F548">
        <v>12</v>
      </c>
      <c r="G548" t="s">
        <v>638</v>
      </c>
      <c r="H548" t="s">
        <v>653</v>
      </c>
      <c r="I548" t="s">
        <v>674</v>
      </c>
      <c r="J548" t="s">
        <v>1512</v>
      </c>
      <c r="K548" t="s">
        <v>698</v>
      </c>
      <c r="L548" t="s">
        <v>702</v>
      </c>
      <c r="M548" t="s">
        <v>716</v>
      </c>
      <c r="N548" t="s">
        <v>724</v>
      </c>
      <c r="O548" t="s">
        <v>1269</v>
      </c>
      <c r="P548">
        <v>441.08</v>
      </c>
      <c r="Q548">
        <v>1054.29</v>
      </c>
      <c r="R548" t="s">
        <v>1490</v>
      </c>
      <c r="S548" s="31">
        <v>0.23699999999999999</v>
      </c>
      <c r="T548">
        <v>6</v>
      </c>
      <c r="U548">
        <v>4826.5396199999996</v>
      </c>
      <c r="V548">
        <v>177279.41579</v>
      </c>
      <c r="W548">
        <v>2646.48</v>
      </c>
      <c r="X548">
        <v>2180.0596199999995</v>
      </c>
      <c r="Y548" s="31">
        <v>0.45168169985932899</v>
      </c>
      <c r="Z548">
        <v>202403</v>
      </c>
      <c r="AA548">
        <v>202301</v>
      </c>
      <c r="AB548" t="s">
        <v>1469</v>
      </c>
      <c r="AC548">
        <v>14</v>
      </c>
      <c r="AD548" t="s">
        <v>1484</v>
      </c>
      <c r="AE548">
        <v>0</v>
      </c>
      <c r="AF548">
        <v>1</v>
      </c>
    </row>
    <row r="549" spans="1:32" x14ac:dyDescent="0.25">
      <c r="A549" t="s">
        <v>553</v>
      </c>
      <c r="B549" s="4">
        <v>45177</v>
      </c>
      <c r="C549" t="s">
        <v>1465</v>
      </c>
      <c r="D549" t="s">
        <v>1481</v>
      </c>
      <c r="E549" s="4">
        <v>45201</v>
      </c>
      <c r="F549">
        <v>24</v>
      </c>
      <c r="G549" t="s">
        <v>640</v>
      </c>
      <c r="H549" t="s">
        <v>645</v>
      </c>
      <c r="I549" t="s">
        <v>659</v>
      </c>
      <c r="J549" t="s">
        <v>1497</v>
      </c>
      <c r="K549" t="s">
        <v>694</v>
      </c>
      <c r="L549" t="s">
        <v>703</v>
      </c>
      <c r="M549" t="s">
        <v>712</v>
      </c>
      <c r="N549" t="s">
        <v>725</v>
      </c>
      <c r="O549" t="s">
        <v>1270</v>
      </c>
      <c r="P549">
        <v>1299.03</v>
      </c>
      <c r="Q549">
        <v>2451.2199999999998</v>
      </c>
      <c r="R549" t="s">
        <v>1492</v>
      </c>
      <c r="S549" s="31">
        <v>0.20799999999999999</v>
      </c>
      <c r="T549">
        <v>8</v>
      </c>
      <c r="U549">
        <v>15530.929919999999</v>
      </c>
      <c r="V549">
        <v>177279.41579</v>
      </c>
      <c r="W549">
        <v>10392.24</v>
      </c>
      <c r="X549">
        <v>5138.6899199999989</v>
      </c>
      <c r="Y549" s="31">
        <v>0.3308681416032041</v>
      </c>
      <c r="Z549">
        <v>202309</v>
      </c>
      <c r="AA549">
        <v>202301</v>
      </c>
      <c r="AB549" t="s">
        <v>1465</v>
      </c>
      <c r="AC549">
        <v>8</v>
      </c>
      <c r="AD549" t="s">
        <v>1484</v>
      </c>
      <c r="AE549">
        <v>0</v>
      </c>
      <c r="AF549">
        <v>1</v>
      </c>
    </row>
    <row r="550" spans="1:32" x14ac:dyDescent="0.25">
      <c r="A550" t="s">
        <v>554</v>
      </c>
      <c r="B550" s="4">
        <v>44985</v>
      </c>
      <c r="C550" t="s">
        <v>1451</v>
      </c>
      <c r="D550" t="s">
        <v>1479</v>
      </c>
      <c r="E550" s="4">
        <v>44991</v>
      </c>
      <c r="F550">
        <v>6</v>
      </c>
      <c r="G550" t="s">
        <v>641</v>
      </c>
      <c r="H550" t="s">
        <v>648</v>
      </c>
      <c r="I550" t="s">
        <v>690</v>
      </c>
      <c r="J550" t="s">
        <v>1529</v>
      </c>
      <c r="K550" t="s">
        <v>697</v>
      </c>
      <c r="L550" t="s">
        <v>701</v>
      </c>
      <c r="M550" t="s">
        <v>718</v>
      </c>
      <c r="N550" t="s">
        <v>720</v>
      </c>
      <c r="O550" t="s">
        <v>1271</v>
      </c>
      <c r="P550">
        <v>880.02</v>
      </c>
      <c r="Q550">
        <v>1251.21</v>
      </c>
      <c r="R550" t="s">
        <v>1496</v>
      </c>
      <c r="S550" s="31">
        <v>0.123</v>
      </c>
      <c r="T550">
        <v>29</v>
      </c>
      <c r="U550">
        <v>31822.023930000003</v>
      </c>
      <c r="V550">
        <v>177279.41579</v>
      </c>
      <c r="W550">
        <v>25520.579999999998</v>
      </c>
      <c r="X550">
        <v>6301.4439300000049</v>
      </c>
      <c r="Y550" s="31">
        <v>0.19802146915172672</v>
      </c>
      <c r="Z550">
        <v>202302</v>
      </c>
      <c r="AA550">
        <v>202301</v>
      </c>
      <c r="AB550" t="s">
        <v>1451</v>
      </c>
      <c r="AC550">
        <v>1</v>
      </c>
      <c r="AD550" t="s">
        <v>1483</v>
      </c>
      <c r="AE550">
        <v>1</v>
      </c>
      <c r="AF550">
        <v>0</v>
      </c>
    </row>
    <row r="551" spans="1:32" x14ac:dyDescent="0.25">
      <c r="A551" t="s">
        <v>555</v>
      </c>
      <c r="B551" s="4">
        <v>45486</v>
      </c>
      <c r="C551" t="s">
        <v>1456</v>
      </c>
      <c r="D551" t="s">
        <v>1481</v>
      </c>
      <c r="E551" s="4">
        <v>45507</v>
      </c>
      <c r="F551">
        <v>21</v>
      </c>
      <c r="G551" t="s">
        <v>640</v>
      </c>
      <c r="H551" t="s">
        <v>647</v>
      </c>
      <c r="I551" t="s">
        <v>684</v>
      </c>
      <c r="J551" t="s">
        <v>1522</v>
      </c>
      <c r="K551" t="s">
        <v>693</v>
      </c>
      <c r="L551" t="s">
        <v>701</v>
      </c>
      <c r="M551" t="s">
        <v>716</v>
      </c>
      <c r="N551" t="s">
        <v>724</v>
      </c>
      <c r="O551" t="s">
        <v>1272</v>
      </c>
      <c r="P551">
        <v>702.98</v>
      </c>
      <c r="Q551">
        <v>1104.8</v>
      </c>
      <c r="R551" t="s">
        <v>1496</v>
      </c>
      <c r="S551" s="31">
        <v>0.17499999999999999</v>
      </c>
      <c r="T551">
        <v>12</v>
      </c>
      <c r="U551">
        <v>10937.519999999999</v>
      </c>
      <c r="V551">
        <v>177279.41579</v>
      </c>
      <c r="W551">
        <v>8435.76</v>
      </c>
      <c r="X551">
        <v>2501.7599999999984</v>
      </c>
      <c r="Y551" s="31">
        <v>0.22873192460448061</v>
      </c>
      <c r="Z551">
        <v>202407</v>
      </c>
      <c r="AA551">
        <v>202301</v>
      </c>
      <c r="AB551" t="s">
        <v>1468</v>
      </c>
      <c r="AC551">
        <v>18</v>
      </c>
      <c r="AD551" t="s">
        <v>1484</v>
      </c>
      <c r="AE551">
        <v>0</v>
      </c>
      <c r="AF551">
        <v>0</v>
      </c>
    </row>
    <row r="552" spans="1:32" x14ac:dyDescent="0.25">
      <c r="A552" t="s">
        <v>556</v>
      </c>
      <c r="B552" s="4">
        <v>45633</v>
      </c>
      <c r="C552" t="s">
        <v>1478</v>
      </c>
      <c r="D552" t="s">
        <v>1482</v>
      </c>
      <c r="E552" s="4">
        <v>45652</v>
      </c>
      <c r="F552">
        <v>19</v>
      </c>
      <c r="G552" t="s">
        <v>641</v>
      </c>
      <c r="H552" t="s">
        <v>650</v>
      </c>
      <c r="I552" t="s">
        <v>675</v>
      </c>
      <c r="J552" t="s">
        <v>1513</v>
      </c>
      <c r="K552" t="s">
        <v>698</v>
      </c>
      <c r="L552" t="s">
        <v>700</v>
      </c>
      <c r="M552" t="s">
        <v>718</v>
      </c>
      <c r="N552" t="s">
        <v>721</v>
      </c>
      <c r="O552" t="s">
        <v>1273</v>
      </c>
      <c r="P552">
        <v>1035.24</v>
      </c>
      <c r="Q552">
        <v>2383.41</v>
      </c>
      <c r="R552" t="s">
        <v>1492</v>
      </c>
      <c r="S552" s="31">
        <v>0.17</v>
      </c>
      <c r="T552">
        <v>15</v>
      </c>
      <c r="U552">
        <v>29673.454499999993</v>
      </c>
      <c r="V552">
        <v>177279.41579</v>
      </c>
      <c r="W552">
        <v>15528.6</v>
      </c>
      <c r="X552">
        <v>14144.854499999992</v>
      </c>
      <c r="Y552" s="31">
        <v>0.47668378145860962</v>
      </c>
      <c r="Z552">
        <v>202412</v>
      </c>
      <c r="AA552">
        <v>202301</v>
      </c>
      <c r="AB552" t="s">
        <v>1450</v>
      </c>
      <c r="AC552">
        <v>23</v>
      </c>
      <c r="AD552" t="s">
        <v>1484</v>
      </c>
      <c r="AE552">
        <v>0</v>
      </c>
      <c r="AF552">
        <v>0</v>
      </c>
    </row>
    <row r="553" spans="1:32" x14ac:dyDescent="0.25">
      <c r="A553" t="s">
        <v>557</v>
      </c>
      <c r="B553" s="4">
        <v>45875</v>
      </c>
      <c r="C553" t="s">
        <v>1449</v>
      </c>
      <c r="D553" t="s">
        <v>1481</v>
      </c>
      <c r="E553" s="4">
        <v>45892</v>
      </c>
      <c r="F553">
        <v>17</v>
      </c>
      <c r="G553" t="s">
        <v>640</v>
      </c>
      <c r="H553" t="s">
        <v>647</v>
      </c>
      <c r="I553" t="s">
        <v>664</v>
      </c>
      <c r="J553" t="s">
        <v>1502</v>
      </c>
      <c r="K553" t="s">
        <v>696</v>
      </c>
      <c r="L553" t="s">
        <v>702</v>
      </c>
      <c r="M553" t="s">
        <v>712</v>
      </c>
      <c r="N553" t="s">
        <v>724</v>
      </c>
      <c r="O553" t="s">
        <v>1274</v>
      </c>
      <c r="P553">
        <v>86.64</v>
      </c>
      <c r="Q553">
        <v>213.06</v>
      </c>
      <c r="R553" t="s">
        <v>1490</v>
      </c>
      <c r="S553" s="31">
        <v>0.21199999999999999</v>
      </c>
      <c r="T553">
        <v>11</v>
      </c>
      <c r="U553">
        <v>1846.8040799999999</v>
      </c>
      <c r="V553">
        <v>177279.41579</v>
      </c>
      <c r="W553">
        <v>953.04</v>
      </c>
      <c r="X553">
        <v>893.76407999999992</v>
      </c>
      <c r="Y553" s="31">
        <v>0.48395175735154322</v>
      </c>
      <c r="Z553">
        <v>202508</v>
      </c>
      <c r="AA553">
        <v>202301</v>
      </c>
      <c r="AB553" t="s">
        <v>1448</v>
      </c>
      <c r="AC553">
        <v>31</v>
      </c>
      <c r="AD553" t="s">
        <v>1484</v>
      </c>
      <c r="AE553">
        <v>0</v>
      </c>
      <c r="AF553">
        <v>1</v>
      </c>
    </row>
    <row r="554" spans="1:32" x14ac:dyDescent="0.25">
      <c r="A554" t="s">
        <v>558</v>
      </c>
      <c r="B554" s="4">
        <v>44988</v>
      </c>
      <c r="C554" t="s">
        <v>1469</v>
      </c>
      <c r="D554" t="s">
        <v>1479</v>
      </c>
      <c r="E554" s="4">
        <v>45005</v>
      </c>
      <c r="F554">
        <v>17</v>
      </c>
      <c r="G554" t="s">
        <v>639</v>
      </c>
      <c r="H554" t="s">
        <v>644</v>
      </c>
      <c r="I554" t="s">
        <v>686</v>
      </c>
      <c r="J554" t="s">
        <v>1524</v>
      </c>
      <c r="K554" t="s">
        <v>697</v>
      </c>
      <c r="L554" t="s">
        <v>700</v>
      </c>
      <c r="M554" t="s">
        <v>718</v>
      </c>
      <c r="N554" t="s">
        <v>721</v>
      </c>
      <c r="O554" t="s">
        <v>1275</v>
      </c>
      <c r="P554">
        <v>1171.17</v>
      </c>
      <c r="Q554">
        <v>2030.64</v>
      </c>
      <c r="R554" t="s">
        <v>1492</v>
      </c>
      <c r="S554" s="31">
        <v>0.157</v>
      </c>
      <c r="T554">
        <v>11</v>
      </c>
      <c r="U554">
        <v>18830.12472</v>
      </c>
      <c r="V554">
        <v>177279.41579</v>
      </c>
      <c r="W554">
        <v>12882.87</v>
      </c>
      <c r="X554">
        <v>5947.254719999999</v>
      </c>
      <c r="Y554" s="31">
        <v>0.31583724528830415</v>
      </c>
      <c r="Z554">
        <v>202303</v>
      </c>
      <c r="AA554">
        <v>202303</v>
      </c>
      <c r="AB554" t="s">
        <v>1469</v>
      </c>
      <c r="AC554">
        <v>0</v>
      </c>
      <c r="AD554" t="s">
        <v>1484</v>
      </c>
      <c r="AE554">
        <v>0</v>
      </c>
      <c r="AF554">
        <v>0</v>
      </c>
    </row>
    <row r="555" spans="1:32" x14ac:dyDescent="0.25">
      <c r="A555" t="s">
        <v>559</v>
      </c>
      <c r="B555" s="4">
        <v>45704</v>
      </c>
      <c r="C555" t="s">
        <v>1453</v>
      </c>
      <c r="D555" t="s">
        <v>1479</v>
      </c>
      <c r="E555" s="4">
        <v>45733</v>
      </c>
      <c r="F555">
        <v>29</v>
      </c>
      <c r="G555" t="s">
        <v>641</v>
      </c>
      <c r="H555" t="s">
        <v>648</v>
      </c>
      <c r="I555" t="s">
        <v>676</v>
      </c>
      <c r="J555" t="s">
        <v>1514</v>
      </c>
      <c r="K555" t="s">
        <v>696</v>
      </c>
      <c r="L555" t="s">
        <v>699</v>
      </c>
      <c r="M555" t="s">
        <v>708</v>
      </c>
      <c r="N555" t="s">
        <v>725</v>
      </c>
      <c r="O555" t="s">
        <v>1276</v>
      </c>
      <c r="P555">
        <v>730.42</v>
      </c>
      <c r="Q555">
        <v>956.7</v>
      </c>
      <c r="R555" t="s">
        <v>1496</v>
      </c>
      <c r="S555" s="31">
        <v>4.2000000000000003E-2</v>
      </c>
      <c r="T555">
        <v>22</v>
      </c>
      <c r="U555">
        <v>20163.409200000002</v>
      </c>
      <c r="V555">
        <v>177279.41579</v>
      </c>
      <c r="W555">
        <v>16069.24</v>
      </c>
      <c r="X555">
        <v>4094.1692000000021</v>
      </c>
      <c r="Y555" s="31">
        <v>0.20304945256975698</v>
      </c>
      <c r="Z555">
        <v>202502</v>
      </c>
      <c r="AA555">
        <v>202301</v>
      </c>
      <c r="AB555" t="s">
        <v>1451</v>
      </c>
      <c r="AC555">
        <v>25</v>
      </c>
      <c r="AD555" t="s">
        <v>1484</v>
      </c>
      <c r="AE555">
        <v>0</v>
      </c>
      <c r="AF555">
        <v>0</v>
      </c>
    </row>
    <row r="556" spans="1:32" x14ac:dyDescent="0.25">
      <c r="A556" t="s">
        <v>560</v>
      </c>
      <c r="B556" s="4">
        <v>45703</v>
      </c>
      <c r="C556" t="s">
        <v>1453</v>
      </c>
      <c r="D556" t="s">
        <v>1479</v>
      </c>
      <c r="E556" s="4">
        <v>45717</v>
      </c>
      <c r="F556">
        <v>14</v>
      </c>
      <c r="G556" t="s">
        <v>638</v>
      </c>
      <c r="H556" t="s">
        <v>642</v>
      </c>
      <c r="I556" t="s">
        <v>667</v>
      </c>
      <c r="J556" t="s">
        <v>1505</v>
      </c>
      <c r="K556" t="s">
        <v>694</v>
      </c>
      <c r="L556" t="s">
        <v>703</v>
      </c>
      <c r="M556" t="s">
        <v>708</v>
      </c>
      <c r="N556" t="s">
        <v>725</v>
      </c>
      <c r="O556" t="s">
        <v>1277</v>
      </c>
      <c r="P556">
        <v>1162.8599999999999</v>
      </c>
      <c r="Q556">
        <v>1447.68</v>
      </c>
      <c r="R556" t="s">
        <v>1492</v>
      </c>
      <c r="S556" s="31">
        <v>8.6999999999999994E-2</v>
      </c>
      <c r="T556">
        <v>12</v>
      </c>
      <c r="U556">
        <v>15860.782080000001</v>
      </c>
      <c r="V556">
        <v>177279.41579</v>
      </c>
      <c r="W556">
        <v>13954.32</v>
      </c>
      <c r="X556">
        <v>1906.4620800000012</v>
      </c>
      <c r="Y556" s="31">
        <v>0.12019975247021369</v>
      </c>
      <c r="Z556">
        <v>202502</v>
      </c>
      <c r="AA556">
        <v>202301</v>
      </c>
      <c r="AB556" t="s">
        <v>1451</v>
      </c>
      <c r="AC556">
        <v>25</v>
      </c>
      <c r="AD556" t="s">
        <v>1484</v>
      </c>
      <c r="AE556">
        <v>0</v>
      </c>
      <c r="AF556">
        <v>0</v>
      </c>
    </row>
    <row r="557" spans="1:32" x14ac:dyDescent="0.25">
      <c r="A557" t="s">
        <v>561</v>
      </c>
      <c r="B557" s="4">
        <v>45535</v>
      </c>
      <c r="C557" t="s">
        <v>1474</v>
      </c>
      <c r="D557" t="s">
        <v>1481</v>
      </c>
      <c r="E557" s="4">
        <v>45561</v>
      </c>
      <c r="F557">
        <v>26</v>
      </c>
      <c r="G557" t="s">
        <v>639</v>
      </c>
      <c r="H557" t="s">
        <v>644</v>
      </c>
      <c r="I557" t="s">
        <v>681</v>
      </c>
      <c r="J557" t="s">
        <v>1519</v>
      </c>
      <c r="K557" t="s">
        <v>694</v>
      </c>
      <c r="L557" t="s">
        <v>700</v>
      </c>
      <c r="M557" t="s">
        <v>706</v>
      </c>
      <c r="N557" t="s">
        <v>722</v>
      </c>
      <c r="O557" t="s">
        <v>1278</v>
      </c>
      <c r="P557">
        <v>1189.03</v>
      </c>
      <c r="Q557">
        <v>2949.62</v>
      </c>
      <c r="R557" t="s">
        <v>1492</v>
      </c>
      <c r="S557" s="31">
        <v>0.125</v>
      </c>
      <c r="T557">
        <v>13</v>
      </c>
      <c r="U557">
        <v>33551.927499999998</v>
      </c>
      <c r="V557">
        <v>177279.41579</v>
      </c>
      <c r="W557">
        <v>15457.39</v>
      </c>
      <c r="X557">
        <v>18094.537499999999</v>
      </c>
      <c r="Y557" s="31">
        <v>0.53929949330034765</v>
      </c>
      <c r="Z557">
        <v>202408</v>
      </c>
      <c r="AA557">
        <v>202303</v>
      </c>
      <c r="AB557" t="s">
        <v>1448</v>
      </c>
      <c r="AC557">
        <v>17</v>
      </c>
      <c r="AD557" t="s">
        <v>1484</v>
      </c>
      <c r="AE557">
        <v>0</v>
      </c>
      <c r="AF557">
        <v>0</v>
      </c>
    </row>
    <row r="558" spans="1:32" x14ac:dyDescent="0.25">
      <c r="A558" t="s">
        <v>562</v>
      </c>
      <c r="B558" s="4">
        <v>45053</v>
      </c>
      <c r="C558" t="s">
        <v>1462</v>
      </c>
      <c r="D558" t="s">
        <v>1480</v>
      </c>
      <c r="E558" s="4">
        <v>45066</v>
      </c>
      <c r="F558">
        <v>13</v>
      </c>
      <c r="G558" t="s">
        <v>639</v>
      </c>
      <c r="H558" t="s">
        <v>646</v>
      </c>
      <c r="I558" t="s">
        <v>683</v>
      </c>
      <c r="J558" t="s">
        <v>1521</v>
      </c>
      <c r="K558" t="s">
        <v>698</v>
      </c>
      <c r="L558" t="s">
        <v>699</v>
      </c>
      <c r="M558" t="s">
        <v>718</v>
      </c>
      <c r="N558" t="s">
        <v>725</v>
      </c>
      <c r="O558" t="s">
        <v>1279</v>
      </c>
      <c r="P558">
        <v>1443.28</v>
      </c>
      <c r="Q558">
        <v>2580.5700000000002</v>
      </c>
      <c r="R558" t="s">
        <v>1492</v>
      </c>
      <c r="S558" s="31">
        <v>0</v>
      </c>
      <c r="T558">
        <v>18</v>
      </c>
      <c r="U558">
        <v>46450.26</v>
      </c>
      <c r="V558">
        <v>177279.41579</v>
      </c>
      <c r="W558">
        <v>25979.040000000001</v>
      </c>
      <c r="X558">
        <v>20471.22</v>
      </c>
      <c r="Y558" s="31">
        <v>0.4407127107577008</v>
      </c>
      <c r="Z558">
        <v>202305</v>
      </c>
      <c r="AA558">
        <v>202301</v>
      </c>
      <c r="AB558" t="s">
        <v>1462</v>
      </c>
      <c r="AC558">
        <v>4</v>
      </c>
      <c r="AD558" t="s">
        <v>1484</v>
      </c>
      <c r="AE558">
        <v>0</v>
      </c>
      <c r="AF558">
        <v>0</v>
      </c>
    </row>
    <row r="559" spans="1:32" x14ac:dyDescent="0.25">
      <c r="A559" t="s">
        <v>563</v>
      </c>
      <c r="B559" s="4">
        <v>45791</v>
      </c>
      <c r="C559" t="s">
        <v>1471</v>
      </c>
      <c r="D559" t="s">
        <v>1480</v>
      </c>
      <c r="E559" s="4">
        <v>45793</v>
      </c>
      <c r="F559">
        <v>2</v>
      </c>
      <c r="G559" t="s">
        <v>640</v>
      </c>
      <c r="H559" t="s">
        <v>645</v>
      </c>
      <c r="I559" t="s">
        <v>680</v>
      </c>
      <c r="J559" t="s">
        <v>1518</v>
      </c>
      <c r="K559" t="s">
        <v>695</v>
      </c>
      <c r="L559" t="s">
        <v>702</v>
      </c>
      <c r="M559" t="s">
        <v>713</v>
      </c>
      <c r="N559" t="s">
        <v>720</v>
      </c>
      <c r="O559" t="s">
        <v>1280</v>
      </c>
      <c r="P559">
        <v>883.5</v>
      </c>
      <c r="Q559">
        <v>1978.91</v>
      </c>
      <c r="R559" t="s">
        <v>1496</v>
      </c>
      <c r="S559" s="31">
        <v>5.3999999999999999E-2</v>
      </c>
      <c r="T559">
        <v>27</v>
      </c>
      <c r="U559">
        <v>50545.319219999998</v>
      </c>
      <c r="V559">
        <v>177279.41579</v>
      </c>
      <c r="W559">
        <v>23854.5</v>
      </c>
      <c r="X559">
        <v>26690.819219999998</v>
      </c>
      <c r="Y559" s="31">
        <v>0.52805718970390547</v>
      </c>
      <c r="Z559">
        <v>202505</v>
      </c>
      <c r="AA559">
        <v>202301</v>
      </c>
      <c r="AB559" t="s">
        <v>1462</v>
      </c>
      <c r="AC559">
        <v>28</v>
      </c>
      <c r="AD559" t="s">
        <v>1483</v>
      </c>
      <c r="AE559">
        <v>1</v>
      </c>
      <c r="AF559">
        <v>0</v>
      </c>
    </row>
    <row r="560" spans="1:32" x14ac:dyDescent="0.25">
      <c r="A560" t="s">
        <v>564</v>
      </c>
      <c r="B560" s="4">
        <v>45362</v>
      </c>
      <c r="C560" t="s">
        <v>1470</v>
      </c>
      <c r="D560" t="s">
        <v>1479</v>
      </c>
      <c r="E560" s="4">
        <v>45380</v>
      </c>
      <c r="F560">
        <v>18</v>
      </c>
      <c r="G560" t="s">
        <v>640</v>
      </c>
      <c r="H560" t="s">
        <v>652</v>
      </c>
      <c r="I560" t="s">
        <v>692</v>
      </c>
      <c r="J560" t="s">
        <v>1532</v>
      </c>
      <c r="K560" t="s">
        <v>693</v>
      </c>
      <c r="L560" t="s">
        <v>699</v>
      </c>
      <c r="M560" t="s">
        <v>716</v>
      </c>
      <c r="N560" t="s">
        <v>724</v>
      </c>
      <c r="O560" t="s">
        <v>1281</v>
      </c>
      <c r="P560">
        <v>710.98</v>
      </c>
      <c r="Q560">
        <v>1481.45</v>
      </c>
      <c r="R560" t="s">
        <v>1496</v>
      </c>
      <c r="S560" s="31">
        <v>0.21099999999999999</v>
      </c>
      <c r="T560">
        <v>9</v>
      </c>
      <c r="U560">
        <v>10519.776450000001</v>
      </c>
      <c r="V560">
        <v>177279.41579</v>
      </c>
      <c r="W560">
        <v>6398.82</v>
      </c>
      <c r="X560">
        <v>4120.9564500000015</v>
      </c>
      <c r="Y560" s="31">
        <v>0.39173422264120461</v>
      </c>
      <c r="Z560">
        <v>202403</v>
      </c>
      <c r="AA560">
        <v>202301</v>
      </c>
      <c r="AB560" t="s">
        <v>1469</v>
      </c>
      <c r="AC560">
        <v>14</v>
      </c>
      <c r="AD560" t="s">
        <v>1484</v>
      </c>
      <c r="AE560">
        <v>0</v>
      </c>
      <c r="AF560">
        <v>1</v>
      </c>
    </row>
    <row r="561" spans="1:32" x14ac:dyDescent="0.25">
      <c r="A561" t="s">
        <v>565</v>
      </c>
      <c r="B561" s="4">
        <v>45430</v>
      </c>
      <c r="C561" t="s">
        <v>1463</v>
      </c>
      <c r="D561" t="s">
        <v>1480</v>
      </c>
      <c r="E561" s="4">
        <v>45434</v>
      </c>
      <c r="F561">
        <v>4</v>
      </c>
      <c r="G561" t="s">
        <v>638</v>
      </c>
      <c r="H561" t="s">
        <v>642</v>
      </c>
      <c r="I561" t="s">
        <v>656</v>
      </c>
      <c r="J561" t="s">
        <v>1493</v>
      </c>
      <c r="K561" t="s">
        <v>693</v>
      </c>
      <c r="L561" t="s">
        <v>703</v>
      </c>
      <c r="M561" t="s">
        <v>714</v>
      </c>
      <c r="N561" t="s">
        <v>725</v>
      </c>
      <c r="O561" t="s">
        <v>1282</v>
      </c>
      <c r="P561">
        <v>857.42</v>
      </c>
      <c r="Q561">
        <v>1658.92</v>
      </c>
      <c r="R561" t="s">
        <v>1496</v>
      </c>
      <c r="S561" s="31">
        <v>0.122</v>
      </c>
      <c r="T561">
        <v>9</v>
      </c>
      <c r="U561">
        <v>13108.78584</v>
      </c>
      <c r="V561">
        <v>177279.41579</v>
      </c>
      <c r="W561">
        <v>7716.78</v>
      </c>
      <c r="X561">
        <v>5392.0058400000007</v>
      </c>
      <c r="Y561" s="31">
        <v>0.41132763215544305</v>
      </c>
      <c r="Z561">
        <v>202405</v>
      </c>
      <c r="AA561">
        <v>202301</v>
      </c>
      <c r="AB561" t="s">
        <v>1462</v>
      </c>
      <c r="AC561">
        <v>16</v>
      </c>
      <c r="AD561" t="s">
        <v>1483</v>
      </c>
      <c r="AE561">
        <v>1</v>
      </c>
      <c r="AF561">
        <v>0</v>
      </c>
    </row>
    <row r="562" spans="1:32" x14ac:dyDescent="0.25">
      <c r="A562" t="s">
        <v>566</v>
      </c>
      <c r="B562" s="4">
        <v>45299</v>
      </c>
      <c r="C562" t="s">
        <v>1454</v>
      </c>
      <c r="D562" t="s">
        <v>1479</v>
      </c>
      <c r="E562" s="4">
        <v>45303</v>
      </c>
      <c r="F562">
        <v>4</v>
      </c>
      <c r="G562" t="s">
        <v>639</v>
      </c>
      <c r="H562" t="s">
        <v>646</v>
      </c>
      <c r="I562" t="s">
        <v>660</v>
      </c>
      <c r="J562" t="s">
        <v>1498</v>
      </c>
      <c r="K562" t="s">
        <v>693</v>
      </c>
      <c r="L562" t="s">
        <v>703</v>
      </c>
      <c r="M562" t="s">
        <v>710</v>
      </c>
      <c r="N562" t="s">
        <v>720</v>
      </c>
      <c r="O562" t="s">
        <v>1283</v>
      </c>
      <c r="P562">
        <v>802.32</v>
      </c>
      <c r="Q562">
        <v>602.34</v>
      </c>
      <c r="R562" t="s">
        <v>1496</v>
      </c>
      <c r="S562" s="31">
        <v>0.12</v>
      </c>
      <c r="T562">
        <v>25</v>
      </c>
      <c r="U562">
        <v>13251.48</v>
      </c>
      <c r="V562">
        <v>177279.41579</v>
      </c>
      <c r="W562">
        <v>20058</v>
      </c>
      <c r="X562">
        <v>-6806.52</v>
      </c>
      <c r="Y562" s="31">
        <v>-0.51364224977134632</v>
      </c>
      <c r="Z562">
        <v>202401</v>
      </c>
      <c r="AA562">
        <v>202301</v>
      </c>
      <c r="AB562" t="s">
        <v>1477</v>
      </c>
      <c r="AC562">
        <v>12</v>
      </c>
      <c r="AD562" t="s">
        <v>1483</v>
      </c>
      <c r="AE562">
        <v>1</v>
      </c>
      <c r="AF562">
        <v>0</v>
      </c>
    </row>
    <row r="563" spans="1:32" x14ac:dyDescent="0.25">
      <c r="A563" t="s">
        <v>567</v>
      </c>
      <c r="B563" s="4">
        <v>45590</v>
      </c>
      <c r="C563" t="s">
        <v>1464</v>
      </c>
      <c r="D563" t="s">
        <v>1482</v>
      </c>
      <c r="E563" s="4">
        <v>45601</v>
      </c>
      <c r="F563">
        <v>11</v>
      </c>
      <c r="G563" t="s">
        <v>640</v>
      </c>
      <c r="H563" t="s">
        <v>652</v>
      </c>
      <c r="I563" t="s">
        <v>692</v>
      </c>
      <c r="J563" t="s">
        <v>1532</v>
      </c>
      <c r="K563" t="s">
        <v>693</v>
      </c>
      <c r="L563" t="s">
        <v>702</v>
      </c>
      <c r="M563" t="s">
        <v>717</v>
      </c>
      <c r="N563" t="s">
        <v>719</v>
      </c>
      <c r="O563" t="s">
        <v>1284</v>
      </c>
      <c r="P563">
        <v>446.66</v>
      </c>
      <c r="Q563">
        <v>527.64</v>
      </c>
      <c r="R563" t="s">
        <v>1490</v>
      </c>
      <c r="S563" s="31">
        <v>0.14499999999999999</v>
      </c>
      <c r="T563">
        <v>15</v>
      </c>
      <c r="U563">
        <v>6766.9829999999993</v>
      </c>
      <c r="V563">
        <v>177279.41579</v>
      </c>
      <c r="W563">
        <v>6699.9000000000005</v>
      </c>
      <c r="X563">
        <v>67.082999999998719</v>
      </c>
      <c r="Y563" s="31">
        <v>9.9132804087137105E-3</v>
      </c>
      <c r="Z563">
        <v>202410</v>
      </c>
      <c r="AA563">
        <v>202301</v>
      </c>
      <c r="AB563" t="s">
        <v>1476</v>
      </c>
      <c r="AC563">
        <v>21</v>
      </c>
      <c r="AD563" t="s">
        <v>1484</v>
      </c>
      <c r="AE563">
        <v>0</v>
      </c>
      <c r="AF563">
        <v>0</v>
      </c>
    </row>
    <row r="564" spans="1:32" x14ac:dyDescent="0.25">
      <c r="A564" t="s">
        <v>568</v>
      </c>
      <c r="B564" s="4">
        <v>45626</v>
      </c>
      <c r="C564" t="s">
        <v>1472</v>
      </c>
      <c r="D564" t="s">
        <v>1482</v>
      </c>
      <c r="E564" s="4">
        <v>45645</v>
      </c>
      <c r="F564">
        <v>19</v>
      </c>
      <c r="G564" t="s">
        <v>638</v>
      </c>
      <c r="H564" t="s">
        <v>642</v>
      </c>
      <c r="I564" t="s">
        <v>654</v>
      </c>
      <c r="J564" t="s">
        <v>1489</v>
      </c>
      <c r="K564" t="s">
        <v>693</v>
      </c>
      <c r="L564" t="s">
        <v>700</v>
      </c>
      <c r="M564" t="s">
        <v>708</v>
      </c>
      <c r="N564" t="s">
        <v>722</v>
      </c>
      <c r="O564" t="s">
        <v>1285</v>
      </c>
      <c r="P564">
        <v>1195.98</v>
      </c>
      <c r="Q564">
        <v>1841.9</v>
      </c>
      <c r="R564" t="s">
        <v>1492</v>
      </c>
      <c r="S564" s="31">
        <v>5.5E-2</v>
      </c>
      <c r="T564">
        <v>19</v>
      </c>
      <c r="U564">
        <v>33071.3145</v>
      </c>
      <c r="V564">
        <v>170512.43278999999</v>
      </c>
      <c r="W564">
        <v>22723.62</v>
      </c>
      <c r="X564">
        <v>10347.694500000001</v>
      </c>
      <c r="Y564" s="31">
        <v>0.31289032977506842</v>
      </c>
      <c r="Z564">
        <v>202411</v>
      </c>
      <c r="AA564">
        <v>202301</v>
      </c>
      <c r="AB564" t="s">
        <v>1475</v>
      </c>
      <c r="AC564">
        <v>22</v>
      </c>
      <c r="AD564" t="s">
        <v>1484</v>
      </c>
      <c r="AE564">
        <v>0</v>
      </c>
      <c r="AF564">
        <v>0</v>
      </c>
    </row>
    <row r="565" spans="1:32" x14ac:dyDescent="0.25">
      <c r="A565" t="s">
        <v>569</v>
      </c>
      <c r="B565" s="4">
        <v>45029</v>
      </c>
      <c r="C565" t="s">
        <v>1446</v>
      </c>
      <c r="D565" t="s">
        <v>1480</v>
      </c>
      <c r="E565" s="4">
        <v>45048</v>
      </c>
      <c r="F565">
        <v>19</v>
      </c>
      <c r="G565" t="s">
        <v>640</v>
      </c>
      <c r="H565" t="s">
        <v>645</v>
      </c>
      <c r="I565" t="s">
        <v>673</v>
      </c>
      <c r="J565" t="s">
        <v>1511</v>
      </c>
      <c r="K565" t="s">
        <v>696</v>
      </c>
      <c r="L565" t="s">
        <v>702</v>
      </c>
      <c r="M565" t="s">
        <v>710</v>
      </c>
      <c r="N565" t="s">
        <v>724</v>
      </c>
      <c r="O565" t="s">
        <v>1286</v>
      </c>
      <c r="P565">
        <v>671.05</v>
      </c>
      <c r="Q565">
        <v>1645.48</v>
      </c>
      <c r="R565" t="s">
        <v>1496</v>
      </c>
      <c r="S565" s="31">
        <v>0.13700000000000001</v>
      </c>
      <c r="T565">
        <v>6</v>
      </c>
      <c r="U565">
        <v>8520.2954399999999</v>
      </c>
      <c r="V565">
        <v>170512.43278999999</v>
      </c>
      <c r="W565">
        <v>4026.2999999999997</v>
      </c>
      <c r="X565">
        <v>4493.9954400000006</v>
      </c>
      <c r="Y565" s="31">
        <v>0.52744596377517172</v>
      </c>
      <c r="Z565">
        <v>202304</v>
      </c>
      <c r="AA565">
        <v>202301</v>
      </c>
      <c r="AB565" t="s">
        <v>1446</v>
      </c>
      <c r="AC565">
        <v>3</v>
      </c>
      <c r="AD565" t="s">
        <v>1484</v>
      </c>
      <c r="AE565">
        <v>0</v>
      </c>
      <c r="AF565">
        <v>0</v>
      </c>
    </row>
    <row r="566" spans="1:32" x14ac:dyDescent="0.25">
      <c r="A566" t="s">
        <v>570</v>
      </c>
      <c r="B566" s="4">
        <v>45692</v>
      </c>
      <c r="C566" t="s">
        <v>1453</v>
      </c>
      <c r="D566" t="s">
        <v>1479</v>
      </c>
      <c r="E566" s="4">
        <v>45696</v>
      </c>
      <c r="F566">
        <v>4</v>
      </c>
      <c r="G566" t="s">
        <v>641</v>
      </c>
      <c r="H566" t="s">
        <v>650</v>
      </c>
      <c r="I566" t="s">
        <v>685</v>
      </c>
      <c r="J566" t="s">
        <v>1523</v>
      </c>
      <c r="K566" t="s">
        <v>698</v>
      </c>
      <c r="L566" t="s">
        <v>701</v>
      </c>
      <c r="M566" t="s">
        <v>708</v>
      </c>
      <c r="N566" t="s">
        <v>721</v>
      </c>
      <c r="O566" t="s">
        <v>1287</v>
      </c>
      <c r="P566">
        <v>586.21</v>
      </c>
      <c r="Q566">
        <v>727.22</v>
      </c>
      <c r="R566" t="s">
        <v>1496</v>
      </c>
      <c r="S566" s="31">
        <v>6.8000000000000005E-2</v>
      </c>
      <c r="T566">
        <v>15</v>
      </c>
      <c r="U566">
        <v>10166.535600000001</v>
      </c>
      <c r="V566">
        <v>170512.43278999999</v>
      </c>
      <c r="W566">
        <v>8793.1500000000015</v>
      </c>
      <c r="X566">
        <v>1373.3855999999996</v>
      </c>
      <c r="Y566" s="31">
        <v>0.13508884973559721</v>
      </c>
      <c r="Z566">
        <v>202502</v>
      </c>
      <c r="AA566">
        <v>202301</v>
      </c>
      <c r="AB566" t="s">
        <v>1451</v>
      </c>
      <c r="AC566">
        <v>25</v>
      </c>
      <c r="AD566" t="s">
        <v>1483</v>
      </c>
      <c r="AE566">
        <v>1</v>
      </c>
      <c r="AF566">
        <v>0</v>
      </c>
    </row>
    <row r="567" spans="1:32" x14ac:dyDescent="0.25">
      <c r="A567" t="s">
        <v>571</v>
      </c>
      <c r="B567" s="4">
        <v>45315</v>
      </c>
      <c r="C567" t="s">
        <v>1454</v>
      </c>
      <c r="D567" t="s">
        <v>1479</v>
      </c>
      <c r="E567" s="4">
        <v>45326</v>
      </c>
      <c r="F567">
        <v>11</v>
      </c>
      <c r="G567" t="s">
        <v>641</v>
      </c>
      <c r="H567" t="s">
        <v>650</v>
      </c>
      <c r="I567" t="s">
        <v>685</v>
      </c>
      <c r="J567" t="s">
        <v>1523</v>
      </c>
      <c r="K567" t="s">
        <v>696</v>
      </c>
      <c r="L567" t="s">
        <v>699</v>
      </c>
      <c r="M567" t="s">
        <v>709</v>
      </c>
      <c r="N567" t="s">
        <v>723</v>
      </c>
      <c r="O567" t="s">
        <v>1288</v>
      </c>
      <c r="P567">
        <v>525.34</v>
      </c>
      <c r="Q567">
        <v>1233.79</v>
      </c>
      <c r="R567" t="s">
        <v>1496</v>
      </c>
      <c r="S567" s="31">
        <v>0.14299999999999999</v>
      </c>
      <c r="T567">
        <v>4</v>
      </c>
      <c r="U567">
        <v>4229.4321199999995</v>
      </c>
      <c r="V567">
        <v>170512.43278999999</v>
      </c>
      <c r="W567">
        <v>2101.36</v>
      </c>
      <c r="X567">
        <v>2128.0721199999994</v>
      </c>
      <c r="Y567" s="31">
        <v>0.50315788494082736</v>
      </c>
      <c r="Z567">
        <v>202401</v>
      </c>
      <c r="AA567">
        <v>202301</v>
      </c>
      <c r="AB567" t="s">
        <v>1477</v>
      </c>
      <c r="AC567">
        <v>12</v>
      </c>
      <c r="AD567" t="s">
        <v>1484</v>
      </c>
      <c r="AE567">
        <v>0</v>
      </c>
      <c r="AF567">
        <v>0</v>
      </c>
    </row>
    <row r="568" spans="1:32" x14ac:dyDescent="0.25">
      <c r="A568" t="s">
        <v>572</v>
      </c>
      <c r="B568" s="4">
        <v>45330</v>
      </c>
      <c r="C568" t="s">
        <v>1452</v>
      </c>
      <c r="D568" t="s">
        <v>1479</v>
      </c>
      <c r="E568" s="4">
        <v>45331</v>
      </c>
      <c r="F568">
        <v>1</v>
      </c>
      <c r="G568" t="s">
        <v>638</v>
      </c>
      <c r="H568" t="s">
        <v>642</v>
      </c>
      <c r="I568" t="s">
        <v>667</v>
      </c>
      <c r="J568" t="s">
        <v>1505</v>
      </c>
      <c r="K568" t="s">
        <v>693</v>
      </c>
      <c r="L568" t="s">
        <v>703</v>
      </c>
      <c r="M568" t="s">
        <v>713</v>
      </c>
      <c r="N568" t="s">
        <v>719</v>
      </c>
      <c r="O568" t="s">
        <v>1289</v>
      </c>
      <c r="P568">
        <v>1233.52</v>
      </c>
      <c r="Q568">
        <v>1543.76</v>
      </c>
      <c r="R568" t="s">
        <v>1492</v>
      </c>
      <c r="S568" s="31">
        <v>0.126</v>
      </c>
      <c r="T568">
        <v>13</v>
      </c>
      <c r="U568">
        <v>17540.201120000002</v>
      </c>
      <c r="V568">
        <v>170512.43278999999</v>
      </c>
      <c r="W568">
        <v>16035.76</v>
      </c>
      <c r="X568">
        <v>1504.4411200000013</v>
      </c>
      <c r="Y568" s="31">
        <v>8.5771030201277493E-2</v>
      </c>
      <c r="Z568">
        <v>202402</v>
      </c>
      <c r="AA568">
        <v>202301</v>
      </c>
      <c r="AB568" t="s">
        <v>1451</v>
      </c>
      <c r="AC568">
        <v>13</v>
      </c>
      <c r="AD568" t="s">
        <v>1483</v>
      </c>
      <c r="AE568">
        <v>1</v>
      </c>
      <c r="AF568">
        <v>0</v>
      </c>
    </row>
    <row r="569" spans="1:32" x14ac:dyDescent="0.25">
      <c r="A569" t="s">
        <v>573</v>
      </c>
      <c r="B569" s="4">
        <v>45834</v>
      </c>
      <c r="C569" t="s">
        <v>1460</v>
      </c>
      <c r="D569" t="s">
        <v>1480</v>
      </c>
      <c r="E569" s="4">
        <v>45849</v>
      </c>
      <c r="F569">
        <v>15</v>
      </c>
      <c r="G569" t="s">
        <v>638</v>
      </c>
      <c r="H569" t="s">
        <v>643</v>
      </c>
      <c r="I569" t="s">
        <v>655</v>
      </c>
      <c r="J569" t="s">
        <v>1491</v>
      </c>
      <c r="K569" t="s">
        <v>697</v>
      </c>
      <c r="L569" t="s">
        <v>700</v>
      </c>
      <c r="M569" t="s">
        <v>712</v>
      </c>
      <c r="N569" t="s">
        <v>723</v>
      </c>
      <c r="O569" t="s">
        <v>1290</v>
      </c>
      <c r="P569">
        <v>1170.1500000000001</v>
      </c>
      <c r="Q569">
        <v>2115.19</v>
      </c>
      <c r="R569" t="s">
        <v>1492</v>
      </c>
      <c r="S569" s="31">
        <v>9.1999999999999998E-2</v>
      </c>
      <c r="T569">
        <v>23</v>
      </c>
      <c r="U569">
        <v>44173.627960000005</v>
      </c>
      <c r="V569">
        <v>152972.23167000001</v>
      </c>
      <c r="W569">
        <v>26913.45</v>
      </c>
      <c r="X569">
        <v>17260.177960000005</v>
      </c>
      <c r="Y569" s="31">
        <v>0.39073489674946776</v>
      </c>
      <c r="Z569">
        <v>202506</v>
      </c>
      <c r="AA569">
        <v>202301</v>
      </c>
      <c r="AB569" t="s">
        <v>1458</v>
      </c>
      <c r="AC569">
        <v>29</v>
      </c>
      <c r="AD569" t="s">
        <v>1484</v>
      </c>
      <c r="AE569">
        <v>0</v>
      </c>
      <c r="AF569">
        <v>0</v>
      </c>
    </row>
    <row r="570" spans="1:32" x14ac:dyDescent="0.25">
      <c r="A570" t="s">
        <v>574</v>
      </c>
      <c r="B570" s="4">
        <v>45600</v>
      </c>
      <c r="C570" t="s">
        <v>1472</v>
      </c>
      <c r="D570" t="s">
        <v>1482</v>
      </c>
      <c r="E570" s="4">
        <v>45603</v>
      </c>
      <c r="F570">
        <v>3</v>
      </c>
      <c r="G570" t="s">
        <v>641</v>
      </c>
      <c r="H570" t="s">
        <v>649</v>
      </c>
      <c r="I570" t="s">
        <v>671</v>
      </c>
      <c r="J570" t="s">
        <v>1509</v>
      </c>
      <c r="K570" t="s">
        <v>693</v>
      </c>
      <c r="L570" t="s">
        <v>700</v>
      </c>
      <c r="M570" t="s">
        <v>711</v>
      </c>
      <c r="N570" t="s">
        <v>724</v>
      </c>
      <c r="O570" t="s">
        <v>1291</v>
      </c>
      <c r="P570">
        <v>740.68</v>
      </c>
      <c r="Q570">
        <v>1837.19</v>
      </c>
      <c r="R570" t="s">
        <v>1496</v>
      </c>
      <c r="S570" s="31">
        <v>0.19700000000000001</v>
      </c>
      <c r="T570">
        <v>17</v>
      </c>
      <c r="U570">
        <v>25079.480689999997</v>
      </c>
      <c r="V570">
        <v>152972.23167000001</v>
      </c>
      <c r="W570">
        <v>12591.56</v>
      </c>
      <c r="X570">
        <v>12487.920689999997</v>
      </c>
      <c r="Y570" s="31">
        <v>0.4979337827748298</v>
      </c>
      <c r="Z570">
        <v>202411</v>
      </c>
      <c r="AA570">
        <v>202301</v>
      </c>
      <c r="AB570" t="s">
        <v>1475</v>
      </c>
      <c r="AC570">
        <v>22</v>
      </c>
      <c r="AD570" t="s">
        <v>1483</v>
      </c>
      <c r="AE570">
        <v>1</v>
      </c>
      <c r="AF570">
        <v>0</v>
      </c>
    </row>
    <row r="571" spans="1:32" x14ac:dyDescent="0.25">
      <c r="A571" t="s">
        <v>575</v>
      </c>
      <c r="B571" s="4">
        <v>45342</v>
      </c>
      <c r="C571" t="s">
        <v>1452</v>
      </c>
      <c r="D571" t="s">
        <v>1479</v>
      </c>
      <c r="E571" s="4">
        <v>45342</v>
      </c>
      <c r="F571">
        <v>0</v>
      </c>
      <c r="G571" t="s">
        <v>640</v>
      </c>
      <c r="H571" t="s">
        <v>652</v>
      </c>
      <c r="I571" t="s">
        <v>692</v>
      </c>
      <c r="J571" t="s">
        <v>1532</v>
      </c>
      <c r="K571" t="s">
        <v>698</v>
      </c>
      <c r="L571" t="s">
        <v>700</v>
      </c>
      <c r="M571" t="s">
        <v>704</v>
      </c>
      <c r="N571" t="s">
        <v>721</v>
      </c>
      <c r="O571" t="s">
        <v>1292</v>
      </c>
      <c r="P571">
        <v>1407.05</v>
      </c>
      <c r="Q571">
        <v>2858.93</v>
      </c>
      <c r="R571" t="s">
        <v>1492</v>
      </c>
      <c r="S571" s="31">
        <v>0</v>
      </c>
      <c r="T571">
        <v>12</v>
      </c>
      <c r="U571">
        <v>34307.159999999996</v>
      </c>
      <c r="V571">
        <v>152972.23167000001</v>
      </c>
      <c r="W571">
        <v>16884.599999999999</v>
      </c>
      <c r="X571">
        <v>17422.559999999998</v>
      </c>
      <c r="Y571" s="31">
        <v>0.50784034586366222</v>
      </c>
      <c r="Z571">
        <v>202402</v>
      </c>
      <c r="AA571">
        <v>202301</v>
      </c>
      <c r="AB571" t="s">
        <v>1451</v>
      </c>
      <c r="AC571">
        <v>13</v>
      </c>
      <c r="AD571" t="s">
        <v>1483</v>
      </c>
      <c r="AE571">
        <v>1</v>
      </c>
      <c r="AF571">
        <v>0</v>
      </c>
    </row>
    <row r="572" spans="1:32" x14ac:dyDescent="0.25">
      <c r="A572" t="s">
        <v>576</v>
      </c>
      <c r="B572" s="4">
        <v>45760</v>
      </c>
      <c r="C572" t="s">
        <v>1473</v>
      </c>
      <c r="D572" t="s">
        <v>1480</v>
      </c>
      <c r="E572" s="4">
        <v>45761</v>
      </c>
      <c r="F572">
        <v>1</v>
      </c>
      <c r="G572" t="s">
        <v>639</v>
      </c>
      <c r="H572" t="s">
        <v>644</v>
      </c>
      <c r="I572" t="s">
        <v>658</v>
      </c>
      <c r="J572" t="s">
        <v>1495</v>
      </c>
      <c r="K572" t="s">
        <v>698</v>
      </c>
      <c r="L572" t="s">
        <v>700</v>
      </c>
      <c r="M572" t="s">
        <v>707</v>
      </c>
      <c r="N572" t="s">
        <v>719</v>
      </c>
      <c r="O572" t="s">
        <v>1293</v>
      </c>
      <c r="P572">
        <v>138.9</v>
      </c>
      <c r="Q572">
        <v>289.92</v>
      </c>
      <c r="R572" t="s">
        <v>1490</v>
      </c>
      <c r="S572" s="31">
        <v>2.9000000000000001E-2</v>
      </c>
      <c r="T572">
        <v>12</v>
      </c>
      <c r="U572">
        <v>3378.1478400000001</v>
      </c>
      <c r="V572">
        <v>152972.23167000001</v>
      </c>
      <c r="W572">
        <v>1666.8000000000002</v>
      </c>
      <c r="X572">
        <v>1711.3478399999999</v>
      </c>
      <c r="Y572" s="31">
        <v>0.50659353025828491</v>
      </c>
      <c r="Z572">
        <v>202504</v>
      </c>
      <c r="AA572">
        <v>202303</v>
      </c>
      <c r="AB572" t="s">
        <v>1446</v>
      </c>
      <c r="AC572">
        <v>25</v>
      </c>
      <c r="AD572" t="s">
        <v>1483</v>
      </c>
      <c r="AE572">
        <v>1</v>
      </c>
      <c r="AF572">
        <v>0</v>
      </c>
    </row>
    <row r="573" spans="1:32" x14ac:dyDescent="0.25">
      <c r="A573" t="s">
        <v>577</v>
      </c>
      <c r="B573" s="4">
        <v>45078</v>
      </c>
      <c r="C573" t="s">
        <v>1458</v>
      </c>
      <c r="D573" t="s">
        <v>1480</v>
      </c>
      <c r="E573" s="4">
        <v>45078</v>
      </c>
      <c r="F573">
        <v>0</v>
      </c>
      <c r="G573" t="s">
        <v>639</v>
      </c>
      <c r="H573" t="s">
        <v>646</v>
      </c>
      <c r="I573" t="s">
        <v>660</v>
      </c>
      <c r="J573" t="s">
        <v>1498</v>
      </c>
      <c r="K573" t="s">
        <v>693</v>
      </c>
      <c r="L573" t="s">
        <v>699</v>
      </c>
      <c r="M573" t="s">
        <v>710</v>
      </c>
      <c r="N573" t="s">
        <v>725</v>
      </c>
      <c r="O573" t="s">
        <v>1294</v>
      </c>
      <c r="P573">
        <v>669.37</v>
      </c>
      <c r="Q573">
        <v>997.2</v>
      </c>
      <c r="R573" t="s">
        <v>1496</v>
      </c>
      <c r="S573" s="31">
        <v>8.2000000000000003E-2</v>
      </c>
      <c r="T573">
        <v>5</v>
      </c>
      <c r="U573">
        <v>4577.1480000000001</v>
      </c>
      <c r="V573">
        <v>149594.08382999999</v>
      </c>
      <c r="W573">
        <v>3346.85</v>
      </c>
      <c r="X573">
        <v>1230.2980000000002</v>
      </c>
      <c r="Y573" s="31">
        <v>0.26879139586484863</v>
      </c>
      <c r="Z573">
        <v>202306</v>
      </c>
      <c r="AA573">
        <v>202301</v>
      </c>
      <c r="AB573" t="s">
        <v>1458</v>
      </c>
      <c r="AC573">
        <v>5</v>
      </c>
      <c r="AD573" t="s">
        <v>1483</v>
      </c>
      <c r="AE573">
        <v>1</v>
      </c>
      <c r="AF573">
        <v>0</v>
      </c>
    </row>
    <row r="574" spans="1:32" x14ac:dyDescent="0.25">
      <c r="A574" t="s">
        <v>578</v>
      </c>
      <c r="B574" s="4">
        <v>45740</v>
      </c>
      <c r="C574" t="s">
        <v>1461</v>
      </c>
      <c r="D574" t="s">
        <v>1479</v>
      </c>
      <c r="E574" s="4">
        <v>45751</v>
      </c>
      <c r="F574">
        <v>11</v>
      </c>
      <c r="G574" t="s">
        <v>639</v>
      </c>
      <c r="H574" t="s">
        <v>646</v>
      </c>
      <c r="I574" t="s">
        <v>683</v>
      </c>
      <c r="J574" t="s">
        <v>1521</v>
      </c>
      <c r="K574" t="s">
        <v>694</v>
      </c>
      <c r="L574" t="s">
        <v>701</v>
      </c>
      <c r="M574" t="s">
        <v>705</v>
      </c>
      <c r="N574" t="s">
        <v>722</v>
      </c>
      <c r="O574" t="s">
        <v>1295</v>
      </c>
      <c r="P574">
        <v>23.83</v>
      </c>
      <c r="Q574">
        <v>47.29</v>
      </c>
      <c r="R574" t="s">
        <v>1490</v>
      </c>
      <c r="S574" s="31">
        <v>6.4000000000000001E-2</v>
      </c>
      <c r="T574">
        <v>19</v>
      </c>
      <c r="U574">
        <v>841.00536</v>
      </c>
      <c r="V574">
        <v>149594.08382999999</v>
      </c>
      <c r="W574">
        <v>452.77</v>
      </c>
      <c r="X574">
        <v>388.23536000000001</v>
      </c>
      <c r="Y574" s="31">
        <v>0.46163244429262618</v>
      </c>
      <c r="Z574">
        <v>202503</v>
      </c>
      <c r="AA574">
        <v>202301</v>
      </c>
      <c r="AB574" t="s">
        <v>1469</v>
      </c>
      <c r="AC574">
        <v>26</v>
      </c>
      <c r="AD574" t="s">
        <v>1484</v>
      </c>
      <c r="AE574">
        <v>0</v>
      </c>
      <c r="AF574">
        <v>0</v>
      </c>
    </row>
    <row r="575" spans="1:32" x14ac:dyDescent="0.25">
      <c r="A575" t="s">
        <v>579</v>
      </c>
      <c r="B575" s="4">
        <v>45293</v>
      </c>
      <c r="C575" t="s">
        <v>1454</v>
      </c>
      <c r="D575" t="s">
        <v>1479</v>
      </c>
      <c r="E575" s="4">
        <v>45293</v>
      </c>
      <c r="F575">
        <v>0</v>
      </c>
      <c r="G575" t="s">
        <v>640</v>
      </c>
      <c r="H575" t="s">
        <v>645</v>
      </c>
      <c r="I575" t="s">
        <v>680</v>
      </c>
      <c r="J575" t="s">
        <v>1518</v>
      </c>
      <c r="K575" t="s">
        <v>694</v>
      </c>
      <c r="L575" t="s">
        <v>703</v>
      </c>
      <c r="M575" t="s">
        <v>712</v>
      </c>
      <c r="N575" t="s">
        <v>723</v>
      </c>
      <c r="O575" t="s">
        <v>1296</v>
      </c>
      <c r="P575">
        <v>444.41</v>
      </c>
      <c r="Q575">
        <v>754.24</v>
      </c>
      <c r="R575" t="s">
        <v>1490</v>
      </c>
      <c r="S575" s="31">
        <v>0.20699999999999999</v>
      </c>
      <c r="T575">
        <v>32</v>
      </c>
      <c r="U575">
        <v>19139.594240000002</v>
      </c>
      <c r="V575">
        <v>149594.08382999999</v>
      </c>
      <c r="W575">
        <v>14221.12</v>
      </c>
      <c r="X575">
        <v>4918.4742400000014</v>
      </c>
      <c r="Y575" s="31">
        <v>0.25697902360546598</v>
      </c>
      <c r="Z575">
        <v>202401</v>
      </c>
      <c r="AA575">
        <v>202301</v>
      </c>
      <c r="AB575" t="s">
        <v>1477</v>
      </c>
      <c r="AC575">
        <v>12</v>
      </c>
      <c r="AD575" t="s">
        <v>1483</v>
      </c>
      <c r="AE575">
        <v>1</v>
      </c>
      <c r="AF575">
        <v>1</v>
      </c>
    </row>
    <row r="576" spans="1:32" x14ac:dyDescent="0.25">
      <c r="A576" t="s">
        <v>580</v>
      </c>
      <c r="B576" s="4">
        <v>45279</v>
      </c>
      <c r="C576" t="s">
        <v>1450</v>
      </c>
      <c r="D576" t="s">
        <v>1482</v>
      </c>
      <c r="E576" s="4">
        <v>45292</v>
      </c>
      <c r="F576">
        <v>13</v>
      </c>
      <c r="G576" t="s">
        <v>640</v>
      </c>
      <c r="H576" t="s">
        <v>645</v>
      </c>
      <c r="I576" t="s">
        <v>659</v>
      </c>
      <c r="J576" t="s">
        <v>1497</v>
      </c>
      <c r="K576" t="s">
        <v>698</v>
      </c>
      <c r="L576" t="s">
        <v>699</v>
      </c>
      <c r="M576" t="s">
        <v>715</v>
      </c>
      <c r="N576" t="s">
        <v>724</v>
      </c>
      <c r="O576" t="s">
        <v>1297</v>
      </c>
      <c r="P576">
        <v>856.1</v>
      </c>
      <c r="Q576">
        <v>901.48</v>
      </c>
      <c r="R576" t="s">
        <v>1496</v>
      </c>
      <c r="S576" s="31">
        <v>5.6000000000000001E-2</v>
      </c>
      <c r="T576">
        <v>17</v>
      </c>
      <c r="U576">
        <v>14466.95104</v>
      </c>
      <c r="V576">
        <v>149594.08382999999</v>
      </c>
      <c r="W576">
        <v>14553.7</v>
      </c>
      <c r="X576">
        <v>-86.748960000000807</v>
      </c>
      <c r="Y576" s="31">
        <v>-5.9963540182134192E-3</v>
      </c>
      <c r="Z576">
        <v>202312</v>
      </c>
      <c r="AA576">
        <v>202301</v>
      </c>
      <c r="AB576" t="s">
        <v>1450</v>
      </c>
      <c r="AC576">
        <v>11</v>
      </c>
      <c r="AD576" t="s">
        <v>1484</v>
      </c>
      <c r="AE576">
        <v>0</v>
      </c>
      <c r="AF576">
        <v>0</v>
      </c>
    </row>
    <row r="577" spans="1:32" x14ac:dyDescent="0.25">
      <c r="A577" t="s">
        <v>581</v>
      </c>
      <c r="B577" s="4">
        <v>45042</v>
      </c>
      <c r="C577" t="s">
        <v>1446</v>
      </c>
      <c r="D577" t="s">
        <v>1480</v>
      </c>
      <c r="E577" s="4">
        <v>45042</v>
      </c>
      <c r="F577">
        <v>0</v>
      </c>
      <c r="G577" t="s">
        <v>641</v>
      </c>
      <c r="H577" t="s">
        <v>649</v>
      </c>
      <c r="I577" t="s">
        <v>665</v>
      </c>
      <c r="J577" t="s">
        <v>1503</v>
      </c>
      <c r="K577" t="s">
        <v>696</v>
      </c>
      <c r="L577" t="s">
        <v>703</v>
      </c>
      <c r="M577" t="s">
        <v>716</v>
      </c>
      <c r="N577" t="s">
        <v>719</v>
      </c>
      <c r="O577" t="s">
        <v>1298</v>
      </c>
      <c r="P577">
        <v>81.489999999999995</v>
      </c>
      <c r="Q577">
        <v>113.08</v>
      </c>
      <c r="R577" t="s">
        <v>1490</v>
      </c>
      <c r="S577" s="31">
        <v>0.121</v>
      </c>
      <c r="T577">
        <v>5</v>
      </c>
      <c r="U577">
        <v>496.98660000000001</v>
      </c>
      <c r="V577">
        <v>149594.08382999999</v>
      </c>
      <c r="W577">
        <v>407.45</v>
      </c>
      <c r="X577">
        <v>89.536600000000021</v>
      </c>
      <c r="Y577" s="31">
        <v>0.18015898215364362</v>
      </c>
      <c r="Z577">
        <v>202304</v>
      </c>
      <c r="AA577">
        <v>202301</v>
      </c>
      <c r="AB577" t="s">
        <v>1446</v>
      </c>
      <c r="AC577">
        <v>3</v>
      </c>
      <c r="AD577" t="s">
        <v>1483</v>
      </c>
      <c r="AE577">
        <v>1</v>
      </c>
      <c r="AF577">
        <v>0</v>
      </c>
    </row>
    <row r="578" spans="1:32" x14ac:dyDescent="0.25">
      <c r="A578" t="s">
        <v>582</v>
      </c>
      <c r="B578" s="4">
        <v>45872</v>
      </c>
      <c r="C578" t="s">
        <v>1449</v>
      </c>
      <c r="D578" t="s">
        <v>1481</v>
      </c>
      <c r="E578" s="4">
        <v>45885</v>
      </c>
      <c r="F578">
        <v>13</v>
      </c>
      <c r="G578" t="s">
        <v>640</v>
      </c>
      <c r="H578" t="s">
        <v>645</v>
      </c>
      <c r="I578" t="s">
        <v>673</v>
      </c>
      <c r="J578" t="s">
        <v>1511</v>
      </c>
      <c r="K578" t="s">
        <v>698</v>
      </c>
      <c r="L578" t="s">
        <v>702</v>
      </c>
      <c r="M578" t="s">
        <v>711</v>
      </c>
      <c r="N578" t="s">
        <v>721</v>
      </c>
      <c r="O578" t="s">
        <v>1299</v>
      </c>
      <c r="P578">
        <v>698.66</v>
      </c>
      <c r="Q578">
        <v>868.62</v>
      </c>
      <c r="R578" t="s">
        <v>1496</v>
      </c>
      <c r="S578" s="31">
        <v>7.1999999999999995E-2</v>
      </c>
      <c r="T578">
        <v>15</v>
      </c>
      <c r="U578">
        <v>12091.190399999999</v>
      </c>
      <c r="V578">
        <v>149097.09722999998</v>
      </c>
      <c r="W578">
        <v>10479.9</v>
      </c>
      <c r="X578">
        <v>1611.2903999999999</v>
      </c>
      <c r="Y578" s="31">
        <v>0.13326151906432637</v>
      </c>
      <c r="Z578">
        <v>202508</v>
      </c>
      <c r="AA578">
        <v>202301</v>
      </c>
      <c r="AB578" t="s">
        <v>1448</v>
      </c>
      <c r="AC578">
        <v>31</v>
      </c>
      <c r="AD578" t="s">
        <v>1484</v>
      </c>
      <c r="AE578">
        <v>0</v>
      </c>
      <c r="AF578">
        <v>0</v>
      </c>
    </row>
    <row r="579" spans="1:32" x14ac:dyDescent="0.25">
      <c r="A579" t="s">
        <v>583</v>
      </c>
      <c r="B579" s="4">
        <v>45140</v>
      </c>
      <c r="C579" t="s">
        <v>1448</v>
      </c>
      <c r="D579" t="s">
        <v>1481</v>
      </c>
      <c r="E579" s="4">
        <v>45157</v>
      </c>
      <c r="F579">
        <v>17</v>
      </c>
      <c r="G579" t="s">
        <v>640</v>
      </c>
      <c r="H579" t="s">
        <v>645</v>
      </c>
      <c r="I579" t="s">
        <v>680</v>
      </c>
      <c r="J579" t="s">
        <v>1518</v>
      </c>
      <c r="K579" t="s">
        <v>693</v>
      </c>
      <c r="L579" t="s">
        <v>700</v>
      </c>
      <c r="M579" t="s">
        <v>713</v>
      </c>
      <c r="N579" t="s">
        <v>721</v>
      </c>
      <c r="O579" t="s">
        <v>1300</v>
      </c>
      <c r="P579">
        <v>175.38</v>
      </c>
      <c r="Q579">
        <v>347.9</v>
      </c>
      <c r="R579" t="s">
        <v>1490</v>
      </c>
      <c r="S579" s="31">
        <v>7.1999999999999995E-2</v>
      </c>
      <c r="T579">
        <v>43</v>
      </c>
      <c r="U579">
        <v>13882.6016</v>
      </c>
      <c r="V579">
        <v>149097.09722999998</v>
      </c>
      <c r="W579">
        <v>7541.34</v>
      </c>
      <c r="X579">
        <v>6341.2615999999998</v>
      </c>
      <c r="Y579" s="31">
        <v>0.45677761148169804</v>
      </c>
      <c r="Z579">
        <v>202308</v>
      </c>
      <c r="AA579">
        <v>202301</v>
      </c>
      <c r="AB579" t="s">
        <v>1448</v>
      </c>
      <c r="AC579">
        <v>7</v>
      </c>
      <c r="AD579" t="s">
        <v>1484</v>
      </c>
      <c r="AE579">
        <v>0</v>
      </c>
      <c r="AF579">
        <v>0</v>
      </c>
    </row>
    <row r="580" spans="1:32" x14ac:dyDescent="0.25">
      <c r="A580" t="s">
        <v>584</v>
      </c>
      <c r="B580" s="4">
        <v>45092</v>
      </c>
      <c r="C580" t="s">
        <v>1458</v>
      </c>
      <c r="D580" t="s">
        <v>1480</v>
      </c>
      <c r="E580" s="4">
        <v>45119</v>
      </c>
      <c r="F580">
        <v>27</v>
      </c>
      <c r="G580" t="s">
        <v>641</v>
      </c>
      <c r="H580" t="s">
        <v>650</v>
      </c>
      <c r="I580" t="s">
        <v>685</v>
      </c>
      <c r="J580" t="s">
        <v>1523</v>
      </c>
      <c r="K580" t="s">
        <v>696</v>
      </c>
      <c r="L580" t="s">
        <v>703</v>
      </c>
      <c r="M580" t="s">
        <v>706</v>
      </c>
      <c r="N580" t="s">
        <v>725</v>
      </c>
      <c r="O580" t="s">
        <v>1301</v>
      </c>
      <c r="P580">
        <v>751.28</v>
      </c>
      <c r="Q580">
        <v>1111.8800000000001</v>
      </c>
      <c r="R580" t="s">
        <v>1496</v>
      </c>
      <c r="S580" s="31">
        <v>0.13500000000000001</v>
      </c>
      <c r="T580">
        <v>7</v>
      </c>
      <c r="U580">
        <v>6732.4334000000008</v>
      </c>
      <c r="V580">
        <v>149097.09722999998</v>
      </c>
      <c r="W580">
        <v>5258.96</v>
      </c>
      <c r="X580">
        <v>1473.4734000000008</v>
      </c>
      <c r="Y580" s="31">
        <v>0.21886193482433863</v>
      </c>
      <c r="Z580">
        <v>202306</v>
      </c>
      <c r="AA580">
        <v>202301</v>
      </c>
      <c r="AB580" t="s">
        <v>1458</v>
      </c>
      <c r="AC580">
        <v>5</v>
      </c>
      <c r="AD580" t="s">
        <v>1484</v>
      </c>
      <c r="AE580">
        <v>0</v>
      </c>
      <c r="AF580">
        <v>0</v>
      </c>
    </row>
    <row r="581" spans="1:32" x14ac:dyDescent="0.25">
      <c r="A581" t="s">
        <v>585</v>
      </c>
      <c r="B581" s="4">
        <v>45607</v>
      </c>
      <c r="C581" t="s">
        <v>1472</v>
      </c>
      <c r="D581" t="s">
        <v>1482</v>
      </c>
      <c r="E581" s="4">
        <v>45620</v>
      </c>
      <c r="F581">
        <v>13</v>
      </c>
      <c r="G581" t="s">
        <v>641</v>
      </c>
      <c r="H581" t="s">
        <v>650</v>
      </c>
      <c r="I581" t="s">
        <v>675</v>
      </c>
      <c r="J581" t="s">
        <v>1513</v>
      </c>
      <c r="K581" t="s">
        <v>693</v>
      </c>
      <c r="L581" t="s">
        <v>699</v>
      </c>
      <c r="M581" t="s">
        <v>710</v>
      </c>
      <c r="N581" t="s">
        <v>721</v>
      </c>
      <c r="O581" t="s">
        <v>1302</v>
      </c>
      <c r="P581">
        <v>164.53</v>
      </c>
      <c r="Q581">
        <v>327.72</v>
      </c>
      <c r="R581" t="s">
        <v>1490</v>
      </c>
      <c r="S581" s="31">
        <v>6.7000000000000004E-2</v>
      </c>
      <c r="T581">
        <v>14</v>
      </c>
      <c r="U581">
        <v>4280.6786400000001</v>
      </c>
      <c r="V581">
        <v>149097.09722999998</v>
      </c>
      <c r="W581">
        <v>2303.42</v>
      </c>
      <c r="X581">
        <v>1977.25864</v>
      </c>
      <c r="Y581" s="31">
        <v>0.46190307805960412</v>
      </c>
      <c r="Z581">
        <v>202411</v>
      </c>
      <c r="AA581">
        <v>202301</v>
      </c>
      <c r="AB581" t="s">
        <v>1475</v>
      </c>
      <c r="AC581">
        <v>22</v>
      </c>
      <c r="AD581" t="s">
        <v>1484</v>
      </c>
      <c r="AE581">
        <v>0</v>
      </c>
      <c r="AF581">
        <v>0</v>
      </c>
    </row>
    <row r="582" spans="1:32" x14ac:dyDescent="0.25">
      <c r="A582" t="s">
        <v>586</v>
      </c>
      <c r="B582" s="4">
        <v>45849</v>
      </c>
      <c r="C582" t="s">
        <v>1457</v>
      </c>
      <c r="D582" t="s">
        <v>1481</v>
      </c>
      <c r="E582" s="4">
        <v>45872</v>
      </c>
      <c r="F582">
        <v>23</v>
      </c>
      <c r="G582" t="s">
        <v>638</v>
      </c>
      <c r="H582" t="s">
        <v>642</v>
      </c>
      <c r="I582" t="s">
        <v>670</v>
      </c>
      <c r="J582" t="s">
        <v>1508</v>
      </c>
      <c r="K582" t="s">
        <v>697</v>
      </c>
      <c r="L582" t="s">
        <v>699</v>
      </c>
      <c r="M582" t="s">
        <v>704</v>
      </c>
      <c r="N582" t="s">
        <v>722</v>
      </c>
      <c r="O582" t="s">
        <v>1303</v>
      </c>
      <c r="P582">
        <v>389.93</v>
      </c>
      <c r="Q582">
        <v>486.13</v>
      </c>
      <c r="R582" t="s">
        <v>1490</v>
      </c>
      <c r="S582" s="31">
        <v>0.13200000000000001</v>
      </c>
      <c r="T582">
        <v>17</v>
      </c>
      <c r="U582">
        <v>7173.3342799999991</v>
      </c>
      <c r="V582">
        <v>149097.09722999998</v>
      </c>
      <c r="W582">
        <v>6628.81</v>
      </c>
      <c r="X582">
        <v>544.52427999999873</v>
      </c>
      <c r="Y582" s="31">
        <v>7.5909508569562828E-2</v>
      </c>
      <c r="Z582">
        <v>202507</v>
      </c>
      <c r="AA582">
        <v>202301</v>
      </c>
      <c r="AB582" t="s">
        <v>1468</v>
      </c>
      <c r="AC582">
        <v>30</v>
      </c>
      <c r="AD582" t="s">
        <v>1484</v>
      </c>
      <c r="AE582">
        <v>0</v>
      </c>
      <c r="AF582">
        <v>0</v>
      </c>
    </row>
    <row r="583" spans="1:32" x14ac:dyDescent="0.25">
      <c r="A583" t="s">
        <v>587</v>
      </c>
      <c r="B583" s="4">
        <v>45080</v>
      </c>
      <c r="C583" t="s">
        <v>1458</v>
      </c>
      <c r="D583" t="s">
        <v>1480</v>
      </c>
      <c r="E583" s="4">
        <v>45108</v>
      </c>
      <c r="F583">
        <v>28</v>
      </c>
      <c r="G583" t="s">
        <v>640</v>
      </c>
      <c r="H583" t="s">
        <v>647</v>
      </c>
      <c r="I583" t="s">
        <v>664</v>
      </c>
      <c r="J583" t="s">
        <v>1502</v>
      </c>
      <c r="K583" t="s">
        <v>697</v>
      </c>
      <c r="L583" t="s">
        <v>701</v>
      </c>
      <c r="M583" t="s">
        <v>712</v>
      </c>
      <c r="N583" t="s">
        <v>719</v>
      </c>
      <c r="O583" t="s">
        <v>1304</v>
      </c>
      <c r="P583">
        <v>860.4</v>
      </c>
      <c r="Q583">
        <v>2066.6</v>
      </c>
      <c r="R583" t="s">
        <v>1496</v>
      </c>
      <c r="S583" s="31">
        <v>0.01</v>
      </c>
      <c r="T583">
        <v>3</v>
      </c>
      <c r="U583">
        <v>6137.8019999999988</v>
      </c>
      <c r="V583">
        <v>149097.09722999998</v>
      </c>
      <c r="W583">
        <v>2581.1999999999998</v>
      </c>
      <c r="X583">
        <v>3556.601999999999</v>
      </c>
      <c r="Y583" s="31">
        <v>0.57945857491004105</v>
      </c>
      <c r="Z583">
        <v>202306</v>
      </c>
      <c r="AA583">
        <v>202301</v>
      </c>
      <c r="AB583" t="s">
        <v>1458</v>
      </c>
      <c r="AC583">
        <v>5</v>
      </c>
      <c r="AD583" t="s">
        <v>1484</v>
      </c>
      <c r="AE583">
        <v>0</v>
      </c>
      <c r="AF583">
        <v>0</v>
      </c>
    </row>
    <row r="584" spans="1:32" x14ac:dyDescent="0.25">
      <c r="A584" t="s">
        <v>588</v>
      </c>
      <c r="B584" s="4">
        <v>44955</v>
      </c>
      <c r="C584" t="s">
        <v>1477</v>
      </c>
      <c r="D584" t="s">
        <v>1479</v>
      </c>
      <c r="E584" s="4">
        <v>44963</v>
      </c>
      <c r="F584">
        <v>8</v>
      </c>
      <c r="G584" t="s">
        <v>640</v>
      </c>
      <c r="H584" t="s">
        <v>647</v>
      </c>
      <c r="I584" t="s">
        <v>664</v>
      </c>
      <c r="J584" t="s">
        <v>1502</v>
      </c>
      <c r="K584" t="s">
        <v>693</v>
      </c>
      <c r="L584" t="s">
        <v>701</v>
      </c>
      <c r="M584" t="s">
        <v>718</v>
      </c>
      <c r="N584" t="s">
        <v>724</v>
      </c>
      <c r="O584" t="s">
        <v>1305</v>
      </c>
      <c r="P584">
        <v>41.84</v>
      </c>
      <c r="Q584">
        <v>86.2</v>
      </c>
      <c r="R584" t="s">
        <v>1490</v>
      </c>
      <c r="S584" s="31">
        <v>0.22600000000000001</v>
      </c>
      <c r="T584">
        <v>27</v>
      </c>
      <c r="U584">
        <v>1801.4076000000002</v>
      </c>
      <c r="V584">
        <v>142959.29522999999</v>
      </c>
      <c r="W584">
        <v>1129.68</v>
      </c>
      <c r="X584">
        <v>671.72760000000017</v>
      </c>
      <c r="Y584" s="31">
        <v>0.37289039970742882</v>
      </c>
      <c r="Z584">
        <v>202301</v>
      </c>
      <c r="AA584">
        <v>202301</v>
      </c>
      <c r="AB584" t="s">
        <v>1477</v>
      </c>
      <c r="AC584">
        <v>0</v>
      </c>
      <c r="AD584" t="s">
        <v>1484</v>
      </c>
      <c r="AE584">
        <v>0</v>
      </c>
      <c r="AF584">
        <v>1</v>
      </c>
    </row>
    <row r="585" spans="1:32" x14ac:dyDescent="0.25">
      <c r="A585" t="s">
        <v>589</v>
      </c>
      <c r="B585" s="4">
        <v>45541</v>
      </c>
      <c r="C585" t="s">
        <v>1466</v>
      </c>
      <c r="D585" t="s">
        <v>1481</v>
      </c>
      <c r="E585" s="4">
        <v>45543</v>
      </c>
      <c r="F585">
        <v>2</v>
      </c>
      <c r="G585" t="s">
        <v>639</v>
      </c>
      <c r="H585" t="s">
        <v>644</v>
      </c>
      <c r="I585" t="s">
        <v>658</v>
      </c>
      <c r="J585" t="s">
        <v>1495</v>
      </c>
      <c r="K585" t="s">
        <v>693</v>
      </c>
      <c r="L585" t="s">
        <v>703</v>
      </c>
      <c r="M585" t="s">
        <v>712</v>
      </c>
      <c r="N585" t="s">
        <v>723</v>
      </c>
      <c r="O585" t="s">
        <v>1306</v>
      </c>
      <c r="P585">
        <v>1368.17</v>
      </c>
      <c r="Q585">
        <v>2307.75</v>
      </c>
      <c r="R585" t="s">
        <v>1492</v>
      </c>
      <c r="S585" s="31">
        <v>0.16300000000000001</v>
      </c>
      <c r="T585">
        <v>21</v>
      </c>
      <c r="U585">
        <v>40563.321749999996</v>
      </c>
      <c r="V585">
        <v>142959.29522999999</v>
      </c>
      <c r="W585">
        <v>28731.57</v>
      </c>
      <c r="X585">
        <v>11831.751749999996</v>
      </c>
      <c r="Y585" s="31">
        <v>0.29168596750831921</v>
      </c>
      <c r="Z585">
        <v>202409</v>
      </c>
      <c r="AA585">
        <v>202303</v>
      </c>
      <c r="AB585" t="s">
        <v>1465</v>
      </c>
      <c r="AC585">
        <v>18</v>
      </c>
      <c r="AD585" t="s">
        <v>1483</v>
      </c>
      <c r="AE585">
        <v>1</v>
      </c>
      <c r="AF585">
        <v>0</v>
      </c>
    </row>
    <row r="586" spans="1:32" x14ac:dyDescent="0.25">
      <c r="A586" t="s">
        <v>590</v>
      </c>
      <c r="B586" s="4">
        <v>45507</v>
      </c>
      <c r="C586" t="s">
        <v>1474</v>
      </c>
      <c r="D586" t="s">
        <v>1481</v>
      </c>
      <c r="E586" s="4">
        <v>45513</v>
      </c>
      <c r="F586">
        <v>6</v>
      </c>
      <c r="G586" t="s">
        <v>638</v>
      </c>
      <c r="H586" t="s">
        <v>642</v>
      </c>
      <c r="I586" t="s">
        <v>667</v>
      </c>
      <c r="J586" t="s">
        <v>1505</v>
      </c>
      <c r="K586" t="s">
        <v>696</v>
      </c>
      <c r="L586" t="s">
        <v>701</v>
      </c>
      <c r="M586" t="s">
        <v>714</v>
      </c>
      <c r="N586" t="s">
        <v>723</v>
      </c>
      <c r="O586" t="s">
        <v>1307</v>
      </c>
      <c r="P586">
        <v>643.21</v>
      </c>
      <c r="Q586">
        <v>1112.81</v>
      </c>
      <c r="R586" t="s">
        <v>1496</v>
      </c>
      <c r="S586" s="31">
        <v>0.14099999999999999</v>
      </c>
      <c r="T586">
        <v>4</v>
      </c>
      <c r="U586">
        <v>3823.6151599999998</v>
      </c>
      <c r="V586">
        <v>142959.29522999999</v>
      </c>
      <c r="W586">
        <v>2572.84</v>
      </c>
      <c r="X586">
        <v>1250.7751599999997</v>
      </c>
      <c r="Y586" s="31">
        <v>0.32711847496702562</v>
      </c>
      <c r="Z586">
        <v>202408</v>
      </c>
      <c r="AA586">
        <v>202301</v>
      </c>
      <c r="AB586" t="s">
        <v>1448</v>
      </c>
      <c r="AC586">
        <v>19</v>
      </c>
      <c r="AD586" t="s">
        <v>1483</v>
      </c>
      <c r="AE586">
        <v>1</v>
      </c>
      <c r="AF586">
        <v>0</v>
      </c>
    </row>
    <row r="587" spans="1:32" x14ac:dyDescent="0.25">
      <c r="A587" t="s">
        <v>591</v>
      </c>
      <c r="B587" s="4">
        <v>45764</v>
      </c>
      <c r="C587" t="s">
        <v>1473</v>
      </c>
      <c r="D587" t="s">
        <v>1480</v>
      </c>
      <c r="E587" s="4">
        <v>45764</v>
      </c>
      <c r="F587">
        <v>0</v>
      </c>
      <c r="G587" t="s">
        <v>640</v>
      </c>
      <c r="H587" t="s">
        <v>647</v>
      </c>
      <c r="I587" t="s">
        <v>662</v>
      </c>
      <c r="J587" t="s">
        <v>1500</v>
      </c>
      <c r="K587" t="s">
        <v>693</v>
      </c>
      <c r="L587" t="s">
        <v>702</v>
      </c>
      <c r="M587" t="s">
        <v>708</v>
      </c>
      <c r="N587" t="s">
        <v>722</v>
      </c>
      <c r="O587" t="s">
        <v>1308</v>
      </c>
      <c r="P587">
        <v>719.41</v>
      </c>
      <c r="Q587">
        <v>1125.99</v>
      </c>
      <c r="R587" t="s">
        <v>1496</v>
      </c>
      <c r="S587" s="31">
        <v>4.1000000000000002E-2</v>
      </c>
      <c r="T587">
        <v>21</v>
      </c>
      <c r="U587">
        <v>22676.312610000001</v>
      </c>
      <c r="V587">
        <v>142959.29522999999</v>
      </c>
      <c r="W587">
        <v>15107.609999999999</v>
      </c>
      <c r="X587">
        <v>7568.7026100000021</v>
      </c>
      <c r="Y587" s="31">
        <v>0.33377131194876403</v>
      </c>
      <c r="Z587">
        <v>202504</v>
      </c>
      <c r="AA587">
        <v>202301</v>
      </c>
      <c r="AB587" t="s">
        <v>1446</v>
      </c>
      <c r="AC587">
        <v>27</v>
      </c>
      <c r="AD587" t="s">
        <v>1483</v>
      </c>
      <c r="AE587">
        <v>1</v>
      </c>
      <c r="AF587">
        <v>0</v>
      </c>
    </row>
    <row r="588" spans="1:32" x14ac:dyDescent="0.25">
      <c r="A588" t="s">
        <v>592</v>
      </c>
      <c r="B588" s="4">
        <v>45049</v>
      </c>
      <c r="C588" t="s">
        <v>1462</v>
      </c>
      <c r="D588" t="s">
        <v>1480</v>
      </c>
      <c r="E588" s="4">
        <v>45062</v>
      </c>
      <c r="F588">
        <v>13</v>
      </c>
      <c r="G588" t="s">
        <v>640</v>
      </c>
      <c r="H588" t="s">
        <v>652</v>
      </c>
      <c r="I588" t="s">
        <v>692</v>
      </c>
      <c r="J588" t="s">
        <v>1532</v>
      </c>
      <c r="K588" t="s">
        <v>693</v>
      </c>
      <c r="L588" t="s">
        <v>701</v>
      </c>
      <c r="M588" t="s">
        <v>708</v>
      </c>
      <c r="N588" t="s">
        <v>722</v>
      </c>
      <c r="O588" t="s">
        <v>1309</v>
      </c>
      <c r="P588">
        <v>64.5</v>
      </c>
      <c r="Q588">
        <v>123.62</v>
      </c>
      <c r="R588" t="s">
        <v>1490</v>
      </c>
      <c r="S588" s="31">
        <v>0</v>
      </c>
      <c r="T588">
        <v>3</v>
      </c>
      <c r="U588">
        <v>370.86</v>
      </c>
      <c r="V588">
        <v>142959.29522999999</v>
      </c>
      <c r="W588">
        <v>193.5</v>
      </c>
      <c r="X588">
        <v>177.36</v>
      </c>
      <c r="Y588" s="31">
        <v>0.47823976702798904</v>
      </c>
      <c r="Z588">
        <v>202305</v>
      </c>
      <c r="AA588">
        <v>202301</v>
      </c>
      <c r="AB588" t="s">
        <v>1462</v>
      </c>
      <c r="AC588">
        <v>4</v>
      </c>
      <c r="AD588" t="s">
        <v>1484</v>
      </c>
      <c r="AE588">
        <v>0</v>
      </c>
      <c r="AF588">
        <v>0</v>
      </c>
    </row>
    <row r="589" spans="1:32" x14ac:dyDescent="0.25">
      <c r="A589" t="s">
        <v>593</v>
      </c>
      <c r="B589" s="4">
        <v>45364</v>
      </c>
      <c r="C589" t="s">
        <v>1470</v>
      </c>
      <c r="D589" t="s">
        <v>1479</v>
      </c>
      <c r="E589" s="4">
        <v>45388</v>
      </c>
      <c r="F589">
        <v>24</v>
      </c>
      <c r="G589" t="s">
        <v>638</v>
      </c>
      <c r="H589" t="s">
        <v>643</v>
      </c>
      <c r="I589" t="s">
        <v>661</v>
      </c>
      <c r="J589" t="s">
        <v>1499</v>
      </c>
      <c r="K589" t="s">
        <v>696</v>
      </c>
      <c r="L589" t="s">
        <v>702</v>
      </c>
      <c r="M589" t="s">
        <v>708</v>
      </c>
      <c r="N589" t="s">
        <v>719</v>
      </c>
      <c r="O589" t="s">
        <v>1310</v>
      </c>
      <c r="P589">
        <v>1232.78</v>
      </c>
      <c r="Q589">
        <v>1731.75</v>
      </c>
      <c r="R589" t="s">
        <v>1492</v>
      </c>
      <c r="S589" s="31">
        <v>9.2999999999999999E-2</v>
      </c>
      <c r="T589">
        <v>16</v>
      </c>
      <c r="U589">
        <v>25131.155999999999</v>
      </c>
      <c r="V589">
        <v>142959.29522999999</v>
      </c>
      <c r="W589">
        <v>19724.48</v>
      </c>
      <c r="X589">
        <v>5406.6759999999995</v>
      </c>
      <c r="Y589" s="31">
        <v>0.21513837246484005</v>
      </c>
      <c r="Z589">
        <v>202403</v>
      </c>
      <c r="AA589">
        <v>202301</v>
      </c>
      <c r="AB589" t="s">
        <v>1469</v>
      </c>
      <c r="AC589">
        <v>14</v>
      </c>
      <c r="AD589" t="s">
        <v>1484</v>
      </c>
      <c r="AE589">
        <v>0</v>
      </c>
      <c r="AF589">
        <v>0</v>
      </c>
    </row>
    <row r="590" spans="1:32" x14ac:dyDescent="0.25">
      <c r="A590" t="s">
        <v>594</v>
      </c>
      <c r="B590" s="4">
        <v>45459</v>
      </c>
      <c r="C590" t="s">
        <v>1459</v>
      </c>
      <c r="D590" t="s">
        <v>1480</v>
      </c>
      <c r="E590" s="4">
        <v>45464</v>
      </c>
      <c r="F590">
        <v>5</v>
      </c>
      <c r="G590" t="s">
        <v>639</v>
      </c>
      <c r="H590" t="s">
        <v>644</v>
      </c>
      <c r="I590" t="s">
        <v>681</v>
      </c>
      <c r="J590" t="s">
        <v>1519</v>
      </c>
      <c r="K590" t="s">
        <v>697</v>
      </c>
      <c r="L590" t="s">
        <v>702</v>
      </c>
      <c r="M590" t="s">
        <v>713</v>
      </c>
      <c r="N590" t="s">
        <v>722</v>
      </c>
      <c r="O590" t="s">
        <v>1311</v>
      </c>
      <c r="P590">
        <v>1367.13</v>
      </c>
      <c r="Q590">
        <v>3062.01</v>
      </c>
      <c r="R590" t="s">
        <v>1492</v>
      </c>
      <c r="S590" s="31">
        <v>0.10299999999999999</v>
      </c>
      <c r="T590">
        <v>25</v>
      </c>
      <c r="U590">
        <v>68665.574250000005</v>
      </c>
      <c r="V590">
        <v>117828.13922999999</v>
      </c>
      <c r="W590">
        <v>34178.25</v>
      </c>
      <c r="X590">
        <v>34487.324250000005</v>
      </c>
      <c r="Y590" s="31">
        <v>0.50225057645971705</v>
      </c>
      <c r="Z590">
        <v>202406</v>
      </c>
      <c r="AA590">
        <v>202303</v>
      </c>
      <c r="AB590" t="s">
        <v>1458</v>
      </c>
      <c r="AC590">
        <v>15</v>
      </c>
      <c r="AD590" t="s">
        <v>1483</v>
      </c>
      <c r="AE590">
        <v>1</v>
      </c>
      <c r="AF590">
        <v>0</v>
      </c>
    </row>
    <row r="591" spans="1:32" x14ac:dyDescent="0.25">
      <c r="A591" t="s">
        <v>595</v>
      </c>
      <c r="B591" s="4">
        <v>45703</v>
      </c>
      <c r="C591" t="s">
        <v>1453</v>
      </c>
      <c r="D591" t="s">
        <v>1479</v>
      </c>
      <c r="E591" s="4">
        <v>45715</v>
      </c>
      <c r="F591">
        <v>12</v>
      </c>
      <c r="G591" t="s">
        <v>641</v>
      </c>
      <c r="H591" t="s">
        <v>649</v>
      </c>
      <c r="I591" t="s">
        <v>671</v>
      </c>
      <c r="J591" t="s">
        <v>1509</v>
      </c>
      <c r="K591" t="s">
        <v>695</v>
      </c>
      <c r="L591" t="s">
        <v>703</v>
      </c>
      <c r="M591" t="s">
        <v>715</v>
      </c>
      <c r="N591" t="s">
        <v>725</v>
      </c>
      <c r="O591" t="s">
        <v>1312</v>
      </c>
      <c r="P591">
        <v>1027.26</v>
      </c>
      <c r="Q591">
        <v>2200.41</v>
      </c>
      <c r="R591" t="s">
        <v>1492</v>
      </c>
      <c r="S591" s="31">
        <v>8.7999999999999995E-2</v>
      </c>
      <c r="T591">
        <v>6</v>
      </c>
      <c r="U591">
        <v>12040.64352</v>
      </c>
      <c r="V591">
        <v>117828.13922999999</v>
      </c>
      <c r="W591">
        <v>6163.5599999999995</v>
      </c>
      <c r="X591">
        <v>5877.0835200000001</v>
      </c>
      <c r="Y591" s="31">
        <v>0.48810377204822358</v>
      </c>
      <c r="Z591">
        <v>202502</v>
      </c>
      <c r="AA591">
        <v>202301</v>
      </c>
      <c r="AB591" t="s">
        <v>1451</v>
      </c>
      <c r="AC591">
        <v>25</v>
      </c>
      <c r="AD591" t="s">
        <v>1484</v>
      </c>
      <c r="AE591">
        <v>0</v>
      </c>
      <c r="AF591">
        <v>0</v>
      </c>
    </row>
    <row r="592" spans="1:32" x14ac:dyDescent="0.25">
      <c r="A592" t="s">
        <v>596</v>
      </c>
      <c r="B592" s="4">
        <v>45019</v>
      </c>
      <c r="C592" t="s">
        <v>1446</v>
      </c>
      <c r="D592" t="s">
        <v>1480</v>
      </c>
      <c r="E592" s="4">
        <v>45032</v>
      </c>
      <c r="F592">
        <v>13</v>
      </c>
      <c r="G592" t="s">
        <v>641</v>
      </c>
      <c r="H592" t="s">
        <v>649</v>
      </c>
      <c r="I592" t="s">
        <v>665</v>
      </c>
      <c r="J592" t="s">
        <v>1503</v>
      </c>
      <c r="K592" t="s">
        <v>695</v>
      </c>
      <c r="L592" t="s">
        <v>701</v>
      </c>
      <c r="M592" t="s">
        <v>716</v>
      </c>
      <c r="N592" t="s">
        <v>725</v>
      </c>
      <c r="O592" t="s">
        <v>1313</v>
      </c>
      <c r="P592">
        <v>790.54</v>
      </c>
      <c r="Q592">
        <v>601.49</v>
      </c>
      <c r="R592" t="s">
        <v>1496</v>
      </c>
      <c r="S592" s="31">
        <v>0</v>
      </c>
      <c r="T592">
        <v>15</v>
      </c>
      <c r="U592">
        <v>9022.35</v>
      </c>
      <c r="V592">
        <v>117828.13922999999</v>
      </c>
      <c r="W592">
        <v>11858.099999999999</v>
      </c>
      <c r="X592">
        <v>-2835.7499999999982</v>
      </c>
      <c r="Y592" s="31">
        <v>-0.31430281467688553</v>
      </c>
      <c r="Z592">
        <v>202304</v>
      </c>
      <c r="AA592">
        <v>202301</v>
      </c>
      <c r="AB592" t="s">
        <v>1446</v>
      </c>
      <c r="AC592">
        <v>3</v>
      </c>
      <c r="AD592" t="s">
        <v>1484</v>
      </c>
      <c r="AE592">
        <v>0</v>
      </c>
      <c r="AF592">
        <v>0</v>
      </c>
    </row>
    <row r="593" spans="1:32" x14ac:dyDescent="0.25">
      <c r="A593" t="s">
        <v>597</v>
      </c>
      <c r="B593" s="4">
        <v>45899</v>
      </c>
      <c r="C593" t="s">
        <v>1449</v>
      </c>
      <c r="D593" t="s">
        <v>1481</v>
      </c>
      <c r="E593" s="4">
        <v>45922</v>
      </c>
      <c r="F593">
        <v>23</v>
      </c>
      <c r="G593" t="s">
        <v>641</v>
      </c>
      <c r="H593" t="s">
        <v>649</v>
      </c>
      <c r="I593" t="s">
        <v>665</v>
      </c>
      <c r="J593" t="s">
        <v>1503</v>
      </c>
      <c r="K593" t="s">
        <v>693</v>
      </c>
      <c r="L593" t="s">
        <v>703</v>
      </c>
      <c r="M593" t="s">
        <v>710</v>
      </c>
      <c r="N593" t="s">
        <v>719</v>
      </c>
      <c r="O593" t="s">
        <v>1314</v>
      </c>
      <c r="P593">
        <v>663.9</v>
      </c>
      <c r="Q593">
        <v>947.77</v>
      </c>
      <c r="R593" t="s">
        <v>1496</v>
      </c>
      <c r="S593" s="31">
        <v>0.17399999999999999</v>
      </c>
      <c r="T593">
        <v>15</v>
      </c>
      <c r="U593">
        <v>11742.8703</v>
      </c>
      <c r="V593">
        <v>117828.13922999999</v>
      </c>
      <c r="W593">
        <v>9958.5</v>
      </c>
      <c r="X593">
        <v>1784.3703000000005</v>
      </c>
      <c r="Y593" s="31">
        <v>0.1519535049280073</v>
      </c>
      <c r="Z593">
        <v>202508</v>
      </c>
      <c r="AA593">
        <v>202301</v>
      </c>
      <c r="AB593" t="s">
        <v>1448</v>
      </c>
      <c r="AC593">
        <v>31</v>
      </c>
      <c r="AD593" t="s">
        <v>1484</v>
      </c>
      <c r="AE593">
        <v>0</v>
      </c>
      <c r="AF593">
        <v>0</v>
      </c>
    </row>
    <row r="594" spans="1:32" x14ac:dyDescent="0.25">
      <c r="A594" t="s">
        <v>598</v>
      </c>
      <c r="B594" s="4">
        <v>44984</v>
      </c>
      <c r="C594" t="s">
        <v>1451</v>
      </c>
      <c r="D594" t="s">
        <v>1479</v>
      </c>
      <c r="E594" s="4">
        <v>44985</v>
      </c>
      <c r="F594">
        <v>1</v>
      </c>
      <c r="G594" t="s">
        <v>640</v>
      </c>
      <c r="H594" t="s">
        <v>652</v>
      </c>
      <c r="I594" t="s">
        <v>678</v>
      </c>
      <c r="J594" t="s">
        <v>1516</v>
      </c>
      <c r="K594" t="s">
        <v>695</v>
      </c>
      <c r="L594" t="s">
        <v>700</v>
      </c>
      <c r="M594" t="s">
        <v>708</v>
      </c>
      <c r="N594" t="s">
        <v>721</v>
      </c>
      <c r="O594" t="s">
        <v>1315</v>
      </c>
      <c r="P594">
        <v>1015.91</v>
      </c>
      <c r="Q594">
        <v>2331.48</v>
      </c>
      <c r="R594" t="s">
        <v>1492</v>
      </c>
      <c r="S594" s="31">
        <v>0.14599999999999999</v>
      </c>
      <c r="T594">
        <v>26</v>
      </c>
      <c r="U594">
        <v>51768.181920000003</v>
      </c>
      <c r="V594">
        <v>106085.26892999999</v>
      </c>
      <c r="W594">
        <v>26413.66</v>
      </c>
      <c r="X594">
        <v>25354.521920000003</v>
      </c>
      <c r="Y594" s="31">
        <v>0.48977037592669626</v>
      </c>
      <c r="Z594">
        <v>202302</v>
      </c>
      <c r="AA594">
        <v>202301</v>
      </c>
      <c r="AB594" t="s">
        <v>1451</v>
      </c>
      <c r="AC594">
        <v>1</v>
      </c>
      <c r="AD594" t="s">
        <v>1483</v>
      </c>
      <c r="AE594">
        <v>1</v>
      </c>
      <c r="AF594">
        <v>0</v>
      </c>
    </row>
    <row r="595" spans="1:32" x14ac:dyDescent="0.25">
      <c r="A595" t="s">
        <v>599</v>
      </c>
      <c r="B595" s="4">
        <v>45504</v>
      </c>
      <c r="C595" t="s">
        <v>1456</v>
      </c>
      <c r="D595" t="s">
        <v>1481</v>
      </c>
      <c r="E595" s="4">
        <v>45519</v>
      </c>
      <c r="F595">
        <v>15</v>
      </c>
      <c r="G595" t="s">
        <v>639</v>
      </c>
      <c r="H595" t="s">
        <v>644</v>
      </c>
      <c r="I595" t="s">
        <v>681</v>
      </c>
      <c r="J595" t="s">
        <v>1519</v>
      </c>
      <c r="K595" t="s">
        <v>693</v>
      </c>
      <c r="L595" t="s">
        <v>701</v>
      </c>
      <c r="M595" t="s">
        <v>713</v>
      </c>
      <c r="N595" t="s">
        <v>724</v>
      </c>
      <c r="O595" t="s">
        <v>1316</v>
      </c>
      <c r="P595">
        <v>1252.52</v>
      </c>
      <c r="Q595">
        <v>1417.24</v>
      </c>
      <c r="R595" t="s">
        <v>1492</v>
      </c>
      <c r="S595" s="31">
        <v>0.192</v>
      </c>
      <c r="T595">
        <v>5</v>
      </c>
      <c r="U595">
        <v>5725.6496000000006</v>
      </c>
      <c r="V595">
        <v>106085.26892999999</v>
      </c>
      <c r="W595">
        <v>6262.6</v>
      </c>
      <c r="X595">
        <v>-536.95039999999972</v>
      </c>
      <c r="Y595" s="31">
        <v>-9.3779821943696953E-2</v>
      </c>
      <c r="Z595">
        <v>202407</v>
      </c>
      <c r="AA595">
        <v>202303</v>
      </c>
      <c r="AB595" t="s">
        <v>1468</v>
      </c>
      <c r="AC595">
        <v>16</v>
      </c>
      <c r="AD595" t="s">
        <v>1484</v>
      </c>
      <c r="AE595">
        <v>0</v>
      </c>
      <c r="AF595">
        <v>0</v>
      </c>
    </row>
    <row r="596" spans="1:32" x14ac:dyDescent="0.25">
      <c r="A596" t="s">
        <v>600</v>
      </c>
      <c r="B596" s="4">
        <v>45823</v>
      </c>
      <c r="C596" t="s">
        <v>1460</v>
      </c>
      <c r="D596" t="s">
        <v>1480</v>
      </c>
      <c r="E596" s="4">
        <v>45850</v>
      </c>
      <c r="F596">
        <v>27</v>
      </c>
      <c r="G596" t="s">
        <v>641</v>
      </c>
      <c r="H596" t="s">
        <v>649</v>
      </c>
      <c r="I596" t="s">
        <v>665</v>
      </c>
      <c r="J596" t="s">
        <v>1503</v>
      </c>
      <c r="K596" t="s">
        <v>696</v>
      </c>
      <c r="L596" t="s">
        <v>703</v>
      </c>
      <c r="M596" t="s">
        <v>704</v>
      </c>
      <c r="N596" t="s">
        <v>725</v>
      </c>
      <c r="O596" t="s">
        <v>1317</v>
      </c>
      <c r="P596">
        <v>318.83</v>
      </c>
      <c r="Q596">
        <v>699.5</v>
      </c>
      <c r="R596" t="s">
        <v>1490</v>
      </c>
      <c r="S596" s="31">
        <v>0.08</v>
      </c>
      <c r="T596">
        <v>13</v>
      </c>
      <c r="U596">
        <v>8366.02</v>
      </c>
      <c r="V596">
        <v>106085.26892999999</v>
      </c>
      <c r="W596">
        <v>4144.79</v>
      </c>
      <c r="X596">
        <v>4221.2300000000005</v>
      </c>
      <c r="Y596" s="31">
        <v>0.50456848059172699</v>
      </c>
      <c r="Z596">
        <v>202506</v>
      </c>
      <c r="AA596">
        <v>202301</v>
      </c>
      <c r="AB596" t="s">
        <v>1458</v>
      </c>
      <c r="AC596">
        <v>29</v>
      </c>
      <c r="AD596" t="s">
        <v>1484</v>
      </c>
      <c r="AE596">
        <v>0</v>
      </c>
      <c r="AF596">
        <v>0</v>
      </c>
    </row>
    <row r="597" spans="1:32" x14ac:dyDescent="0.25">
      <c r="A597" t="s">
        <v>601</v>
      </c>
      <c r="B597" s="4">
        <v>45473</v>
      </c>
      <c r="C597" t="s">
        <v>1459</v>
      </c>
      <c r="D597" t="s">
        <v>1480</v>
      </c>
      <c r="E597" s="4">
        <v>45494</v>
      </c>
      <c r="F597">
        <v>21</v>
      </c>
      <c r="G597" t="s">
        <v>638</v>
      </c>
      <c r="H597" t="s">
        <v>642</v>
      </c>
      <c r="I597" t="s">
        <v>654</v>
      </c>
      <c r="J597" t="s">
        <v>1489</v>
      </c>
      <c r="K597" t="s">
        <v>697</v>
      </c>
      <c r="L597" t="s">
        <v>699</v>
      </c>
      <c r="M597" t="s">
        <v>715</v>
      </c>
      <c r="N597" t="s">
        <v>723</v>
      </c>
      <c r="O597" t="s">
        <v>1318</v>
      </c>
      <c r="P597">
        <v>753.43</v>
      </c>
      <c r="Q597">
        <v>1787.2</v>
      </c>
      <c r="R597" t="s">
        <v>1496</v>
      </c>
      <c r="S597" s="31">
        <v>7.2999999999999995E-2</v>
      </c>
      <c r="T597">
        <v>9</v>
      </c>
      <c r="U597">
        <v>14910.609600000002</v>
      </c>
      <c r="V597">
        <v>106085.26892999999</v>
      </c>
      <c r="W597">
        <v>6780.87</v>
      </c>
      <c r="X597">
        <v>8129.7396000000017</v>
      </c>
      <c r="Y597" s="31">
        <v>0.54523187301476939</v>
      </c>
      <c r="Z597">
        <v>202406</v>
      </c>
      <c r="AA597">
        <v>202301</v>
      </c>
      <c r="AB597" t="s">
        <v>1458</v>
      </c>
      <c r="AC597">
        <v>17</v>
      </c>
      <c r="AD597" t="s">
        <v>1484</v>
      </c>
      <c r="AE597">
        <v>0</v>
      </c>
      <c r="AF597">
        <v>0</v>
      </c>
    </row>
    <row r="598" spans="1:32" x14ac:dyDescent="0.25">
      <c r="A598" t="s">
        <v>602</v>
      </c>
      <c r="B598" s="4">
        <v>45705</v>
      </c>
      <c r="C598" t="s">
        <v>1453</v>
      </c>
      <c r="D598" t="s">
        <v>1479</v>
      </c>
      <c r="E598" s="4">
        <v>45707</v>
      </c>
      <c r="F598">
        <v>2</v>
      </c>
      <c r="G598" t="s">
        <v>640</v>
      </c>
      <c r="H598" t="s">
        <v>645</v>
      </c>
      <c r="I598" t="s">
        <v>659</v>
      </c>
      <c r="J598" t="s">
        <v>1497</v>
      </c>
      <c r="K598" t="s">
        <v>697</v>
      </c>
      <c r="L598" t="s">
        <v>699</v>
      </c>
      <c r="M598" t="s">
        <v>718</v>
      </c>
      <c r="N598" t="s">
        <v>719</v>
      </c>
      <c r="O598" t="s">
        <v>1319</v>
      </c>
      <c r="P598">
        <v>1133.47</v>
      </c>
      <c r="Q598">
        <v>1698.75</v>
      </c>
      <c r="R598" t="s">
        <v>1492</v>
      </c>
      <c r="S598" s="31">
        <v>4.2999999999999997E-2</v>
      </c>
      <c r="T598">
        <v>5</v>
      </c>
      <c r="U598">
        <v>8128.5187499999993</v>
      </c>
      <c r="V598">
        <v>106085.26892999999</v>
      </c>
      <c r="W598">
        <v>5667.35</v>
      </c>
      <c r="X598">
        <v>2461.1687499999989</v>
      </c>
      <c r="Y598" s="31">
        <v>0.30278194904821976</v>
      </c>
      <c r="Z598">
        <v>202502</v>
      </c>
      <c r="AA598">
        <v>202301</v>
      </c>
      <c r="AB598" t="s">
        <v>1451</v>
      </c>
      <c r="AC598">
        <v>25</v>
      </c>
      <c r="AD598" t="s">
        <v>1483</v>
      </c>
      <c r="AE598">
        <v>1</v>
      </c>
      <c r="AF598">
        <v>0</v>
      </c>
    </row>
    <row r="599" spans="1:32" x14ac:dyDescent="0.25">
      <c r="A599" t="s">
        <v>603</v>
      </c>
      <c r="B599" s="4">
        <v>44933</v>
      </c>
      <c r="C599" t="s">
        <v>1477</v>
      </c>
      <c r="D599" t="s">
        <v>1479</v>
      </c>
      <c r="E599" s="4">
        <v>44956</v>
      </c>
      <c r="F599">
        <v>23</v>
      </c>
      <c r="G599" t="s">
        <v>638</v>
      </c>
      <c r="H599" t="s">
        <v>653</v>
      </c>
      <c r="I599" t="s">
        <v>687</v>
      </c>
      <c r="J599" t="s">
        <v>1525</v>
      </c>
      <c r="K599" t="s">
        <v>696</v>
      </c>
      <c r="L599" t="s">
        <v>700</v>
      </c>
      <c r="M599" t="s">
        <v>712</v>
      </c>
      <c r="N599" t="s">
        <v>720</v>
      </c>
      <c r="O599" t="s">
        <v>1320</v>
      </c>
      <c r="P599">
        <v>299.02</v>
      </c>
      <c r="Q599">
        <v>724.7</v>
      </c>
      <c r="R599" t="s">
        <v>1490</v>
      </c>
      <c r="S599" s="31">
        <v>0.14000000000000001</v>
      </c>
      <c r="T599">
        <v>5</v>
      </c>
      <c r="U599">
        <v>3116.21</v>
      </c>
      <c r="V599">
        <v>97956.750180000003</v>
      </c>
      <c r="W599">
        <v>1495.1</v>
      </c>
      <c r="X599">
        <v>1621.1100000000001</v>
      </c>
      <c r="Y599" s="31">
        <v>0.52021847051386139</v>
      </c>
      <c r="Z599">
        <v>202301</v>
      </c>
      <c r="AA599">
        <v>202301</v>
      </c>
      <c r="AB599" t="s">
        <v>1477</v>
      </c>
      <c r="AC599">
        <v>0</v>
      </c>
      <c r="AD599" t="s">
        <v>1484</v>
      </c>
      <c r="AE599">
        <v>0</v>
      </c>
      <c r="AF599">
        <v>0</v>
      </c>
    </row>
    <row r="600" spans="1:32" x14ac:dyDescent="0.25">
      <c r="A600" t="s">
        <v>604</v>
      </c>
      <c r="B600" s="4">
        <v>45726</v>
      </c>
      <c r="C600" t="s">
        <v>1461</v>
      </c>
      <c r="D600" t="s">
        <v>1479</v>
      </c>
      <c r="E600" s="4">
        <v>45751</v>
      </c>
      <c r="F600">
        <v>25</v>
      </c>
      <c r="G600" t="s">
        <v>639</v>
      </c>
      <c r="H600" t="s">
        <v>644</v>
      </c>
      <c r="I600" t="s">
        <v>658</v>
      </c>
      <c r="J600" t="s">
        <v>1495</v>
      </c>
      <c r="K600" t="s">
        <v>693</v>
      </c>
      <c r="L600" t="s">
        <v>703</v>
      </c>
      <c r="M600" t="s">
        <v>714</v>
      </c>
      <c r="N600" t="s">
        <v>720</v>
      </c>
      <c r="O600" t="s">
        <v>1321</v>
      </c>
      <c r="P600">
        <v>783.72</v>
      </c>
      <c r="Q600">
        <v>1355.94</v>
      </c>
      <c r="R600" t="s">
        <v>1496</v>
      </c>
      <c r="S600" s="31">
        <v>0.187</v>
      </c>
      <c r="T600">
        <v>4</v>
      </c>
      <c r="U600">
        <v>4409.5168800000001</v>
      </c>
      <c r="V600">
        <v>97956.750180000003</v>
      </c>
      <c r="W600">
        <v>3134.88</v>
      </c>
      <c r="X600">
        <v>1274.63688</v>
      </c>
      <c r="Y600" s="31">
        <v>0.28906497348525856</v>
      </c>
      <c r="Z600">
        <v>202503</v>
      </c>
      <c r="AA600">
        <v>202303</v>
      </c>
      <c r="AB600" t="s">
        <v>1469</v>
      </c>
      <c r="AC600">
        <v>24</v>
      </c>
      <c r="AD600" t="s">
        <v>1484</v>
      </c>
      <c r="AE600">
        <v>0</v>
      </c>
      <c r="AF600">
        <v>0</v>
      </c>
    </row>
    <row r="601" spans="1:32" x14ac:dyDescent="0.25">
      <c r="A601" t="s">
        <v>605</v>
      </c>
      <c r="B601" s="4">
        <v>45521</v>
      </c>
      <c r="C601" t="s">
        <v>1474</v>
      </c>
      <c r="D601" t="s">
        <v>1481</v>
      </c>
      <c r="E601" s="4">
        <v>45523</v>
      </c>
      <c r="F601">
        <v>2</v>
      </c>
      <c r="G601" t="s">
        <v>640</v>
      </c>
      <c r="H601" t="s">
        <v>647</v>
      </c>
      <c r="I601" t="s">
        <v>684</v>
      </c>
      <c r="J601" t="s">
        <v>1522</v>
      </c>
      <c r="K601" t="s">
        <v>696</v>
      </c>
      <c r="L601" t="s">
        <v>703</v>
      </c>
      <c r="M601" t="s">
        <v>716</v>
      </c>
      <c r="N601" t="s">
        <v>724</v>
      </c>
      <c r="O601" t="s">
        <v>1322</v>
      </c>
      <c r="P601">
        <v>165.3</v>
      </c>
      <c r="Q601">
        <v>275.07</v>
      </c>
      <c r="R601" t="s">
        <v>1490</v>
      </c>
      <c r="S601" s="31">
        <v>0.13300000000000001</v>
      </c>
      <c r="T601">
        <v>25</v>
      </c>
      <c r="U601">
        <v>5962.1422499999999</v>
      </c>
      <c r="V601">
        <v>97956.750180000003</v>
      </c>
      <c r="W601">
        <v>4132.5</v>
      </c>
      <c r="X601">
        <v>1829.6422499999999</v>
      </c>
      <c r="Y601" s="31">
        <v>0.30687665159280625</v>
      </c>
      <c r="Z601">
        <v>202408</v>
      </c>
      <c r="AA601">
        <v>202301</v>
      </c>
      <c r="AB601" t="s">
        <v>1448</v>
      </c>
      <c r="AC601">
        <v>19</v>
      </c>
      <c r="AD601" t="s">
        <v>1483</v>
      </c>
      <c r="AE601">
        <v>1</v>
      </c>
      <c r="AF601">
        <v>0</v>
      </c>
    </row>
    <row r="602" spans="1:32" x14ac:dyDescent="0.25">
      <c r="A602" t="s">
        <v>606</v>
      </c>
      <c r="B602" s="4">
        <v>45360</v>
      </c>
      <c r="C602" t="s">
        <v>1470</v>
      </c>
      <c r="D602" t="s">
        <v>1479</v>
      </c>
      <c r="E602" s="4">
        <v>45373</v>
      </c>
      <c r="F602">
        <v>13</v>
      </c>
      <c r="G602" t="s">
        <v>641</v>
      </c>
      <c r="H602" t="s">
        <v>650</v>
      </c>
      <c r="I602" t="s">
        <v>685</v>
      </c>
      <c r="J602" t="s">
        <v>1523</v>
      </c>
      <c r="K602" t="s">
        <v>696</v>
      </c>
      <c r="L602" t="s">
        <v>700</v>
      </c>
      <c r="M602" t="s">
        <v>710</v>
      </c>
      <c r="N602" t="s">
        <v>723</v>
      </c>
      <c r="O602" t="s">
        <v>1323</v>
      </c>
      <c r="P602">
        <v>985.45</v>
      </c>
      <c r="Q602">
        <v>1802.44</v>
      </c>
      <c r="R602" t="s">
        <v>1496</v>
      </c>
      <c r="S602" s="31">
        <v>8.9999999999999993E-3</v>
      </c>
      <c r="T602">
        <v>19</v>
      </c>
      <c r="U602">
        <v>33938.142760000002</v>
      </c>
      <c r="V602">
        <v>97956.750180000003</v>
      </c>
      <c r="W602">
        <v>18723.55</v>
      </c>
      <c r="X602">
        <v>15214.592760000003</v>
      </c>
      <c r="Y602" s="31">
        <v>0.44830363486867486</v>
      </c>
      <c r="Z602">
        <v>202403</v>
      </c>
      <c r="AA602">
        <v>202301</v>
      </c>
      <c r="AB602" t="s">
        <v>1469</v>
      </c>
      <c r="AC602">
        <v>14</v>
      </c>
      <c r="AD602" t="s">
        <v>1484</v>
      </c>
      <c r="AE602">
        <v>0</v>
      </c>
      <c r="AF602">
        <v>0</v>
      </c>
    </row>
    <row r="603" spans="1:32" x14ac:dyDescent="0.25">
      <c r="A603" t="s">
        <v>607</v>
      </c>
      <c r="B603" s="4">
        <v>45523</v>
      </c>
      <c r="C603" t="s">
        <v>1474</v>
      </c>
      <c r="D603" t="s">
        <v>1481</v>
      </c>
      <c r="E603" s="4">
        <v>45537</v>
      </c>
      <c r="F603">
        <v>14</v>
      </c>
      <c r="G603" t="s">
        <v>640</v>
      </c>
      <c r="H603" t="s">
        <v>645</v>
      </c>
      <c r="I603" t="s">
        <v>659</v>
      </c>
      <c r="J603" t="s">
        <v>1497</v>
      </c>
      <c r="K603" t="s">
        <v>696</v>
      </c>
      <c r="L603" t="s">
        <v>702</v>
      </c>
      <c r="M603" t="s">
        <v>704</v>
      </c>
      <c r="N603" t="s">
        <v>720</v>
      </c>
      <c r="O603" t="s">
        <v>1324</v>
      </c>
      <c r="P603">
        <v>1337.01</v>
      </c>
      <c r="Q603">
        <v>1269.78</v>
      </c>
      <c r="R603" t="s">
        <v>1492</v>
      </c>
      <c r="S603" s="31">
        <v>0.16</v>
      </c>
      <c r="T603">
        <v>7</v>
      </c>
      <c r="U603">
        <v>7466.3063999999986</v>
      </c>
      <c r="V603">
        <v>97956.750180000003</v>
      </c>
      <c r="W603">
        <v>9359.07</v>
      </c>
      <c r="X603">
        <v>-1892.7636000000011</v>
      </c>
      <c r="Y603" s="31">
        <v>-0.25350735672996244</v>
      </c>
      <c r="Z603">
        <v>202408</v>
      </c>
      <c r="AA603">
        <v>202301</v>
      </c>
      <c r="AB603" t="s">
        <v>1448</v>
      </c>
      <c r="AC603">
        <v>19</v>
      </c>
      <c r="AD603" t="s">
        <v>1484</v>
      </c>
      <c r="AE603">
        <v>0</v>
      </c>
      <c r="AF603">
        <v>0</v>
      </c>
    </row>
    <row r="604" spans="1:32" x14ac:dyDescent="0.25">
      <c r="A604" t="s">
        <v>608</v>
      </c>
      <c r="B604" s="4">
        <v>45880</v>
      </c>
      <c r="C604" t="s">
        <v>1449</v>
      </c>
      <c r="D604" t="s">
        <v>1481</v>
      </c>
      <c r="E604" s="4">
        <v>45897</v>
      </c>
      <c r="F604">
        <v>17</v>
      </c>
      <c r="G604" t="s">
        <v>641</v>
      </c>
      <c r="H604" t="s">
        <v>649</v>
      </c>
      <c r="I604" t="s">
        <v>682</v>
      </c>
      <c r="J604" t="s">
        <v>1520</v>
      </c>
      <c r="K604" t="s">
        <v>694</v>
      </c>
      <c r="L604" t="s">
        <v>700</v>
      </c>
      <c r="M604" t="s">
        <v>713</v>
      </c>
      <c r="N604" t="s">
        <v>721</v>
      </c>
      <c r="O604" t="s">
        <v>1325</v>
      </c>
      <c r="P604">
        <v>416.16</v>
      </c>
      <c r="Q604">
        <v>571.9</v>
      </c>
      <c r="R604" t="s">
        <v>1490</v>
      </c>
      <c r="S604" s="31">
        <v>7.0999999999999994E-2</v>
      </c>
      <c r="T604">
        <v>2</v>
      </c>
      <c r="U604">
        <v>1062.5902000000001</v>
      </c>
      <c r="V604">
        <v>97956.750180000003</v>
      </c>
      <c r="W604">
        <v>832.32</v>
      </c>
      <c r="X604">
        <v>230.27020000000005</v>
      </c>
      <c r="Y604" s="31">
        <v>0.21670649701079497</v>
      </c>
      <c r="Z604">
        <v>202508</v>
      </c>
      <c r="AA604">
        <v>202301</v>
      </c>
      <c r="AB604" t="s">
        <v>1448</v>
      </c>
      <c r="AC604">
        <v>31</v>
      </c>
      <c r="AD604" t="s">
        <v>1484</v>
      </c>
      <c r="AE604">
        <v>0</v>
      </c>
      <c r="AF604">
        <v>0</v>
      </c>
    </row>
    <row r="605" spans="1:32" x14ac:dyDescent="0.25">
      <c r="A605" t="s">
        <v>609</v>
      </c>
      <c r="B605" s="4">
        <v>45793</v>
      </c>
      <c r="C605" t="s">
        <v>1471</v>
      </c>
      <c r="D605" t="s">
        <v>1480</v>
      </c>
      <c r="E605" s="4">
        <v>45795</v>
      </c>
      <c r="F605">
        <v>2</v>
      </c>
      <c r="G605" t="s">
        <v>639</v>
      </c>
      <c r="H605" t="s">
        <v>644</v>
      </c>
      <c r="I605" t="s">
        <v>681</v>
      </c>
      <c r="J605" t="s">
        <v>1519</v>
      </c>
      <c r="K605" t="s">
        <v>698</v>
      </c>
      <c r="L605" t="s">
        <v>699</v>
      </c>
      <c r="M605" t="s">
        <v>705</v>
      </c>
      <c r="N605" t="s">
        <v>720</v>
      </c>
      <c r="O605" t="s">
        <v>1326</v>
      </c>
      <c r="P605">
        <v>1144.3800000000001</v>
      </c>
      <c r="Q605">
        <v>2755.04</v>
      </c>
      <c r="R605" t="s">
        <v>1492</v>
      </c>
      <c r="S605" s="31">
        <v>0.15</v>
      </c>
      <c r="T605">
        <v>17</v>
      </c>
      <c r="U605">
        <v>39810.328000000001</v>
      </c>
      <c r="V605">
        <v>97956.750180000003</v>
      </c>
      <c r="W605">
        <v>19454.460000000003</v>
      </c>
      <c r="X605">
        <v>20355.867999999999</v>
      </c>
      <c r="Y605" s="31">
        <v>0.51132128326096682</v>
      </c>
      <c r="Z605">
        <v>202505</v>
      </c>
      <c r="AA605">
        <v>202303</v>
      </c>
      <c r="AB605" t="s">
        <v>1462</v>
      </c>
      <c r="AC605">
        <v>26</v>
      </c>
      <c r="AD605" t="s">
        <v>1483</v>
      </c>
      <c r="AE605">
        <v>1</v>
      </c>
      <c r="AF605">
        <v>0</v>
      </c>
    </row>
    <row r="606" spans="1:32" x14ac:dyDescent="0.25">
      <c r="A606" t="s">
        <v>610</v>
      </c>
      <c r="B606" s="4">
        <v>45026</v>
      </c>
      <c r="C606" t="s">
        <v>1446</v>
      </c>
      <c r="D606" t="s">
        <v>1480</v>
      </c>
      <c r="E606" s="4">
        <v>45041</v>
      </c>
      <c r="F606">
        <v>15</v>
      </c>
      <c r="G606" t="s">
        <v>641</v>
      </c>
      <c r="H606" t="s">
        <v>650</v>
      </c>
      <c r="I606" t="s">
        <v>675</v>
      </c>
      <c r="J606" t="s">
        <v>1513</v>
      </c>
      <c r="K606" t="s">
        <v>697</v>
      </c>
      <c r="L606" t="s">
        <v>699</v>
      </c>
      <c r="M606" t="s">
        <v>718</v>
      </c>
      <c r="N606" t="s">
        <v>720</v>
      </c>
      <c r="O606" t="s">
        <v>1327</v>
      </c>
      <c r="P606">
        <v>405.66</v>
      </c>
      <c r="Q606">
        <v>962.51</v>
      </c>
      <c r="R606" t="s">
        <v>1490</v>
      </c>
      <c r="S606" s="31">
        <v>0.19</v>
      </c>
      <c r="T606">
        <v>7</v>
      </c>
      <c r="U606">
        <v>5457.4317000000001</v>
      </c>
      <c r="V606">
        <v>97956.750180000003</v>
      </c>
      <c r="W606">
        <v>2839.6200000000003</v>
      </c>
      <c r="X606">
        <v>2617.8116999999997</v>
      </c>
      <c r="Y606" s="31">
        <v>0.47967832561239376</v>
      </c>
      <c r="Z606">
        <v>202304</v>
      </c>
      <c r="AA606">
        <v>202301</v>
      </c>
      <c r="AB606" t="s">
        <v>1446</v>
      </c>
      <c r="AC606">
        <v>3</v>
      </c>
      <c r="AD606" t="s">
        <v>1484</v>
      </c>
      <c r="AE606">
        <v>0</v>
      </c>
      <c r="AF606">
        <v>0</v>
      </c>
    </row>
    <row r="607" spans="1:32" x14ac:dyDescent="0.25">
      <c r="A607" t="s">
        <v>611</v>
      </c>
      <c r="B607" s="4">
        <v>45186</v>
      </c>
      <c r="C607" t="s">
        <v>1465</v>
      </c>
      <c r="D607" t="s">
        <v>1481</v>
      </c>
      <c r="E607" s="4">
        <v>45201</v>
      </c>
      <c r="F607">
        <v>15</v>
      </c>
      <c r="G607" t="s">
        <v>640</v>
      </c>
      <c r="H607" t="s">
        <v>647</v>
      </c>
      <c r="I607" t="s">
        <v>684</v>
      </c>
      <c r="J607" t="s">
        <v>1522</v>
      </c>
      <c r="K607" t="s">
        <v>697</v>
      </c>
      <c r="L607" t="s">
        <v>699</v>
      </c>
      <c r="M607" t="s">
        <v>709</v>
      </c>
      <c r="N607" t="s">
        <v>723</v>
      </c>
      <c r="O607" t="s">
        <v>1328</v>
      </c>
      <c r="P607">
        <v>689.33</v>
      </c>
      <c r="Q607">
        <v>668.27</v>
      </c>
      <c r="R607" t="s">
        <v>1496</v>
      </c>
      <c r="S607" s="31">
        <v>0.186</v>
      </c>
      <c r="T607">
        <v>13</v>
      </c>
      <c r="U607">
        <v>7071.6331400000008</v>
      </c>
      <c r="V607">
        <v>97956.750180000003</v>
      </c>
      <c r="W607">
        <v>8961.2900000000009</v>
      </c>
      <c r="X607">
        <v>-1889.6568600000001</v>
      </c>
      <c r="Y607" s="31">
        <v>-0.26721647214861033</v>
      </c>
      <c r="Z607">
        <v>202309</v>
      </c>
      <c r="AA607">
        <v>202301</v>
      </c>
      <c r="AB607" t="s">
        <v>1465</v>
      </c>
      <c r="AC607">
        <v>8</v>
      </c>
      <c r="AD607" t="s">
        <v>1484</v>
      </c>
      <c r="AE607">
        <v>0</v>
      </c>
      <c r="AF607">
        <v>0</v>
      </c>
    </row>
    <row r="608" spans="1:32" x14ac:dyDescent="0.25">
      <c r="A608" t="s">
        <v>612</v>
      </c>
      <c r="B608" s="4">
        <v>45038</v>
      </c>
      <c r="C608" t="s">
        <v>1446</v>
      </c>
      <c r="D608" t="s">
        <v>1480</v>
      </c>
      <c r="E608" s="4">
        <v>45060</v>
      </c>
      <c r="F608">
        <v>22</v>
      </c>
      <c r="G608" t="s">
        <v>639</v>
      </c>
      <c r="H608" t="s">
        <v>644</v>
      </c>
      <c r="I608" t="s">
        <v>686</v>
      </c>
      <c r="J608" t="s">
        <v>1524</v>
      </c>
      <c r="K608" t="s">
        <v>698</v>
      </c>
      <c r="L608" t="s">
        <v>699</v>
      </c>
      <c r="M608" t="s">
        <v>712</v>
      </c>
      <c r="N608" t="s">
        <v>725</v>
      </c>
      <c r="O608" t="s">
        <v>1329</v>
      </c>
      <c r="P608">
        <v>1209.22</v>
      </c>
      <c r="Q608">
        <v>1404.33</v>
      </c>
      <c r="R608" t="s">
        <v>1492</v>
      </c>
      <c r="S608" s="31">
        <v>0.10299999999999999</v>
      </c>
      <c r="T608">
        <v>11</v>
      </c>
      <c r="U608">
        <v>13856.52411</v>
      </c>
      <c r="V608">
        <v>97956.750180000003</v>
      </c>
      <c r="W608">
        <v>13301.42</v>
      </c>
      <c r="X608">
        <v>555.10411000000022</v>
      </c>
      <c r="Y608" s="31">
        <v>4.0060848275751328E-2</v>
      </c>
      <c r="Z608">
        <v>202304</v>
      </c>
      <c r="AA608">
        <v>202303</v>
      </c>
      <c r="AB608" t="s">
        <v>1446</v>
      </c>
      <c r="AC608">
        <v>1</v>
      </c>
      <c r="AD608" t="s">
        <v>1484</v>
      </c>
      <c r="AE608">
        <v>0</v>
      </c>
      <c r="AF608">
        <v>0</v>
      </c>
    </row>
    <row r="609" spans="1:32" x14ac:dyDescent="0.25">
      <c r="A609" t="s">
        <v>613</v>
      </c>
      <c r="B609" s="4">
        <v>45827</v>
      </c>
      <c r="C609" t="s">
        <v>1460</v>
      </c>
      <c r="D609" t="s">
        <v>1480</v>
      </c>
      <c r="E609" s="4">
        <v>45829</v>
      </c>
      <c r="F609">
        <v>2</v>
      </c>
      <c r="G609" t="s">
        <v>638</v>
      </c>
      <c r="H609" t="s">
        <v>653</v>
      </c>
      <c r="I609" t="s">
        <v>674</v>
      </c>
      <c r="J609" t="s">
        <v>1512</v>
      </c>
      <c r="K609" t="s">
        <v>697</v>
      </c>
      <c r="L609" t="s">
        <v>1413</v>
      </c>
      <c r="M609" t="s">
        <v>714</v>
      </c>
      <c r="N609" t="s">
        <v>722</v>
      </c>
      <c r="O609" t="s">
        <v>1330</v>
      </c>
      <c r="P609">
        <v>1466.27</v>
      </c>
      <c r="Q609">
        <v>3589.89</v>
      </c>
      <c r="R609" t="s">
        <v>1492</v>
      </c>
      <c r="S609" s="31">
        <v>9.7000000000000003E-2</v>
      </c>
      <c r="T609">
        <v>9</v>
      </c>
      <c r="U609">
        <v>29175.036029999999</v>
      </c>
      <c r="V609">
        <v>97956.750180000003</v>
      </c>
      <c r="W609">
        <v>13196.43</v>
      </c>
      <c r="X609">
        <v>15978.606029999999</v>
      </c>
      <c r="Y609" s="31">
        <v>0.54768076425234147</v>
      </c>
      <c r="Z609">
        <v>202506</v>
      </c>
      <c r="AA609">
        <v>202301</v>
      </c>
      <c r="AB609" t="s">
        <v>1458</v>
      </c>
      <c r="AC609">
        <v>29</v>
      </c>
      <c r="AD609" t="s">
        <v>1483</v>
      </c>
      <c r="AE609">
        <v>1</v>
      </c>
      <c r="AF609">
        <v>0</v>
      </c>
    </row>
    <row r="610" spans="1:32" x14ac:dyDescent="0.25">
      <c r="A610" t="s">
        <v>614</v>
      </c>
      <c r="B610" s="4">
        <v>45623</v>
      </c>
      <c r="C610" t="s">
        <v>1472</v>
      </c>
      <c r="D610" t="s">
        <v>1482</v>
      </c>
      <c r="E610" s="4">
        <v>45650</v>
      </c>
      <c r="F610">
        <v>27</v>
      </c>
      <c r="G610" t="s">
        <v>638</v>
      </c>
      <c r="H610" t="s">
        <v>642</v>
      </c>
      <c r="I610" t="s">
        <v>667</v>
      </c>
      <c r="J610" t="s">
        <v>1505</v>
      </c>
      <c r="K610" t="s">
        <v>693</v>
      </c>
      <c r="L610" t="s">
        <v>702</v>
      </c>
      <c r="M610" t="s">
        <v>709</v>
      </c>
      <c r="N610" t="s">
        <v>720</v>
      </c>
      <c r="O610" t="s">
        <v>1331</v>
      </c>
      <c r="P610">
        <v>143.33000000000001</v>
      </c>
      <c r="Q610">
        <v>233.51</v>
      </c>
      <c r="R610" t="s">
        <v>1490</v>
      </c>
      <c r="S610" s="31">
        <v>0.16300000000000001</v>
      </c>
      <c r="T610">
        <v>14</v>
      </c>
      <c r="U610">
        <v>2736.27018</v>
      </c>
      <c r="V610">
        <v>97956.750180000003</v>
      </c>
      <c r="W610">
        <v>2006.6200000000001</v>
      </c>
      <c r="X610">
        <v>729.65017999999986</v>
      </c>
      <c r="Y610" s="31">
        <v>0.26665867476580835</v>
      </c>
      <c r="Z610">
        <v>202411</v>
      </c>
      <c r="AA610">
        <v>202301</v>
      </c>
      <c r="AB610" t="s">
        <v>1475</v>
      </c>
      <c r="AC610">
        <v>22</v>
      </c>
      <c r="AD610" t="s">
        <v>1484</v>
      </c>
      <c r="AE610">
        <v>0</v>
      </c>
      <c r="AF610">
        <v>0</v>
      </c>
    </row>
    <row r="611" spans="1:32" x14ac:dyDescent="0.25">
      <c r="A611" t="s">
        <v>615</v>
      </c>
      <c r="B611" s="4">
        <v>45319</v>
      </c>
      <c r="C611" t="s">
        <v>1454</v>
      </c>
      <c r="D611" t="s">
        <v>1479</v>
      </c>
      <c r="E611" s="4">
        <v>45320</v>
      </c>
      <c r="F611">
        <v>1</v>
      </c>
      <c r="G611" t="s">
        <v>638</v>
      </c>
      <c r="H611" t="s">
        <v>653</v>
      </c>
      <c r="I611" t="s">
        <v>687</v>
      </c>
      <c r="J611" t="s">
        <v>1525</v>
      </c>
      <c r="K611" t="s">
        <v>698</v>
      </c>
      <c r="L611" t="s">
        <v>703</v>
      </c>
      <c r="M611" t="s">
        <v>711</v>
      </c>
      <c r="N611" t="s">
        <v>719</v>
      </c>
      <c r="O611" t="s">
        <v>1332</v>
      </c>
      <c r="P611">
        <v>109.75</v>
      </c>
      <c r="Q611">
        <v>124.25</v>
      </c>
      <c r="R611" t="s">
        <v>1490</v>
      </c>
      <c r="S611" s="31">
        <v>0.12</v>
      </c>
      <c r="T611">
        <v>19</v>
      </c>
      <c r="U611">
        <v>2077.46</v>
      </c>
      <c r="V611">
        <v>97956.750180000003</v>
      </c>
      <c r="W611">
        <v>2085.25</v>
      </c>
      <c r="X611">
        <v>-7.7899999999999636</v>
      </c>
      <c r="Y611" s="31">
        <v>-3.7497713554051405E-3</v>
      </c>
      <c r="Z611">
        <v>202401</v>
      </c>
      <c r="AA611">
        <v>202301</v>
      </c>
      <c r="AB611" t="s">
        <v>1477</v>
      </c>
      <c r="AC611">
        <v>12</v>
      </c>
      <c r="AD611" t="s">
        <v>1483</v>
      </c>
      <c r="AE611">
        <v>1</v>
      </c>
      <c r="AF611">
        <v>0</v>
      </c>
    </row>
    <row r="612" spans="1:32" x14ac:dyDescent="0.25">
      <c r="A612" t="s">
        <v>616</v>
      </c>
      <c r="B612" s="4">
        <v>45032</v>
      </c>
      <c r="C612" t="s">
        <v>1446</v>
      </c>
      <c r="D612" t="s">
        <v>1480</v>
      </c>
      <c r="E612" s="4">
        <v>45039</v>
      </c>
      <c r="F612">
        <v>7</v>
      </c>
      <c r="G612" t="s">
        <v>640</v>
      </c>
      <c r="H612" t="s">
        <v>652</v>
      </c>
      <c r="I612" t="s">
        <v>689</v>
      </c>
      <c r="J612" t="s">
        <v>1528</v>
      </c>
      <c r="K612" t="s">
        <v>693</v>
      </c>
      <c r="L612" t="s">
        <v>702</v>
      </c>
      <c r="M612" t="s">
        <v>711</v>
      </c>
      <c r="N612" t="s">
        <v>720</v>
      </c>
      <c r="O612" t="s">
        <v>1333</v>
      </c>
      <c r="P612">
        <v>1099.1500000000001</v>
      </c>
      <c r="Q612">
        <v>1431.37</v>
      </c>
      <c r="R612" t="s">
        <v>1492</v>
      </c>
      <c r="S612" s="31">
        <v>0.104</v>
      </c>
      <c r="T612">
        <v>8</v>
      </c>
      <c r="U612">
        <v>10260.060159999999</v>
      </c>
      <c r="V612">
        <v>95879.290179999996</v>
      </c>
      <c r="W612">
        <v>8793.2000000000007</v>
      </c>
      <c r="X612">
        <v>1466.8601599999984</v>
      </c>
      <c r="Y612" s="31">
        <v>0.14296798821109433</v>
      </c>
      <c r="Z612">
        <v>202304</v>
      </c>
      <c r="AA612">
        <v>202301</v>
      </c>
      <c r="AB612" t="s">
        <v>1446</v>
      </c>
      <c r="AC612">
        <v>3</v>
      </c>
      <c r="AD612" t="s">
        <v>1483</v>
      </c>
      <c r="AE612">
        <v>1</v>
      </c>
      <c r="AF612">
        <v>0</v>
      </c>
    </row>
    <row r="613" spans="1:32" x14ac:dyDescent="0.25">
      <c r="A613" t="s">
        <v>617</v>
      </c>
      <c r="B613" s="4">
        <v>45323</v>
      </c>
      <c r="C613" t="s">
        <v>1452</v>
      </c>
      <c r="D613" t="s">
        <v>1479</v>
      </c>
      <c r="E613" s="4">
        <v>45323</v>
      </c>
      <c r="F613">
        <v>0</v>
      </c>
      <c r="G613" t="s">
        <v>640</v>
      </c>
      <c r="H613" t="s">
        <v>652</v>
      </c>
      <c r="I613" t="s">
        <v>689</v>
      </c>
      <c r="J613" t="s">
        <v>1528</v>
      </c>
      <c r="K613" t="s">
        <v>696</v>
      </c>
      <c r="L613" t="s">
        <v>702</v>
      </c>
      <c r="M613" t="s">
        <v>714</v>
      </c>
      <c r="N613" t="s">
        <v>720</v>
      </c>
      <c r="O613" t="s">
        <v>1334</v>
      </c>
      <c r="P613">
        <v>714.43</v>
      </c>
      <c r="Q613">
        <v>1595.52</v>
      </c>
      <c r="R613" t="s">
        <v>1496</v>
      </c>
      <c r="S613" s="31">
        <v>0.19400000000000001</v>
      </c>
      <c r="T613">
        <v>14</v>
      </c>
      <c r="U613">
        <v>18003.847679999999</v>
      </c>
      <c r="V613">
        <v>95879.290179999996</v>
      </c>
      <c r="W613">
        <v>10002.019999999999</v>
      </c>
      <c r="X613">
        <v>8001.8276800000003</v>
      </c>
      <c r="Y613" s="31">
        <v>0.44445097638151093</v>
      </c>
      <c r="Z613">
        <v>202402</v>
      </c>
      <c r="AA613">
        <v>202301</v>
      </c>
      <c r="AB613" t="s">
        <v>1451</v>
      </c>
      <c r="AC613">
        <v>13</v>
      </c>
      <c r="AD613" t="s">
        <v>1483</v>
      </c>
      <c r="AE613">
        <v>1</v>
      </c>
      <c r="AF613">
        <v>0</v>
      </c>
    </row>
    <row r="614" spans="1:32" x14ac:dyDescent="0.25">
      <c r="A614" t="s">
        <v>618</v>
      </c>
      <c r="B614" s="4">
        <v>45584</v>
      </c>
      <c r="C614" t="s">
        <v>1464</v>
      </c>
      <c r="D614" t="s">
        <v>1482</v>
      </c>
      <c r="E614" s="4">
        <v>45602</v>
      </c>
      <c r="F614">
        <v>18</v>
      </c>
      <c r="G614" t="s">
        <v>640</v>
      </c>
      <c r="H614" t="s">
        <v>652</v>
      </c>
      <c r="I614" t="s">
        <v>669</v>
      </c>
      <c r="J614" t="s">
        <v>1507</v>
      </c>
      <c r="K614" t="s">
        <v>694</v>
      </c>
      <c r="L614" t="s">
        <v>1413</v>
      </c>
      <c r="M614" t="s">
        <v>704</v>
      </c>
      <c r="N614" t="s">
        <v>724</v>
      </c>
      <c r="O614" t="s">
        <v>1335</v>
      </c>
      <c r="P614">
        <v>942.02</v>
      </c>
      <c r="Q614">
        <v>1028.46</v>
      </c>
      <c r="R614" t="s">
        <v>1496</v>
      </c>
      <c r="S614" s="31">
        <v>0</v>
      </c>
      <c r="T614">
        <v>9</v>
      </c>
      <c r="U614">
        <v>9256.14</v>
      </c>
      <c r="V614">
        <v>95879.290179999996</v>
      </c>
      <c r="W614">
        <v>8478.18</v>
      </c>
      <c r="X614">
        <v>777.95999999999913</v>
      </c>
      <c r="Y614" s="31">
        <v>8.4047994088248354E-2</v>
      </c>
      <c r="Z614">
        <v>202410</v>
      </c>
      <c r="AA614">
        <v>202301</v>
      </c>
      <c r="AB614" t="s">
        <v>1476</v>
      </c>
      <c r="AC614">
        <v>21</v>
      </c>
      <c r="AD614" t="s">
        <v>1484</v>
      </c>
      <c r="AE614">
        <v>0</v>
      </c>
      <c r="AF614">
        <v>0</v>
      </c>
    </row>
    <row r="615" spans="1:32" x14ac:dyDescent="0.25">
      <c r="A615" t="s">
        <v>619</v>
      </c>
      <c r="B615" s="4">
        <v>45468</v>
      </c>
      <c r="C615" t="s">
        <v>1459</v>
      </c>
      <c r="D615" t="s">
        <v>1480</v>
      </c>
      <c r="E615" s="4">
        <v>45473</v>
      </c>
      <c r="F615">
        <v>5</v>
      </c>
      <c r="G615" t="s">
        <v>638</v>
      </c>
      <c r="H615" t="s">
        <v>642</v>
      </c>
      <c r="I615" t="s">
        <v>654</v>
      </c>
      <c r="J615" t="s">
        <v>1489</v>
      </c>
      <c r="K615" t="s">
        <v>694</v>
      </c>
      <c r="L615" t="s">
        <v>703</v>
      </c>
      <c r="M615" t="s">
        <v>716</v>
      </c>
      <c r="N615" t="s">
        <v>721</v>
      </c>
      <c r="O615" t="s">
        <v>1336</v>
      </c>
      <c r="P615">
        <v>1323.55</v>
      </c>
      <c r="Q615">
        <v>3230.35</v>
      </c>
      <c r="R615" t="s">
        <v>1492</v>
      </c>
      <c r="S615" s="31">
        <v>2.1999999999999999E-2</v>
      </c>
      <c r="T615">
        <v>26</v>
      </c>
      <c r="U615">
        <v>82141.339799999987</v>
      </c>
      <c r="V615">
        <v>95879.290179999996</v>
      </c>
      <c r="W615">
        <v>34412.299999999996</v>
      </c>
      <c r="X615">
        <v>47729.039799999991</v>
      </c>
      <c r="Y615" s="31">
        <v>0.58105991351263542</v>
      </c>
      <c r="Z615">
        <v>202406</v>
      </c>
      <c r="AA615">
        <v>202301</v>
      </c>
      <c r="AB615" t="s">
        <v>1458</v>
      </c>
      <c r="AC615">
        <v>17</v>
      </c>
      <c r="AD615" t="s">
        <v>1483</v>
      </c>
      <c r="AE615">
        <v>1</v>
      </c>
      <c r="AF615">
        <v>0</v>
      </c>
    </row>
    <row r="616" spans="1:32" x14ac:dyDescent="0.25">
      <c r="A616" t="s">
        <v>620</v>
      </c>
      <c r="B616" s="4">
        <v>45137</v>
      </c>
      <c r="C616" t="s">
        <v>1468</v>
      </c>
      <c r="D616" t="s">
        <v>1481</v>
      </c>
      <c r="E616" s="4">
        <v>45157</v>
      </c>
      <c r="F616">
        <v>20</v>
      </c>
      <c r="G616" t="s">
        <v>641</v>
      </c>
      <c r="H616" t="s">
        <v>649</v>
      </c>
      <c r="I616" t="s">
        <v>682</v>
      </c>
      <c r="J616" t="s">
        <v>1520</v>
      </c>
      <c r="K616" t="s">
        <v>698</v>
      </c>
      <c r="L616" t="s">
        <v>701</v>
      </c>
      <c r="M616" t="s">
        <v>707</v>
      </c>
      <c r="N616" t="s">
        <v>721</v>
      </c>
      <c r="O616" t="s">
        <v>1337</v>
      </c>
      <c r="P616">
        <v>1418.51</v>
      </c>
      <c r="Q616">
        <v>2789.61</v>
      </c>
      <c r="R616" t="s">
        <v>1492</v>
      </c>
      <c r="S616" s="31">
        <v>0.17100000000000001</v>
      </c>
      <c r="T616">
        <v>8</v>
      </c>
      <c r="U616">
        <v>18500.693520000001</v>
      </c>
      <c r="V616">
        <v>95879.290179999996</v>
      </c>
      <c r="W616">
        <v>11348.08</v>
      </c>
      <c r="X616">
        <v>7152.6135200000008</v>
      </c>
      <c r="Y616" s="31">
        <v>0.38661326464695689</v>
      </c>
      <c r="Z616">
        <v>202307</v>
      </c>
      <c r="AA616">
        <v>202301</v>
      </c>
      <c r="AB616" t="s">
        <v>1468</v>
      </c>
      <c r="AC616">
        <v>6</v>
      </c>
      <c r="AD616" t="s">
        <v>1484</v>
      </c>
      <c r="AE616">
        <v>0</v>
      </c>
      <c r="AF616">
        <v>0</v>
      </c>
    </row>
    <row r="617" spans="1:32" x14ac:dyDescent="0.25">
      <c r="A617" t="s">
        <v>621</v>
      </c>
      <c r="B617" s="4">
        <v>45727</v>
      </c>
      <c r="C617" t="s">
        <v>1461</v>
      </c>
      <c r="D617" t="s">
        <v>1479</v>
      </c>
      <c r="E617" s="4">
        <v>45743</v>
      </c>
      <c r="F617">
        <v>16</v>
      </c>
      <c r="G617" t="s">
        <v>639</v>
      </c>
      <c r="H617" t="s">
        <v>644</v>
      </c>
      <c r="I617" t="s">
        <v>681</v>
      </c>
      <c r="J617" t="s">
        <v>1519</v>
      </c>
      <c r="K617" t="s">
        <v>698</v>
      </c>
      <c r="L617" t="s">
        <v>702</v>
      </c>
      <c r="M617" t="s">
        <v>709</v>
      </c>
      <c r="N617" t="s">
        <v>720</v>
      </c>
      <c r="O617" t="s">
        <v>1338</v>
      </c>
      <c r="P617">
        <v>1317.58</v>
      </c>
      <c r="Q617">
        <v>1897.74</v>
      </c>
      <c r="R617" t="s">
        <v>1492</v>
      </c>
      <c r="S617" s="31">
        <v>8.1000000000000003E-2</v>
      </c>
      <c r="T617">
        <v>6</v>
      </c>
      <c r="U617">
        <v>10464.138360000001</v>
      </c>
      <c r="V617">
        <v>95879.290179999996</v>
      </c>
      <c r="W617">
        <v>7905.48</v>
      </c>
      <c r="X617">
        <v>2558.6583600000013</v>
      </c>
      <c r="Y617" s="31">
        <v>0.24451687009230266</v>
      </c>
      <c r="Z617">
        <v>202503</v>
      </c>
      <c r="AA617">
        <v>202303</v>
      </c>
      <c r="AB617" t="s">
        <v>1469</v>
      </c>
      <c r="AC617">
        <v>24</v>
      </c>
      <c r="AD617" t="s">
        <v>1484</v>
      </c>
      <c r="AE617">
        <v>0</v>
      </c>
      <c r="AF617">
        <v>0</v>
      </c>
    </row>
    <row r="618" spans="1:32" x14ac:dyDescent="0.25">
      <c r="A618" t="s">
        <v>622</v>
      </c>
      <c r="B618" s="4">
        <v>45208</v>
      </c>
      <c r="C618" t="s">
        <v>1476</v>
      </c>
      <c r="D618" t="s">
        <v>1482</v>
      </c>
      <c r="E618" s="4">
        <v>45210</v>
      </c>
      <c r="F618">
        <v>2</v>
      </c>
      <c r="G618" t="s">
        <v>638</v>
      </c>
      <c r="H618" t="s">
        <v>643</v>
      </c>
      <c r="I618" t="s">
        <v>655</v>
      </c>
      <c r="J618" t="s">
        <v>1491</v>
      </c>
      <c r="K618" t="s">
        <v>694</v>
      </c>
      <c r="L618" t="s">
        <v>701</v>
      </c>
      <c r="M618" t="s">
        <v>715</v>
      </c>
      <c r="N618" t="s">
        <v>721</v>
      </c>
      <c r="O618" t="s">
        <v>1339</v>
      </c>
      <c r="P618">
        <v>391.16</v>
      </c>
      <c r="Q618">
        <v>902.47</v>
      </c>
      <c r="R618" t="s">
        <v>1490</v>
      </c>
      <c r="S618" s="31">
        <v>4.0000000000000001E-3</v>
      </c>
      <c r="T618">
        <v>12</v>
      </c>
      <c r="U618">
        <v>10786.32144</v>
      </c>
      <c r="V618">
        <v>95879.290179999996</v>
      </c>
      <c r="W618">
        <v>4693.92</v>
      </c>
      <c r="X618">
        <v>6092.4014399999996</v>
      </c>
      <c r="Y618" s="31">
        <v>0.56482661618139207</v>
      </c>
      <c r="Z618">
        <v>202310</v>
      </c>
      <c r="AA618">
        <v>202301</v>
      </c>
      <c r="AB618" t="s">
        <v>1476</v>
      </c>
      <c r="AC618">
        <v>9</v>
      </c>
      <c r="AD618" t="s">
        <v>1483</v>
      </c>
      <c r="AE618">
        <v>1</v>
      </c>
      <c r="AF618">
        <v>0</v>
      </c>
    </row>
    <row r="619" spans="1:32" x14ac:dyDescent="0.25">
      <c r="A619" t="s">
        <v>623</v>
      </c>
      <c r="B619" s="4">
        <v>45643</v>
      </c>
      <c r="C619" t="s">
        <v>1478</v>
      </c>
      <c r="D619" t="s">
        <v>1482</v>
      </c>
      <c r="E619" s="4">
        <v>45673</v>
      </c>
      <c r="F619">
        <v>30</v>
      </c>
      <c r="G619" t="s">
        <v>641</v>
      </c>
      <c r="H619" t="s">
        <v>650</v>
      </c>
      <c r="I619" t="s">
        <v>685</v>
      </c>
      <c r="J619" t="s">
        <v>1523</v>
      </c>
      <c r="K619" t="s">
        <v>693</v>
      </c>
      <c r="L619" t="s">
        <v>699</v>
      </c>
      <c r="M619" t="s">
        <v>718</v>
      </c>
      <c r="N619" t="s">
        <v>724</v>
      </c>
      <c r="O619" t="s">
        <v>1340</v>
      </c>
      <c r="P619">
        <v>722.87</v>
      </c>
      <c r="Q619">
        <v>33.659999999999997</v>
      </c>
      <c r="R619" t="s">
        <v>1496</v>
      </c>
      <c r="S619" s="31">
        <v>0.10199999999999999</v>
      </c>
      <c r="T619">
        <v>28</v>
      </c>
      <c r="U619">
        <v>846.34703999999988</v>
      </c>
      <c r="V619">
        <v>95879.290179999996</v>
      </c>
      <c r="W619">
        <v>20240.36</v>
      </c>
      <c r="X619">
        <v>-19394.01296</v>
      </c>
      <c r="Y619" s="31">
        <v>-22.914965189693348</v>
      </c>
      <c r="Z619">
        <v>202412</v>
      </c>
      <c r="AA619">
        <v>202301</v>
      </c>
      <c r="AB619" t="s">
        <v>1450</v>
      </c>
      <c r="AC619">
        <v>23</v>
      </c>
      <c r="AD619" t="s">
        <v>1484</v>
      </c>
      <c r="AE619">
        <v>0</v>
      </c>
      <c r="AF619">
        <v>0</v>
      </c>
    </row>
    <row r="620" spans="1:32" x14ac:dyDescent="0.25">
      <c r="A620" t="s">
        <v>624</v>
      </c>
      <c r="B620" s="4">
        <v>45849</v>
      </c>
      <c r="C620" t="s">
        <v>1457</v>
      </c>
      <c r="D620" t="s">
        <v>1481</v>
      </c>
      <c r="E620" s="4">
        <v>45854</v>
      </c>
      <c r="F620">
        <v>5</v>
      </c>
      <c r="G620" t="s">
        <v>641</v>
      </c>
      <c r="H620" t="s">
        <v>650</v>
      </c>
      <c r="I620" t="s">
        <v>675</v>
      </c>
      <c r="J620" t="s">
        <v>1513</v>
      </c>
      <c r="K620" t="s">
        <v>698</v>
      </c>
      <c r="L620" t="s">
        <v>700</v>
      </c>
      <c r="M620" t="s">
        <v>715</v>
      </c>
      <c r="N620" t="s">
        <v>720</v>
      </c>
      <c r="O620" t="s">
        <v>1341</v>
      </c>
      <c r="P620">
        <v>930.03</v>
      </c>
      <c r="Q620">
        <v>1086.68</v>
      </c>
      <c r="R620" t="s">
        <v>1496</v>
      </c>
      <c r="S620" s="31">
        <v>0.109</v>
      </c>
      <c r="T620">
        <v>26</v>
      </c>
      <c r="U620">
        <v>25174.028880000002</v>
      </c>
      <c r="V620">
        <v>95879.290179999996</v>
      </c>
      <c r="W620">
        <v>24180.78</v>
      </c>
      <c r="X620">
        <v>993.24888000000283</v>
      </c>
      <c r="Y620" s="31">
        <v>3.9455300728168656E-2</v>
      </c>
      <c r="Z620">
        <v>202507</v>
      </c>
      <c r="AA620">
        <v>202301</v>
      </c>
      <c r="AB620" t="s">
        <v>1468</v>
      </c>
      <c r="AC620">
        <v>30</v>
      </c>
      <c r="AD620" t="s">
        <v>1483</v>
      </c>
      <c r="AE620">
        <v>1</v>
      </c>
      <c r="AF620">
        <v>0</v>
      </c>
    </row>
    <row r="621" spans="1:32" x14ac:dyDescent="0.25">
      <c r="A621" t="s">
        <v>625</v>
      </c>
      <c r="B621" s="4">
        <v>45578</v>
      </c>
      <c r="C621" t="s">
        <v>1464</v>
      </c>
      <c r="D621" t="s">
        <v>1482</v>
      </c>
      <c r="E621" s="4">
        <v>45589</v>
      </c>
      <c r="F621">
        <v>11</v>
      </c>
      <c r="G621" t="s">
        <v>641</v>
      </c>
      <c r="H621" t="s">
        <v>649</v>
      </c>
      <c r="I621" t="s">
        <v>682</v>
      </c>
      <c r="J621" t="s">
        <v>1520</v>
      </c>
      <c r="K621" t="s">
        <v>694</v>
      </c>
      <c r="L621" t="s">
        <v>702</v>
      </c>
      <c r="M621" t="s">
        <v>713</v>
      </c>
      <c r="N621" t="s">
        <v>719</v>
      </c>
      <c r="O621" t="s">
        <v>1342</v>
      </c>
      <c r="P621">
        <v>816.7</v>
      </c>
      <c r="Q621">
        <v>1010.75</v>
      </c>
      <c r="R621" t="s">
        <v>1496</v>
      </c>
      <c r="S621" s="31">
        <v>4.7E-2</v>
      </c>
      <c r="T621">
        <v>43</v>
      </c>
      <c r="U621">
        <v>41419.524249999995</v>
      </c>
      <c r="V621">
        <v>95879.290179999996</v>
      </c>
      <c r="W621">
        <v>35118.1</v>
      </c>
      <c r="X621">
        <v>6301.4242499999964</v>
      </c>
      <c r="Y621" s="31">
        <v>0.15213656757537472</v>
      </c>
      <c r="Z621">
        <v>202410</v>
      </c>
      <c r="AA621">
        <v>202301</v>
      </c>
      <c r="AB621" t="s">
        <v>1476</v>
      </c>
      <c r="AC621">
        <v>21</v>
      </c>
      <c r="AD621" t="s">
        <v>1484</v>
      </c>
      <c r="AE621">
        <v>0</v>
      </c>
      <c r="AF621">
        <v>0</v>
      </c>
    </row>
    <row r="622" spans="1:32" x14ac:dyDescent="0.25">
      <c r="A622" t="s">
        <v>626</v>
      </c>
      <c r="B622" s="4">
        <v>45177</v>
      </c>
      <c r="C622" t="s">
        <v>1465</v>
      </c>
      <c r="D622" t="s">
        <v>1481</v>
      </c>
      <c r="E622" s="4">
        <v>45183</v>
      </c>
      <c r="F622">
        <v>6</v>
      </c>
      <c r="G622" t="s">
        <v>638</v>
      </c>
      <c r="H622" t="s">
        <v>642</v>
      </c>
      <c r="I622" t="s">
        <v>670</v>
      </c>
      <c r="J622" t="s">
        <v>1508</v>
      </c>
      <c r="K622" t="s">
        <v>694</v>
      </c>
      <c r="L622" t="s">
        <v>703</v>
      </c>
      <c r="M622" t="s">
        <v>706</v>
      </c>
      <c r="N622" t="s">
        <v>725</v>
      </c>
      <c r="O622" t="s">
        <v>1343</v>
      </c>
      <c r="P622">
        <v>251.03</v>
      </c>
      <c r="Q622">
        <v>411.48</v>
      </c>
      <c r="R622" t="s">
        <v>1490</v>
      </c>
      <c r="S622" s="31">
        <v>0.16500000000000001</v>
      </c>
      <c r="T622">
        <v>3</v>
      </c>
      <c r="U622">
        <v>1030.7574</v>
      </c>
      <c r="V622">
        <v>54459.765930000001</v>
      </c>
      <c r="W622">
        <v>753.09</v>
      </c>
      <c r="X622">
        <v>277.66739999999993</v>
      </c>
      <c r="Y622" s="31">
        <v>0.26938191275658069</v>
      </c>
      <c r="Z622">
        <v>202309</v>
      </c>
      <c r="AA622">
        <v>202301</v>
      </c>
      <c r="AB622" t="s">
        <v>1465</v>
      </c>
      <c r="AC622">
        <v>8</v>
      </c>
      <c r="AD622" t="s">
        <v>1483</v>
      </c>
      <c r="AE622">
        <v>1</v>
      </c>
      <c r="AF622">
        <v>0</v>
      </c>
    </row>
    <row r="623" spans="1:32" x14ac:dyDescent="0.25">
      <c r="A623" t="s">
        <v>627</v>
      </c>
      <c r="B623" s="4">
        <v>45764</v>
      </c>
      <c r="C623" t="s">
        <v>1473</v>
      </c>
      <c r="D623" t="s">
        <v>1480</v>
      </c>
      <c r="E623" s="4">
        <v>45780</v>
      </c>
      <c r="F623">
        <v>16</v>
      </c>
      <c r="G623" t="s">
        <v>640</v>
      </c>
      <c r="H623" t="s">
        <v>647</v>
      </c>
      <c r="I623" t="s">
        <v>684</v>
      </c>
      <c r="J623" t="s">
        <v>1522</v>
      </c>
      <c r="K623" t="s">
        <v>696</v>
      </c>
      <c r="L623" t="s">
        <v>701</v>
      </c>
      <c r="M623" t="s">
        <v>705</v>
      </c>
      <c r="N623" t="s">
        <v>721</v>
      </c>
      <c r="O623" t="s">
        <v>1344</v>
      </c>
      <c r="P623">
        <v>168.68</v>
      </c>
      <c r="Q623">
        <v>413.34</v>
      </c>
      <c r="R623" t="s">
        <v>1490</v>
      </c>
      <c r="S623" s="31">
        <v>0.186</v>
      </c>
      <c r="T623">
        <v>7</v>
      </c>
      <c r="U623">
        <v>2355.2113199999999</v>
      </c>
      <c r="V623">
        <v>54459.765930000001</v>
      </c>
      <c r="W623">
        <v>1180.76</v>
      </c>
      <c r="X623">
        <v>1174.4513199999999</v>
      </c>
      <c r="Y623" s="31">
        <v>0.49866069767361682</v>
      </c>
      <c r="Z623">
        <v>202504</v>
      </c>
      <c r="AA623">
        <v>202301</v>
      </c>
      <c r="AB623" t="s">
        <v>1446</v>
      </c>
      <c r="AC623">
        <v>27</v>
      </c>
      <c r="AD623" t="s">
        <v>1484</v>
      </c>
      <c r="AE623">
        <v>0</v>
      </c>
      <c r="AF623">
        <v>0</v>
      </c>
    </row>
    <row r="624" spans="1:32" x14ac:dyDescent="0.25">
      <c r="A624" t="s">
        <v>628</v>
      </c>
      <c r="B624" s="4">
        <v>45501</v>
      </c>
      <c r="C624" t="s">
        <v>1456</v>
      </c>
      <c r="D624" t="s">
        <v>1481</v>
      </c>
      <c r="E624" s="4">
        <v>45527</v>
      </c>
      <c r="F624">
        <v>26</v>
      </c>
      <c r="G624" t="s">
        <v>639</v>
      </c>
      <c r="H624" t="s">
        <v>646</v>
      </c>
      <c r="I624" t="s">
        <v>688</v>
      </c>
      <c r="J624" t="s">
        <v>1526</v>
      </c>
      <c r="K624" t="s">
        <v>693</v>
      </c>
      <c r="L624" t="s">
        <v>699</v>
      </c>
      <c r="M624" t="s">
        <v>705</v>
      </c>
      <c r="N624" t="s">
        <v>721</v>
      </c>
      <c r="O624" t="s">
        <v>1345</v>
      </c>
      <c r="P624">
        <v>1339.24</v>
      </c>
      <c r="Q624">
        <v>1558.89</v>
      </c>
      <c r="R624" t="s">
        <v>1492</v>
      </c>
      <c r="S624" s="31">
        <v>0.192</v>
      </c>
      <c r="T624">
        <v>24</v>
      </c>
      <c r="U624">
        <v>30229.994880000002</v>
      </c>
      <c r="V624">
        <v>54459.765930000001</v>
      </c>
      <c r="W624">
        <v>32141.760000000002</v>
      </c>
      <c r="X624">
        <v>-1911.76512</v>
      </c>
      <c r="Y624" s="31">
        <v>-6.3240669659021781E-2</v>
      </c>
      <c r="Z624">
        <v>202407</v>
      </c>
      <c r="AA624">
        <v>202301</v>
      </c>
      <c r="AB624" t="s">
        <v>1468</v>
      </c>
      <c r="AC624">
        <v>18</v>
      </c>
      <c r="AD624" t="s">
        <v>1484</v>
      </c>
      <c r="AE624">
        <v>0</v>
      </c>
      <c r="AF624">
        <v>0</v>
      </c>
    </row>
    <row r="625" spans="1:32" x14ac:dyDescent="0.25">
      <c r="A625" t="s">
        <v>629</v>
      </c>
      <c r="B625" s="4">
        <v>45857</v>
      </c>
      <c r="C625" t="s">
        <v>1457</v>
      </c>
      <c r="D625" t="s">
        <v>1481</v>
      </c>
      <c r="E625" s="4">
        <v>45869</v>
      </c>
      <c r="F625">
        <v>12</v>
      </c>
      <c r="G625" t="s">
        <v>638</v>
      </c>
      <c r="H625" t="s">
        <v>642</v>
      </c>
      <c r="I625" t="s">
        <v>656</v>
      </c>
      <c r="J625" t="s">
        <v>1493</v>
      </c>
      <c r="K625" t="s">
        <v>697</v>
      </c>
      <c r="L625" t="s">
        <v>701</v>
      </c>
      <c r="M625" t="s">
        <v>711</v>
      </c>
      <c r="N625" t="s">
        <v>725</v>
      </c>
      <c r="O625" t="s">
        <v>1346</v>
      </c>
      <c r="P625">
        <v>619.64</v>
      </c>
      <c r="Q625">
        <v>861.16</v>
      </c>
      <c r="R625" t="s">
        <v>1496</v>
      </c>
      <c r="S625" s="31">
        <v>0.113</v>
      </c>
      <c r="T625">
        <v>14</v>
      </c>
      <c r="U625">
        <v>10693.88488</v>
      </c>
      <c r="V625">
        <v>54459.765930000001</v>
      </c>
      <c r="W625">
        <v>8674.9599999999991</v>
      </c>
      <c r="X625">
        <v>2018.9248800000005</v>
      </c>
      <c r="Y625" s="31">
        <v>0.18879246435276761</v>
      </c>
      <c r="Z625">
        <v>202507</v>
      </c>
      <c r="AA625">
        <v>202301</v>
      </c>
      <c r="AB625" t="s">
        <v>1468</v>
      </c>
      <c r="AC625">
        <v>30</v>
      </c>
      <c r="AD625" t="s">
        <v>1484</v>
      </c>
      <c r="AE625">
        <v>0</v>
      </c>
      <c r="AF625">
        <v>0</v>
      </c>
    </row>
    <row r="626" spans="1:32" x14ac:dyDescent="0.25">
      <c r="A626" t="s">
        <v>630</v>
      </c>
      <c r="B626" s="4">
        <v>45141</v>
      </c>
      <c r="C626" t="s">
        <v>1448</v>
      </c>
      <c r="D626" t="s">
        <v>1481</v>
      </c>
      <c r="E626" s="4">
        <v>45142</v>
      </c>
      <c r="F626">
        <v>1</v>
      </c>
      <c r="G626" t="s">
        <v>639</v>
      </c>
      <c r="H626" t="s">
        <v>651</v>
      </c>
      <c r="I626" t="s">
        <v>677</v>
      </c>
      <c r="J626" t="s">
        <v>1515</v>
      </c>
      <c r="K626" t="s">
        <v>695</v>
      </c>
      <c r="L626" t="s">
        <v>703</v>
      </c>
      <c r="M626" t="s">
        <v>705</v>
      </c>
      <c r="N626" t="s">
        <v>721</v>
      </c>
      <c r="O626" t="s">
        <v>1347</v>
      </c>
      <c r="P626">
        <v>1021.97</v>
      </c>
      <c r="Q626">
        <v>2296.25</v>
      </c>
      <c r="R626" t="s">
        <v>1492</v>
      </c>
      <c r="S626" s="31">
        <v>0.161</v>
      </c>
      <c r="T626">
        <v>26</v>
      </c>
      <c r="U626">
        <v>50090.397499999999</v>
      </c>
      <c r="V626">
        <v>54459.765930000001</v>
      </c>
      <c r="W626">
        <v>26571.22</v>
      </c>
      <c r="X626">
        <v>23519.177499999998</v>
      </c>
      <c r="Y626" s="31">
        <v>0.46953465482081669</v>
      </c>
      <c r="Z626">
        <v>202308</v>
      </c>
      <c r="AA626">
        <v>202301</v>
      </c>
      <c r="AB626" t="s">
        <v>1448</v>
      </c>
      <c r="AC626">
        <v>7</v>
      </c>
      <c r="AD626" t="s">
        <v>1483</v>
      </c>
      <c r="AE626">
        <v>1</v>
      </c>
      <c r="AF626">
        <v>0</v>
      </c>
    </row>
    <row r="627" spans="1:32" x14ac:dyDescent="0.25">
      <c r="A627" t="s">
        <v>631</v>
      </c>
      <c r="B627" s="4">
        <v>45249</v>
      </c>
      <c r="C627" t="s">
        <v>1475</v>
      </c>
      <c r="D627" t="s">
        <v>1482</v>
      </c>
      <c r="E627" s="4">
        <v>45272</v>
      </c>
      <c r="F627">
        <v>23</v>
      </c>
      <c r="G627" t="s">
        <v>639</v>
      </c>
      <c r="H627" t="s">
        <v>646</v>
      </c>
      <c r="I627" t="s">
        <v>672</v>
      </c>
      <c r="J627" t="s">
        <v>1510</v>
      </c>
      <c r="K627" t="s">
        <v>697</v>
      </c>
      <c r="L627" t="s">
        <v>703</v>
      </c>
      <c r="M627" t="s">
        <v>704</v>
      </c>
      <c r="N627" t="s">
        <v>721</v>
      </c>
      <c r="O627" t="s">
        <v>1348</v>
      </c>
      <c r="P627">
        <v>1349.04</v>
      </c>
      <c r="Q627">
        <v>2636.6</v>
      </c>
      <c r="R627" t="s">
        <v>1492</v>
      </c>
      <c r="S627" s="31">
        <v>0.114</v>
      </c>
      <c r="T627">
        <v>14</v>
      </c>
      <c r="U627">
        <v>32704.386400000003</v>
      </c>
      <c r="V627">
        <v>54459.765930000001</v>
      </c>
      <c r="W627">
        <v>18886.559999999998</v>
      </c>
      <c r="X627">
        <v>13817.826400000005</v>
      </c>
      <c r="Y627" s="31">
        <v>0.42250682312143928</v>
      </c>
      <c r="Z627">
        <v>202311</v>
      </c>
      <c r="AA627">
        <v>202301</v>
      </c>
      <c r="AB627" t="s">
        <v>1475</v>
      </c>
      <c r="AC627">
        <v>10</v>
      </c>
      <c r="AD627" t="s">
        <v>1484</v>
      </c>
      <c r="AE627">
        <v>0</v>
      </c>
      <c r="AF627">
        <v>0</v>
      </c>
    </row>
    <row r="628" spans="1:32" x14ac:dyDescent="0.25">
      <c r="A628" t="s">
        <v>632</v>
      </c>
      <c r="B628" s="4">
        <v>45282</v>
      </c>
      <c r="C628" t="s">
        <v>1450</v>
      </c>
      <c r="D628" t="s">
        <v>1482</v>
      </c>
      <c r="E628" s="4">
        <v>45307</v>
      </c>
      <c r="F628">
        <v>25</v>
      </c>
      <c r="G628" t="s">
        <v>639</v>
      </c>
      <c r="H628" t="s">
        <v>646</v>
      </c>
      <c r="I628" t="s">
        <v>688</v>
      </c>
      <c r="J628" t="s">
        <v>1526</v>
      </c>
      <c r="K628" t="s">
        <v>697</v>
      </c>
      <c r="L628" t="s">
        <v>699</v>
      </c>
      <c r="M628" t="s">
        <v>712</v>
      </c>
      <c r="N628" t="s">
        <v>719</v>
      </c>
      <c r="O628" t="s">
        <v>1349</v>
      </c>
      <c r="P628">
        <v>1346.81</v>
      </c>
      <c r="Q628">
        <v>978.09</v>
      </c>
      <c r="R628" t="s">
        <v>1492</v>
      </c>
      <c r="S628" s="31">
        <v>0.159</v>
      </c>
      <c r="T628">
        <v>17</v>
      </c>
      <c r="U628">
        <v>13983.752729999998</v>
      </c>
      <c r="V628">
        <v>54459.765930000001</v>
      </c>
      <c r="W628">
        <v>22895.77</v>
      </c>
      <c r="X628">
        <v>-8912.0172700000021</v>
      </c>
      <c r="Y628" s="31">
        <v>-0.6373122753293996</v>
      </c>
      <c r="Z628">
        <v>202312</v>
      </c>
      <c r="AA628">
        <v>202301</v>
      </c>
      <c r="AB628" t="s">
        <v>1450</v>
      </c>
      <c r="AC628">
        <v>11</v>
      </c>
      <c r="AD628" t="s">
        <v>1484</v>
      </c>
      <c r="AE628">
        <v>0</v>
      </c>
      <c r="AF628">
        <v>0</v>
      </c>
    </row>
    <row r="629" spans="1:32" x14ac:dyDescent="0.25">
      <c r="A629" t="s">
        <v>633</v>
      </c>
      <c r="B629" s="4">
        <v>45141</v>
      </c>
      <c r="C629" t="s">
        <v>1448</v>
      </c>
      <c r="D629" t="s">
        <v>1481</v>
      </c>
      <c r="E629" s="4">
        <v>45168</v>
      </c>
      <c r="F629">
        <v>27</v>
      </c>
      <c r="G629" t="s">
        <v>639</v>
      </c>
      <c r="H629" t="s">
        <v>651</v>
      </c>
      <c r="I629" t="s">
        <v>677</v>
      </c>
      <c r="J629" t="s">
        <v>1515</v>
      </c>
      <c r="K629" t="s">
        <v>696</v>
      </c>
      <c r="L629" t="s">
        <v>702</v>
      </c>
      <c r="M629" t="s">
        <v>717</v>
      </c>
      <c r="N629" t="s">
        <v>724</v>
      </c>
      <c r="O629" t="s">
        <v>1350</v>
      </c>
      <c r="P629">
        <v>226.04</v>
      </c>
      <c r="Q629">
        <v>545.72</v>
      </c>
      <c r="R629" t="s">
        <v>1490</v>
      </c>
      <c r="S629" s="31">
        <v>0.151</v>
      </c>
      <c r="T629">
        <v>11</v>
      </c>
      <c r="U629">
        <v>5096.4790800000001</v>
      </c>
      <c r="V629">
        <v>40476.013200000001</v>
      </c>
      <c r="W629">
        <v>2486.44</v>
      </c>
      <c r="X629">
        <v>2610.03908</v>
      </c>
      <c r="Y629" s="31">
        <v>0.51212592831834014</v>
      </c>
      <c r="Z629">
        <v>202308</v>
      </c>
      <c r="AA629">
        <v>202301</v>
      </c>
      <c r="AB629" t="s">
        <v>1448</v>
      </c>
      <c r="AC629">
        <v>7</v>
      </c>
      <c r="AD629" t="s">
        <v>1484</v>
      </c>
      <c r="AE629">
        <v>0</v>
      </c>
      <c r="AF629">
        <v>0</v>
      </c>
    </row>
    <row r="630" spans="1:32" x14ac:dyDescent="0.25">
      <c r="A630" t="s">
        <v>634</v>
      </c>
      <c r="B630" s="4">
        <v>45100</v>
      </c>
      <c r="C630" t="s">
        <v>1458</v>
      </c>
      <c r="D630" t="s">
        <v>1480</v>
      </c>
      <c r="E630" s="4">
        <v>45125</v>
      </c>
      <c r="F630">
        <v>25</v>
      </c>
      <c r="G630" t="s">
        <v>640</v>
      </c>
      <c r="H630" t="s">
        <v>645</v>
      </c>
      <c r="I630" t="s">
        <v>680</v>
      </c>
      <c r="J630" t="s">
        <v>1518</v>
      </c>
      <c r="K630" t="s">
        <v>698</v>
      </c>
      <c r="L630" t="s">
        <v>700</v>
      </c>
      <c r="M630" t="s">
        <v>717</v>
      </c>
      <c r="N630" t="s">
        <v>722</v>
      </c>
      <c r="O630" t="s">
        <v>1351</v>
      </c>
      <c r="P630">
        <v>807.02</v>
      </c>
      <c r="Q630">
        <v>1435.54</v>
      </c>
      <c r="R630" t="s">
        <v>1496</v>
      </c>
      <c r="S630" s="31">
        <v>0</v>
      </c>
      <c r="T630">
        <v>23</v>
      </c>
      <c r="U630">
        <v>33017.42</v>
      </c>
      <c r="V630">
        <v>40476.013200000001</v>
      </c>
      <c r="W630">
        <v>18561.46</v>
      </c>
      <c r="X630">
        <v>14455.96</v>
      </c>
      <c r="Y630" s="31">
        <v>0.43782827368098415</v>
      </c>
      <c r="Z630">
        <v>202306</v>
      </c>
      <c r="AA630">
        <v>202301</v>
      </c>
      <c r="AB630" t="s">
        <v>1458</v>
      </c>
      <c r="AC630">
        <v>5</v>
      </c>
      <c r="AD630" t="s">
        <v>1484</v>
      </c>
      <c r="AE630">
        <v>0</v>
      </c>
      <c r="AF630">
        <v>0</v>
      </c>
    </row>
    <row r="631" spans="1:32" x14ac:dyDescent="0.25">
      <c r="A631" t="s">
        <v>635</v>
      </c>
      <c r="B631" s="4">
        <v>45267</v>
      </c>
      <c r="C631" t="s">
        <v>1450</v>
      </c>
      <c r="D631" t="s">
        <v>1482</v>
      </c>
      <c r="E631" s="4">
        <v>45293</v>
      </c>
      <c r="F631">
        <v>26</v>
      </c>
      <c r="G631" t="s">
        <v>641</v>
      </c>
      <c r="H631" t="s">
        <v>648</v>
      </c>
      <c r="I631" t="s">
        <v>690</v>
      </c>
      <c r="J631" t="s">
        <v>1529</v>
      </c>
      <c r="K631" t="s">
        <v>698</v>
      </c>
      <c r="L631" t="s">
        <v>702</v>
      </c>
      <c r="M631" t="s">
        <v>710</v>
      </c>
      <c r="N631" t="s">
        <v>719</v>
      </c>
      <c r="O631" t="s">
        <v>1352</v>
      </c>
      <c r="P631">
        <v>1071.99</v>
      </c>
      <c r="Q631">
        <v>2397.3000000000002</v>
      </c>
      <c r="R631" t="s">
        <v>1492</v>
      </c>
      <c r="S631" s="31">
        <v>6.2E-2</v>
      </c>
      <c r="T631">
        <v>18</v>
      </c>
      <c r="U631">
        <v>40476.013200000001</v>
      </c>
      <c r="V631">
        <v>40476.013200000001</v>
      </c>
      <c r="W631">
        <v>19295.82</v>
      </c>
      <c r="X631">
        <v>21180.193200000002</v>
      </c>
      <c r="Y631" s="31">
        <v>0.52327765324476183</v>
      </c>
      <c r="Z631">
        <v>202312</v>
      </c>
      <c r="AA631">
        <v>202301</v>
      </c>
      <c r="AB631" t="s">
        <v>1450</v>
      </c>
      <c r="AC631">
        <v>11</v>
      </c>
      <c r="AD631" t="s">
        <v>1484</v>
      </c>
      <c r="AE631">
        <v>0</v>
      </c>
      <c r="AF631">
        <v>0</v>
      </c>
    </row>
    <row r="632" spans="1:32" x14ac:dyDescent="0.25">
      <c r="A632" t="s">
        <v>636</v>
      </c>
      <c r="B632" s="4">
        <v>45249</v>
      </c>
      <c r="C632" t="s">
        <v>1475</v>
      </c>
      <c r="D632" t="s">
        <v>1482</v>
      </c>
      <c r="E632" s="4">
        <v>45279</v>
      </c>
      <c r="F632">
        <v>30</v>
      </c>
      <c r="G632" t="s">
        <v>639</v>
      </c>
      <c r="H632" t="s">
        <v>644</v>
      </c>
      <c r="I632" t="s">
        <v>686</v>
      </c>
      <c r="J632" t="s">
        <v>1524</v>
      </c>
      <c r="K632" t="s">
        <v>696</v>
      </c>
      <c r="L632" t="s">
        <v>699</v>
      </c>
      <c r="M632" t="s">
        <v>1413</v>
      </c>
      <c r="N632" t="s">
        <v>722</v>
      </c>
      <c r="O632" t="s">
        <v>1353</v>
      </c>
      <c r="P632">
        <v>807.11</v>
      </c>
      <c r="Q632">
        <v>1853.86</v>
      </c>
      <c r="R632" t="s">
        <v>1496</v>
      </c>
      <c r="S632" s="31">
        <v>0.13900000000000001</v>
      </c>
      <c r="T632">
        <v>8</v>
      </c>
      <c r="U632">
        <v>12769.38768</v>
      </c>
      <c r="V632">
        <v>0</v>
      </c>
      <c r="W632">
        <v>6456.88</v>
      </c>
      <c r="X632">
        <v>6312.5076799999997</v>
      </c>
      <c r="Y632" s="31">
        <v>0.49434693645388639</v>
      </c>
      <c r="Z632">
        <v>202311</v>
      </c>
      <c r="AA632">
        <v>202303</v>
      </c>
      <c r="AB632" t="s">
        <v>1475</v>
      </c>
      <c r="AC632">
        <v>8</v>
      </c>
      <c r="AD632" t="s">
        <v>1484</v>
      </c>
      <c r="AE632">
        <v>0</v>
      </c>
      <c r="AF632">
        <v>0</v>
      </c>
    </row>
    <row r="633" spans="1:32" x14ac:dyDescent="0.25">
      <c r="A633" t="s">
        <v>637</v>
      </c>
      <c r="B633" s="4">
        <v>45716</v>
      </c>
      <c r="C633" t="s">
        <v>1453</v>
      </c>
      <c r="D633" t="s">
        <v>1479</v>
      </c>
      <c r="E633" s="4">
        <v>45726</v>
      </c>
      <c r="F633">
        <v>10</v>
      </c>
      <c r="G633" t="s">
        <v>639</v>
      </c>
      <c r="H633" t="s">
        <v>644</v>
      </c>
      <c r="I633" t="s">
        <v>658</v>
      </c>
      <c r="J633" t="s">
        <v>1495</v>
      </c>
      <c r="K633" t="s">
        <v>694</v>
      </c>
      <c r="L633" t="s">
        <v>702</v>
      </c>
      <c r="M633" t="s">
        <v>717</v>
      </c>
      <c r="N633" t="s">
        <v>723</v>
      </c>
      <c r="O633" t="s">
        <v>1354</v>
      </c>
      <c r="P633">
        <v>51.86</v>
      </c>
      <c r="Q633">
        <v>45.98</v>
      </c>
      <c r="R633" t="s">
        <v>1490</v>
      </c>
      <c r="S633" s="31">
        <v>0.17299999999999999</v>
      </c>
      <c r="T633">
        <v>7</v>
      </c>
      <c r="U633">
        <v>266.17821999999995</v>
      </c>
      <c r="V633">
        <v>0</v>
      </c>
      <c r="W633">
        <v>363.02</v>
      </c>
      <c r="X633">
        <v>-96.841780000000028</v>
      </c>
      <c r="Y633" s="31">
        <v>-0.3638230806412337</v>
      </c>
      <c r="Z633">
        <v>202502</v>
      </c>
      <c r="AA633">
        <v>202303</v>
      </c>
      <c r="AB633" t="s">
        <v>1451</v>
      </c>
      <c r="AC633">
        <v>23</v>
      </c>
      <c r="AD633" t="s">
        <v>1484</v>
      </c>
      <c r="AE633">
        <v>0</v>
      </c>
      <c r="AF633">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28" workbookViewId="0">
      <selection activeCell="D42" sqref="D42"/>
    </sheetView>
  </sheetViews>
  <sheetFormatPr defaultRowHeight="15" x14ac:dyDescent="0.25"/>
  <sheetData>
    <row r="1" spans="1:1" x14ac:dyDescent="0.25">
      <c r="A1" s="1" t="s">
        <v>1355</v>
      </c>
    </row>
    <row r="2" spans="1:1" x14ac:dyDescent="0.25">
      <c r="A2" t="s">
        <v>1356</v>
      </c>
    </row>
    <row r="4" spans="1:1" x14ac:dyDescent="0.25">
      <c r="A4" t="s">
        <v>1357</v>
      </c>
    </row>
    <row r="5" spans="1:1" x14ac:dyDescent="0.25">
      <c r="A5" t="s">
        <v>1358</v>
      </c>
    </row>
    <row r="6" spans="1:1" x14ac:dyDescent="0.25">
      <c r="A6" t="s">
        <v>1359</v>
      </c>
    </row>
    <row r="8" spans="1:1" x14ac:dyDescent="0.25">
      <c r="A8" t="s">
        <v>1360</v>
      </c>
    </row>
    <row r="9" spans="1:1" x14ac:dyDescent="0.25">
      <c r="A9" t="s">
        <v>1361</v>
      </c>
    </row>
    <row r="10" spans="1:1" x14ac:dyDescent="0.25">
      <c r="A10" t="s">
        <v>1362</v>
      </c>
    </row>
    <row r="11" spans="1:1" x14ac:dyDescent="0.25">
      <c r="A11" t="s">
        <v>1363</v>
      </c>
    </row>
    <row r="12" spans="1:1" x14ac:dyDescent="0.25">
      <c r="A12" t="s">
        <v>1364</v>
      </c>
    </row>
    <row r="13" spans="1:1" x14ac:dyDescent="0.25">
      <c r="A13" t="s">
        <v>1365</v>
      </c>
    </row>
    <row r="14" spans="1:1" x14ac:dyDescent="0.25">
      <c r="A14" t="s">
        <v>1366</v>
      </c>
    </row>
    <row r="15" spans="1:1" x14ac:dyDescent="0.25">
      <c r="A15" t="s">
        <v>1367</v>
      </c>
    </row>
    <row r="17" spans="1:1" x14ac:dyDescent="0.25">
      <c r="A17" t="s">
        <v>1368</v>
      </c>
    </row>
    <row r="18" spans="1:1" x14ac:dyDescent="0.25">
      <c r="A18" t="s">
        <v>1369</v>
      </c>
    </row>
    <row r="19" spans="1:1" x14ac:dyDescent="0.25">
      <c r="A19" t="s">
        <v>1370</v>
      </c>
    </row>
    <row r="20" spans="1:1" x14ac:dyDescent="0.25">
      <c r="A20" t="s">
        <v>1371</v>
      </c>
    </row>
    <row r="21" spans="1:1" x14ac:dyDescent="0.25">
      <c r="A21" t="s">
        <v>1372</v>
      </c>
    </row>
    <row r="23" spans="1:1" x14ac:dyDescent="0.25">
      <c r="A23" t="s">
        <v>1373</v>
      </c>
    </row>
    <row r="24" spans="1:1" x14ac:dyDescent="0.25">
      <c r="A24" t="s">
        <v>1374</v>
      </c>
    </row>
    <row r="25" spans="1:1" x14ac:dyDescent="0.25">
      <c r="A25" t="s">
        <v>1375</v>
      </c>
    </row>
    <row r="26" spans="1:1" x14ac:dyDescent="0.25">
      <c r="A26" t="s">
        <v>1376</v>
      </c>
    </row>
    <row r="27" spans="1:1" x14ac:dyDescent="0.25">
      <c r="A27" t="s">
        <v>1377</v>
      </c>
    </row>
    <row r="29" spans="1:1" x14ac:dyDescent="0.25">
      <c r="A29" t="s">
        <v>1378</v>
      </c>
    </row>
    <row r="30" spans="1:1" x14ac:dyDescent="0.25">
      <c r="A30" t="s">
        <v>1379</v>
      </c>
    </row>
    <row r="31" spans="1:1" x14ac:dyDescent="0.25">
      <c r="A31" t="s">
        <v>1380</v>
      </c>
    </row>
    <row r="32" spans="1:1" x14ac:dyDescent="0.25">
      <c r="A32" t="s">
        <v>1381</v>
      </c>
    </row>
    <row r="33" spans="1:1" x14ac:dyDescent="0.25">
      <c r="A33" t="s">
        <v>1382</v>
      </c>
    </row>
    <row r="34" spans="1:1" x14ac:dyDescent="0.25">
      <c r="A34" t="s">
        <v>1383</v>
      </c>
    </row>
    <row r="35" spans="1:1" x14ac:dyDescent="0.25">
      <c r="A35" t="s">
        <v>1384</v>
      </c>
    </row>
    <row r="36" spans="1:1" x14ac:dyDescent="0.25">
      <c r="A36" t="s">
        <v>1385</v>
      </c>
    </row>
    <row r="37" spans="1:1" x14ac:dyDescent="0.25">
      <c r="A37" t="s">
        <v>1386</v>
      </c>
    </row>
    <row r="38" spans="1:1" x14ac:dyDescent="0.25">
      <c r="A38" t="s">
        <v>1387</v>
      </c>
    </row>
    <row r="39" spans="1:1" x14ac:dyDescent="0.25">
      <c r="A39" t="s">
        <v>1388</v>
      </c>
    </row>
    <row r="40" spans="1:1" x14ac:dyDescent="0.25">
      <c r="A40" t="s">
        <v>1389</v>
      </c>
    </row>
    <row r="41" spans="1:1" x14ac:dyDescent="0.25">
      <c r="A41" t="s">
        <v>1390</v>
      </c>
    </row>
    <row r="43" spans="1:1" x14ac:dyDescent="0.25">
      <c r="A43" t="s">
        <v>1391</v>
      </c>
    </row>
    <row r="44" spans="1:1" x14ac:dyDescent="0.25">
      <c r="A44" t="s">
        <v>1392</v>
      </c>
    </row>
    <row r="45" spans="1:1" x14ac:dyDescent="0.25">
      <c r="A45" t="s">
        <v>1393</v>
      </c>
    </row>
    <row r="46" spans="1:1" x14ac:dyDescent="0.25">
      <c r="A46" t="s">
        <v>1394</v>
      </c>
    </row>
    <row r="47" spans="1:1" x14ac:dyDescent="0.25">
      <c r="A47" t="s">
        <v>1395</v>
      </c>
    </row>
    <row r="48" spans="1:1" x14ac:dyDescent="0.25">
      <c r="A48" t="s">
        <v>1396</v>
      </c>
    </row>
    <row r="50" spans="1:1" x14ac:dyDescent="0.25">
      <c r="A50" t="s">
        <v>1397</v>
      </c>
    </row>
    <row r="51" spans="1:1" x14ac:dyDescent="0.25">
      <c r="A51" t="s">
        <v>1398</v>
      </c>
    </row>
    <row r="52" spans="1:1" x14ac:dyDescent="0.25">
      <c r="A52" t="s">
        <v>1399</v>
      </c>
    </row>
    <row r="53" spans="1:1" x14ac:dyDescent="0.25">
      <c r="A53" t="s">
        <v>1400</v>
      </c>
    </row>
    <row r="54" spans="1:1" x14ac:dyDescent="0.25">
      <c r="A54" t="s">
        <v>1401</v>
      </c>
    </row>
    <row r="55" spans="1:1" x14ac:dyDescent="0.25">
      <c r="A55" t="s">
        <v>1402</v>
      </c>
    </row>
    <row r="56" spans="1:1" x14ac:dyDescent="0.25">
      <c r="A56" t="s">
        <v>1403</v>
      </c>
    </row>
    <row r="57" spans="1:1" x14ac:dyDescent="0.25">
      <c r="A57" t="s">
        <v>1404</v>
      </c>
    </row>
    <row r="58" spans="1:1" x14ac:dyDescent="0.25">
      <c r="A58" t="s">
        <v>1405</v>
      </c>
    </row>
    <row r="59" spans="1:1" x14ac:dyDescent="0.25">
      <c r="A59" t="s">
        <v>1406</v>
      </c>
    </row>
    <row r="61" spans="1:1" x14ac:dyDescent="0.25">
      <c r="A61" t="s">
        <v>1407</v>
      </c>
    </row>
    <row r="62" spans="1:1" x14ac:dyDescent="0.25">
      <c r="A62" t="s">
        <v>1408</v>
      </c>
    </row>
    <row r="64" spans="1:1" x14ac:dyDescent="0.25">
      <c r="A64" t="s">
        <v>1409</v>
      </c>
    </row>
    <row r="65" spans="1:1" x14ac:dyDescent="0.25">
      <c r="A65" t="s">
        <v>1410</v>
      </c>
    </row>
    <row r="66" spans="1:1" x14ac:dyDescent="0.25">
      <c r="A66" t="s">
        <v>1411</v>
      </c>
    </row>
    <row r="67" spans="1:1" x14ac:dyDescent="0.25">
      <c r="A67" t="s">
        <v>1412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Monthly Revenue Tracked</vt:lpstr>
      <vt:lpstr>Rank</vt:lpstr>
      <vt:lpstr>Top and Bottom 3</vt:lpstr>
      <vt:lpstr>Cannibalize</vt:lpstr>
      <vt:lpstr>7 day target</vt:lpstr>
      <vt:lpstr>Price Compliance</vt:lpstr>
      <vt:lpstr>Sheet12</vt:lpstr>
      <vt:lpstr>Data</vt:lpstr>
      <vt:lpstr>What If</vt:lpstr>
      <vt:lpstr>Brief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Owen Avedi</cp:lastModifiedBy>
  <dcterms:created xsi:type="dcterms:W3CDTF">2025-09-28T10:49:35Z</dcterms:created>
  <dcterms:modified xsi:type="dcterms:W3CDTF">2026-02-02T15:56:18Z</dcterms:modified>
</cp:coreProperties>
</file>